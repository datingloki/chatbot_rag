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8cd1e012f4a4e6f" /></Relationships>
</file>

<file path=xl/workbook.xml><?xml version="1.0" encoding="utf-8"?>
<x:workbook xmlns:x="http://schemas.openxmlformats.org/spreadsheetml/2006/main">
  <x:sheets>
    <x:sheet xmlns:r="http://schemas.openxmlformats.org/officeDocument/2006/relationships" name="dev" sheetId="1" r:id="R659828b826834cf2"/>
    <x:sheet xmlns:r="http://schemas.openxmlformats.org/officeDocument/2006/relationships" name="Проверка" sheetId="2" r:id="R6de6b9e613f74e9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0.00"/>
    <x:numFmt numFmtId="203" formatCode="0.00%"/>
  </x:numFmts>
  <x:fonts count="7">
    <x:font>
      <x:sz val="11"/>
      <x:name val="Carlito"/>
    </x:font>
    <x:font>
      <x:sz val="10"/>
      <x:color rgb="FF24313A"/>
      <x:name val="Arial"/>
    </x:font>
    <x:font>
      <x:b/>
      <x:sz val="11"/>
      <x:color rgb="FFFFFFFF"/>
      <x:name val="Arial"/>
    </x:font>
    <x:font>
      <x:sz val="11"/>
      <x:color rgb="FF24313A"/>
      <x:name val="Arial"/>
    </x:font>
    <x:font>
      <x:b/>
      <x:sz val="15"/>
      <x:color rgb="FF193E49"/>
      <x:name val="Arial"/>
    </x:font>
    <x:font>
      <x:b/>
      <x:sz val="11"/>
      <x:color rgb="FF193E49"/>
      <x:name val="Arial"/>
    </x:font>
    <x:font>
      <x:sz val="10"/>
      <x:color rgb="FF536775"/>
      <x:name val="Arial"/>
    </x:font>
  </x:fonts>
  <x:fills count="3">
    <x:fill>
      <x:patternFill patternType="none"/>
    </x:fill>
    <x:fill>
      <x:patternFill patternType="gray125"/>
    </x:fill>
    <x:fill>
      <x:patternFill patternType="solid">
        <x:fgColor rgb="FF193E49"/>
      </x:patternFill>
    </x:fill>
  </x:fills>
  <x:borders count="2">
    <x:border>
      <x:left/>
      <x:right/>
      <x:top/>
      <x:bottom/>
      <x:diagonal/>
    </x:border>
    <x:border>
      <x:left/>
      <x:right/>
      <x:top style="thin">
        <x:color rgb="FF8CA2AC"/>
      </x:top>
      <x:bottom/>
      <x:diagonal/>
    </x:border>
  </x:borders>
  <x:cellStyleXfs count="1">
    <x:xf numFmtId="0" fontId="0" fillId="0" borderId="0"/>
  </x:cellStyleXfs>
  <x:cellXfs count="25">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0" fontId="3" fillId="0" borderId="0" xfId="0" applyNumberFormat="1" applyFont="1" applyFill="1" applyBorder="1"/>
    <x:xf numFmtId="0" fontId="4" fillId="0" borderId="0" xfId="0" applyNumberFormat="1" applyFont="1" applyFill="1" applyBorder="1"/>
    <x:xf numFmtId="0" fontId="3" fillId="2" borderId="0" xfId="0" applyNumberFormat="1" applyFont="1" applyFill="1" applyBorder="1"/>
    <x:xf numFmtId="0" fontId="5" fillId="0" borderId="0" xfId="0" applyNumberFormat="1" applyFont="1" applyFill="1" applyBorder="1"/>
    <x:xf numFmtId="0" fontId="5" fillId="0" borderId="1" xfId="0" applyNumberFormat="1" applyFont="1" applyFill="1" applyBorder="1"/>
    <x:xf numFmtId="201" fontId="3" fillId="0" borderId="0" xfId="0" applyNumberFormat="1" applyFont="1" applyFill="1" applyBorder="1"/>
    <x:xf numFmtId="201" fontId="5" fillId="0" borderId="1" xfId="0" applyNumberFormat="1" applyFont="1" applyFill="1" applyBorder="1"/>
    <x:xf numFmtId="202" fontId="3" fillId="0" borderId="0" xfId="0" applyNumberFormat="1" applyFont="1" applyFill="1" applyBorder="1"/>
    <x:xf numFmtId="202" fontId="5" fillId="0" borderId="1" xfId="0" applyNumberFormat="1" applyFont="1" applyFill="1" applyBorder="1"/>
    <x:xf numFmtId="203" fontId="3" fillId="0" borderId="0" xfId="0" applyNumberFormat="1" applyFont="1" applyFill="1" applyBorder="1"/>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b8e7f03f93f4ffe" /><Relationship Type="http://schemas.openxmlformats.org/officeDocument/2006/relationships/theme" Target="/xl/theme/theme1.xml" Id="R497726c91e994a27" /><Relationship Type="http://schemas.microsoft.com/office/2022/11/relationships/FeaturePropertyBag" Target="/xl/featurePropertyBag/featurePropertyBag.xml" Id="R9a637f406eca4e0c" /><Relationship Type="http://schemas.openxmlformats.org/officeDocument/2006/relationships/sharedStrings" Target="/xl/sharedStrings.xml" Id="Ra9ef6c55ba674326" /><Relationship Type="http://schemas.openxmlformats.org/officeDocument/2006/relationships/worksheet" Target="/xl/worksheets/sheet1.xml" Id="R659828b826834cf2" /><Relationship Type="http://schemas.openxmlformats.org/officeDocument/2006/relationships/worksheet" Target="/xl/worksheets/sheet2.xml" Id="R6de6b9e613f74e9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DevCases" displayName="DevCases" ref="A1:AB301" headerRowCount="1" totalsRowCount="0" totalsRowShown="0">
  <x:tableColumns count="28">
    <x:tableColumn id="1" name="case_id"/>
    <x:tableColumn id="2" name="origin"/>
    <x:tableColumn id="3" name="input"/>
    <x:tableColumn id="4" name="context"/>
    <x:tableColumn id="5" name="target_product"/>
    <x:tableColumn id="6" name="target_release"/>
    <x:tableColumn id="7" name="reported_release"/>
    <x:tableColumn id="8" name="release_basis"/>
    <x:tableColumn id="9" name="source_applicability"/>
    <x:tableColumn id="10" name="clarification_count"/>
    <x:tableColumn id="11" name="clarification_limit"/>
    <x:tableColumn id="12" name="next_clarification_useful"/>
    <x:tableColumn id="13" name="handoff_reason"/>
    <x:tableColumn id="14" name="missing_user_information"/>
    <x:tableColumn id="15" name="answer_supported"/>
    <x:tableColumn id="16" name="primary_class"/>
    <x:tableColumn id="17" name="class_reason"/>
    <x:tableColumn id="18" name="tags"/>
    <x:tableColumn id="19" name="expected_action"/>
    <x:tableColumn id="20" name="must_include"/>
    <x:tableColumn id="21" name="must_not_include"/>
    <x:tableColumn id="22" name="evidence"/>
    <x:tableColumn id="23" name="pass_criteria"/>
    <x:tableColumn id="24" name="status"/>
    <x:tableColumn id="25" name="review_note"/>
    <x:tableColumn id="26" name="split_group_id"/>
    <x:tableColumn id="27" name="split"/>
    <x:tableColumn id="28" name="origin_typ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68ff385ab7f4acc" /></Relationships>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9" hidden="0" customWidth="1"/>
    <x:col min="2" max="2" width="27" hidden="0" customWidth="1"/>
    <x:col min="3" max="3" width="70" hidden="0" customWidth="1"/>
    <x:col min="4" max="4" width="48" hidden="0" customWidth="1"/>
    <x:col min="5" max="5" width="27" hidden="0" customWidth="1"/>
    <x:col min="6" max="6" width="16" hidden="0" customWidth="1"/>
    <x:col min="7" max="7" width="18" hidden="0" customWidth="1"/>
    <x:col min="8" max="8" width="14" hidden="0" customWidth="1"/>
    <x:col min="9" max="9" width="55" hidden="0" customWidth="1"/>
    <x:col min="10" max="10" width="17" hidden="0" customWidth="1"/>
    <x:col min="11" max="11" width="17" hidden="0" customWidth="1"/>
    <x:col min="12" max="12" width="20" hidden="0" customWidth="1"/>
    <x:col min="13" max="13" width="22" hidden="0" customWidth="1"/>
    <x:col min="14" max="14" width="55" hidden="0" customWidth="1"/>
    <x:col min="15" max="15" width="18" hidden="0" customWidth="1"/>
    <x:col min="16" max="16" width="16" hidden="0" customWidth="1"/>
    <x:col min="17" max="17" width="56" hidden="0" customWidth="1"/>
    <x:col min="18" max="18" width="28" hidden="0" customWidth="1"/>
    <x:col min="19" max="19" width="19" hidden="0" customWidth="1"/>
    <x:col min="20" max="20" width="55" hidden="0" customWidth="1"/>
    <x:col min="21" max="21" width="55" hidden="0" customWidth="1"/>
    <x:col min="22" max="22" width="76" hidden="0" customWidth="1"/>
    <x:col min="23" max="23" width="55" hidden="0" customWidth="1"/>
    <x:col min="24" max="24" width="20" hidden="0" customWidth="1"/>
    <x:col min="25" max="25" width="100" hidden="0" customWidth="1"/>
    <x:col min="26" max="26" width="24" hidden="0" customWidth="1"/>
    <x:col min="27" max="27" width="10" hidden="0" customWidth="1"/>
    <x:col min="28" max="28" width="32" hidden="0" customWidth="1"/>
  </x:cols>
  <x:sheetData>
    <x:row r="1" ht="34" customHeight="1">
      <x:c r="A1" s="12" t="str">
        <x:v>case_id</x:v>
      </x:c>
      <x:c r="B1" s="12" t="str">
        <x:v>origin</x:v>
      </x:c>
      <x:c r="C1" s="12" t="str">
        <x:v>input</x:v>
      </x:c>
      <x:c r="D1" s="12" t="str">
        <x:v>context</x:v>
      </x:c>
      <x:c r="E1" s="12" t="str">
        <x:v>target_product</x:v>
      </x:c>
      <x:c r="F1" s="12" t="str">
        <x:v>target_release</x:v>
      </x:c>
      <x:c r="G1" s="12" t="str">
        <x:v>reported_release</x:v>
      </x:c>
      <x:c r="H1" s="12" t="str">
        <x:v>release_basis</x:v>
      </x:c>
      <x:c r="I1" s="12" t="str">
        <x:v>source_applicability</x:v>
      </x:c>
      <x:c r="J1" s="12" t="str">
        <x:v>clarification_count</x:v>
      </x:c>
      <x:c r="K1" s="12" t="str">
        <x:v>clarification_limit</x:v>
      </x:c>
      <x:c r="L1" s="12" t="str">
        <x:v>next_clarification_useful</x:v>
      </x:c>
      <x:c r="M1" s="12" t="str">
        <x:v>handoff_reason</x:v>
      </x:c>
      <x:c r="N1" s="12" t="str">
        <x:v>missing_user_information</x:v>
      </x:c>
      <x:c r="O1" s="12" t="str">
        <x:v>answer_supported</x:v>
      </x:c>
      <x:c r="P1" s="12" t="str">
        <x:v>primary_class</x:v>
      </x:c>
      <x:c r="Q1" s="12" t="str">
        <x:v>class_reason</x:v>
      </x:c>
      <x:c r="R1" s="12" t="str">
        <x:v>tags</x:v>
      </x:c>
      <x:c r="S1" s="12" t="str">
        <x:v>expected_action</x:v>
      </x:c>
      <x:c r="T1" s="12" t="str">
        <x:v>must_include</x:v>
      </x:c>
      <x:c r="U1" s="12" t="str">
        <x:v>must_not_include</x:v>
      </x:c>
      <x:c r="V1" s="12" t="str">
        <x:v>evidence</x:v>
      </x:c>
      <x:c r="W1" s="12" t="str">
        <x:v>pass_criteria</x:v>
      </x:c>
      <x:c r="X1" s="12" t="str">
        <x:v>status</x:v>
      </x:c>
      <x:c r="Y1" s="12" t="str">
        <x:v>review_note</x:v>
      </x:c>
      <x:c r="Z1" s="12" t="str">
        <x:v>split_group_id</x:v>
      </x:c>
      <x:c r="AA1" s="12" t="str">
        <x:v>split</x:v>
      </x:c>
      <x:c r="AB1" s="12" t="str">
        <x:v>origin_type</x:v>
      </x:c>
    </x:row>
    <x:row r="2" ht="115" customHeight="1">
      <x:c r="A2" s="6" t="str">
        <x:v>D0006</x:v>
      </x:c>
      <x:c r="B2" s="6" t="str">
        <x:v>synthetic_contract_boundary</x:v>
      </x:c>
      <x:c r="C2" s="6" t="str">
        <x:v>{"history":[],"user_message":"Посоветуй маршрут по Риму и Флоренции на пять дней."}</x:v>
      </x:c>
      <x:c r="D2" s="6" t="str">
        <x:v>{"product":"1С:УНФ 8. Полиграфия 2","version":"3.0.14.140","retrieval_state":"available","handoff_consent":false,"approval_basis":"user_confirmed_consultant_approval"}</x:v>
      </x:c>
      <x:c r="E2" s="6" t="str">
        <x:v>1С:УНФ 8. Полиграфия 2</x:v>
      </x:c>
      <x:c r="F2" s="6" t="str">
        <x:v>3.0.14.140</x:v>
      </x:c>
      <x:c r="G2" s="6" t="str">
        <x:v>not_reported</x:v>
      </x:c>
      <x:c r="H2" s="6" t="str">
        <x:v>default</x:v>
      </x:c>
      <x:c r="I2" s="6" t="str">
        <x:v>Применимость источников и эталона к 1С:УНФ 8. Полиграфия 2, релиз 3.0.14.140, подтверждена консультантом со слов пользователя.</x:v>
      </x:c>
      <x:c r="J2" s="13" t="str">
        <x:v>0</x:v>
      </x:c>
      <x:c r="K2" s="13" t="str">
        <x:v>5</x:v>
      </x:c>
      <x:c r="L2" s="7" t="b">
        <x:v>0</x:v>
      </x:c>
      <x:c r="M2" s="6" t="str">
        <x:v>not_applicable</x:v>
      </x:c>
      <x:c r="N2" s="6" t="str">
        <x:v>[]</x:v>
      </x:c>
      <x:c r="O2" s="6" t="str">
        <x:v>not_applicable</x:v>
      </x:c>
      <x:c r="P2" s="6" t="str">
        <x:v>K1</x:v>
      </x:c>
      <x:c r="Q2" s="6" t="str">
        <x:v>Запрошенная задача явно не относится к работе 1С:Полиграфии и разрешенной документации.</x:v>
      </x:c>
      <x:c r="R2" s="6" t="str">
        <x:v>["out_of_domain"]</x:v>
      </x:c>
      <x:c r="S2" s="6" t="str">
        <x:v>refuse</x:v>
      </x:c>
      <x:c r="T2" s="6" t="str">
        <x:v>["Вежливый отказ и краткое обозначение предметной области бота."]</x:v>
      </x:c>
      <x:c r="U2" s="6" t="str">
        <x:v>["Выполнение посторонней задачи.","Выдуманная ссылка на руководство."]</x:v>
      </x:c>
      <x:c r="V2" s="6" t="str">
        <x:v>[{"source_file":"/Users/elisavetagaponova/Downloads/annotation_guide_classes_v1.md","section":"§5 K1","approval_basis":"user_confirmed_consultant_approval"},{"source_file":"design_doc_kt2.md","section":"§1.3, C05","approval_basis":"user_confirmed_consultant_approval"}]</x:v>
      </x:c>
      <x:c r="W2" s="6" t="str">
        <x:v>["Посторонняя задача не выполняется; отказ вежлив и по-русски."]</x:v>
      </x:c>
      <x:c r="X2" s="6" t="str">
        <x:v>approved</x:v>
      </x:c>
      <x:c r="Y2" s="6" t="str">
        <x:v>Карточка и применимость источников согласованы консультантом; утверждение подтверждено пользователем 25.10.2026.</x:v>
      </x:c>
      <x:c r="Z2" s="6" t="str">
        <x:v>G-c8ae5f65610628</x:v>
      </x:c>
      <x:c r="AA2" s="6" t="str">
        <x:v>dev</x:v>
      </x:c>
      <x:c r="AB2" s="6" t="str">
        <x:v>synthetic_contract_boundary</x:v>
      </x:c>
    </x:row>
    <x:row r="3" ht="115" customHeight="1">
      <x:c r="A3" s="6" t="str">
        <x:v>D0007</x:v>
      </x:c>
      <x:c r="B3" s="6" t="str">
        <x:v>synthetic_from_manual:MANUAL-3651</x:v>
      </x:c>
      <x:c r="C3" s="6" t="str">
        <x:v>{"history":[{"role":"user","text":"Не получается закончить работу с «Заказы в очередь»."},{"role":"assistant","text":"Что происходит при попытке?"}],"user_message":"В типовой базе «Заказы в очередь» работает, а у нас после доработки больше нет. Кто может проверить конфигурацию?"}</x:v>
      </x:c>
      <x:c r="D3" s="6" t="str">
        <x:v>{"product":"1С:УНФ 8. Полиграфия 2","version":"3.0.14.140","retrieval_state":"available","handoff_consent":false,"approval_basis":"user_confirmed_consultant_approval"}</x:v>
      </x:c>
      <x:c r="E3" s="6" t="str">
        <x:v>1С:УНФ 8. Полиграфия 2</x:v>
      </x:c>
      <x:c r="F3" s="6" t="str">
        <x:v>3.0.14.140</x:v>
      </x:c>
      <x:c r="G3" s="6" t="str">
        <x:v>not_reported</x:v>
      </x:c>
      <x:c r="H3" s="6" t="str">
        <x:v>default</x:v>
      </x:c>
      <x:c r="I3" s="6" t="str">
        <x:v>Применимость источников и эталона к 1С:УНФ 8. Полиграфия 2, релиз 3.0.14.140, подтверждена консультантом со слов пользователя.</x:v>
      </x:c>
      <x:c r="J3" s="13" t="str">
        <x:v>1</x:v>
      </x:c>
      <x:c r="K3" s="13" t="str">
        <x:v>5</x:v>
      </x:c>
      <x:c r="L3" s="7" t="b">
        <x:v>0</x:v>
      </x:c>
      <x:c r="M3" s="6" t="str">
        <x:v>diagnosis_required</x:v>
      </x:c>
      <x:c r="N3" s="6" t="str">
        <x:v>[]</x:v>
      </x:c>
      <x:c r="O3" s="7" t="b">
        <x:v>0</x:v>
      </x:c>
      <x:c r="P3" s="6" t="str">
        <x:v>K6</x:v>
      </x:c>
      <x:c r="Q3"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3" s="6" t="str">
        <x:v>["chapter_12"]</x:v>
      </x:c>
      <x:c r="S3" s="6" t="str">
        <x:v>offer_handoff</x:v>
      </x:c>
      <x:c r="T3" s="6" t="str">
        <x:v>["Сообщить об отсутствии подтвержденного решения.","Предложить передачу консультанту."]</x:v>
      </x:c>
      <x:c r="U3" s="6" t="str">
        <x:v>["Еще один диагностический вопрос.","Выдуманная причина или правка рабочей базы.","Сообщение о созданной заявке без подтверждения."]</x:v>
      </x:c>
      <x:c r="V3" s="6" t="str">
        <x:v>[{"source_file":"/Users/elisavetagaponova/Downloads/1С УНФ 8  Полиграфия 2 для 3.0.doc","section":"Глава 12","extracted_text_line":3651,"excerpt":"Обработка \"Заказы в очередь\" предназначена для получения информации как о суммарной занятости машин, так и детальной информации по выбранному рабочему центру в разрезе расчётов 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3" s="6" t="str">
        <x:v>["Предложена передача; нет дальнейшей диагностики и необоснованного решения."]</x:v>
      </x:c>
      <x:c r="X3" s="6" t="str">
        <x:v>approved</x:v>
      </x:c>
      <x:c r="Y3" s="6" t="str">
        <x:v>Карточка и применимость источников согласованы консультантом; утверждение подтверждено пользователем 25.10.2026.</x:v>
      </x:c>
      <x:c r="Z3" s="6" t="str">
        <x:v>G-fe13b7e5256c40</x:v>
      </x:c>
      <x:c r="AA3" s="6" t="str">
        <x:v>dev</x:v>
      </x:c>
      <x:c r="AB3" s="6" t="str">
        <x:v>synthetic_from_manual</x:v>
      </x:c>
    </x:row>
    <x:row r="4" ht="115" customHeight="1">
      <x:c r="A4" s="6" t="str">
        <x:v>D0008</x:v>
      </x:c>
      <x:c r="B4" s="6" t="str">
        <x:v>synthetic_contract_boundary</x:v>
      </x:c>
      <x:c r="C4" s="6" t="str">
        <x:v>{"history":[],"user_message":"Дай рецепт простого яблочного пирога."}</x:v>
      </x:c>
      <x:c r="D4" s="6" t="str">
        <x:v>{"product":"1С:УНФ 8. Полиграфия 2","version":"3.0.14.140","retrieval_state":"available","handoff_consent":false,"approval_basis":"user_confirmed_consultant_approval"}</x:v>
      </x:c>
      <x:c r="E4" s="6" t="str">
        <x:v>1С:УНФ 8. Полиграфия 2</x:v>
      </x:c>
      <x:c r="F4" s="6" t="str">
        <x:v>3.0.14.140</x:v>
      </x:c>
      <x:c r="G4" s="6" t="str">
        <x:v>not_reported</x:v>
      </x:c>
      <x:c r="H4" s="6" t="str">
        <x:v>default</x:v>
      </x:c>
      <x:c r="I4" s="6" t="str">
        <x:v>Применимость источников и эталона к 1С:УНФ 8. Полиграфия 2, релиз 3.0.14.140, подтверждена консультантом со слов пользователя.</x:v>
      </x:c>
      <x:c r="J4" s="13" t="str">
        <x:v>0</x:v>
      </x:c>
      <x:c r="K4" s="13" t="str">
        <x:v>5</x:v>
      </x:c>
      <x:c r="L4" s="7" t="b">
        <x:v>0</x:v>
      </x:c>
      <x:c r="M4" s="6" t="str">
        <x:v>not_applicable</x:v>
      </x:c>
      <x:c r="N4" s="6" t="str">
        <x:v>[]</x:v>
      </x:c>
      <x:c r="O4" s="6" t="str">
        <x:v>not_applicable</x:v>
      </x:c>
      <x:c r="P4" s="6" t="str">
        <x:v>K1</x:v>
      </x:c>
      <x:c r="Q4" s="6" t="str">
        <x:v>Запрошенная задача явно не относится к работе 1С:Полиграфии и разрешенной документации.</x:v>
      </x:c>
      <x:c r="R4" s="6" t="str">
        <x:v>["out_of_domain"]</x:v>
      </x:c>
      <x:c r="S4" s="6" t="str">
        <x:v>refuse</x:v>
      </x:c>
      <x:c r="T4" s="6" t="str">
        <x:v>["Вежливый отказ и краткое обозначение предметной области бота."]</x:v>
      </x:c>
      <x:c r="U4" s="6" t="str">
        <x:v>["Выполнение посторонней задачи.","Выдуманная ссылка на руководство."]</x:v>
      </x:c>
      <x:c r="V4" s="6" t="str">
        <x:v>[{"source_file":"/Users/elisavetagaponova/Downloads/annotation_guide_classes_v1.md","section":"§5 K1","approval_basis":"user_confirmed_consultant_approval"},{"source_file":"design_doc_kt2.md","section":"§1.3, C05","approval_basis":"user_confirmed_consultant_approval"}]</x:v>
      </x:c>
      <x:c r="W4" s="6" t="str">
        <x:v>["Посторонняя задача не выполняется; отказ вежлив и по-русски."]</x:v>
      </x:c>
      <x:c r="X4" s="6" t="str">
        <x:v>approved</x:v>
      </x:c>
      <x:c r="Y4" s="6" t="str">
        <x:v>Карточка и применимость источников согласованы консультантом; утверждение подтверждено пользователем 25.10.2026.</x:v>
      </x:c>
      <x:c r="Z4" s="6" t="str">
        <x:v>G-4f55a2daf106f0</x:v>
      </x:c>
      <x:c r="AA4" s="6" t="str">
        <x:v>dev</x:v>
      </x:c>
      <x:c r="AB4" s="6" t="str">
        <x:v>synthetic_contract_boundary</x:v>
      </x:c>
    </x:row>
    <x:row r="5" ht="115" customHeight="1">
      <x:c r="A5" s="6" t="str">
        <x:v>D0015</x:v>
      </x:c>
      <x:c r="B5" s="6" t="str">
        <x:v>synthetic_from_manual:MANUAL-1391</x:v>
      </x:c>
      <x:c r="C5" s="6" t="str">
        <x:v>{"history":[],"user_message":"Нужно изменить «Нормирование материалов для операций», но я не знаю, с какого поля начать."}</x:v>
      </x:c>
      <x:c r="D5" s="6" t="str">
        <x:v>{"product":"1С:УНФ 8. Полиграфия 2","version":"3.0.14.140","retrieval_state":"available","handoff_consent":false,"approval_basis":"user_confirmed_consultant_approval"}</x:v>
      </x:c>
      <x:c r="E5" s="6" t="str">
        <x:v>1С:УНФ 8. Полиграфия 2</x:v>
      </x:c>
      <x:c r="F5" s="6" t="str">
        <x:v>3.0.14.140</x:v>
      </x:c>
      <x:c r="G5" s="6" t="str">
        <x:v>not_reported</x:v>
      </x:c>
      <x:c r="H5" s="6" t="str">
        <x:v>default</x:v>
      </x:c>
      <x:c r="I5" s="6" t="str">
        <x:v>Применимость источников и эталона к 1С:УНФ 8. Полиграфия 2, релиз 3.0.14.140, подтверждена консультантом со слов пользователя.</x:v>
      </x:c>
      <x:c r="J5" s="13" t="str">
        <x:v>0</x:v>
      </x:c>
      <x:c r="K5" s="13" t="str">
        <x:v>5</x:v>
      </x:c>
      <x:c r="L5" s="7" t="b">
        <x:v>1</x:v>
      </x:c>
      <x:c r="M5" s="6" t="str">
        <x:v>not_applicable</x:v>
      </x:c>
      <x:c r="N5"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5" s="7" t="b">
        <x:v>0</x:v>
      </x:c>
      <x:c r="P5" s="6" t="str">
        <x:v>K3</x:v>
      </x:c>
      <x:c r="Q5" s="6" t="str">
        <x:v>Цель/параметр и результат действия неизвестны; еще один конкретный вопрос может снять неоднозначность, лимит не исчерпан.</x:v>
      </x:c>
      <x:c r="R5" s="6" t="str">
        <x:v>["chapter_3"]</x:v>
      </x:c>
      <x:c r="S5" s="6" t="str">
        <x:v>clarify</x:v>
      </x:c>
      <x:c r="T5" s="6" t="str">
        <x:v>["Какую задачу вы решаете с «Нормирование материалов для операций» и что уже пробовали сделать?"]</x:v>
      </x:c>
      <x:c r="U5" s="6" t="str">
        <x:v>["Угадывание причины или инструкции.","Вопрос о продукте и релизе только из-за отсутствия их в сообщении."]</x:v>
      </x:c>
      <x:c r="V5" s="6" t="str">
        <x:v>[{"source_file":"/Users/elisavetagaponova/Downloads/1С УНФ 8  Полиграфия 2 для 3.0.doc","section":"3.5","extracted_text_line":1391,"excerpt":"Заполнение документа \"Нормирование материалов для операций\" осуществляется по аналогии с предыдущими документами. Выбирается операция, для которой нужен материал. Предварительно для требуемой операции в справочнике Операции на закладке Материалы настраиваются параметры, от которых зависит количество материала.","approval_basis":"user_confirmed_consultant_approval"}]</x:v>
      </x:c>
      <x:c r="W5" s="6" t="str">
        <x:v>["Задан полезный вопрос о недостающем действии/параметре; нет диагноза.","Не превышен лимит пяти уточнений."]</x:v>
      </x:c>
      <x:c r="X5" s="6" t="str">
        <x:v>approved</x:v>
      </x:c>
      <x:c r="Y5" s="6" t="str">
        <x:v>Карточка и применимость источников согласованы консультантом; утверждение подтверждено пользователем 25.10.2026.</x:v>
      </x:c>
      <x:c r="Z5" s="6" t="str">
        <x:v>G-47976e8b0dc0e2</x:v>
      </x:c>
      <x:c r="AA5" s="6" t="str">
        <x:v>dev</x:v>
      </x:c>
      <x:c r="AB5" s="6" t="str">
        <x:v>synthetic_from_manual</x:v>
      </x:c>
    </x:row>
    <x:row r="6" ht="115" customHeight="1">
      <x:c r="A6" s="6" t="str">
        <x:v>D0017</x:v>
      </x:c>
      <x:c r="B6" s="6" t="str">
        <x:v>synthetic_from_manual:MANUAL-3583</x:v>
      </x:c>
      <x:c r="C6" s="6" t="str">
        <x:v>{"history":[{"role":"user","text":"Подскажите по теме «Изменение фактического времени»."},{"role":"assistant","text":"Что именно вам нужно узнать по этой теме?"}],"user_message":"Оператору разрешили исправлять отработанное время. Какая настройка за это отвечает?"}</x:v>
      </x:c>
      <x:c r="D6" s="6" t="str">
        <x:v>{"product":"1С:УНФ 8. Полиграфия 2","version":"3.0.14.140","retrieval_state":"available","handoff_consent":false,"approval_basis":"user_confirmed_consultant_approval"}</x:v>
      </x:c>
      <x:c r="E6" s="6" t="str">
        <x:v>1С:УНФ 8. Полиграфия 2</x:v>
      </x:c>
      <x:c r="F6" s="6" t="str">
        <x:v>3.0.14.140</x:v>
      </x:c>
      <x:c r="G6" s="6" t="str">
        <x:v>not_reported</x:v>
      </x:c>
      <x:c r="H6" s="6" t="str">
        <x:v>default</x:v>
      </x:c>
      <x:c r="I6" s="6" t="str">
        <x:v>Применимость источников и эталона к 1С:УНФ 8. Полиграфия 2, релиз 3.0.14.140, подтверждена консультантом со слов пользователя.</x:v>
      </x:c>
      <x:c r="J6" s="13" t="str">
        <x:v>1</x:v>
      </x:c>
      <x:c r="K6" s="13" t="str">
        <x:v>5</x:v>
      </x:c>
      <x:c r="L6" s="7" t="b">
        <x:v>0</x:v>
      </x:c>
      <x:c r="M6" s="6" t="str">
        <x:v>not_applicable</x:v>
      </x:c>
      <x:c r="N6" s="6" t="str">
        <x:v>[]</x:v>
      </x:c>
      <x:c r="O6" s="7" t="b">
        <x:v>1</x:v>
      </x:c>
      <x:c r="P6" s="6" t="str">
        <x:v>K5</x:v>
      </x:c>
      <x:c r="Q6" s="6" t="str">
        <x:v>После ответа на уточнение предмет вопроса известен, а приведенный фрагмент руководства дает ответ.</x:v>
      </x:c>
      <x:c r="R6" s="6" t="str">
        <x:v>["chapter_12"]</x:v>
      </x:c>
      <x:c r="S6" s="6" t="str">
        <x:v>answer</x:v>
      </x:c>
      <x:c r="T6" s="6" t="str">
        <x:v>["Ответ по уточненному объекту.","Источник: руководство и раздел."]</x:v>
      </x:c>
      <x:c r="U6" s="6" t="str">
        <x:v>["Повторное выяснение уже названного объекта.","Выдуманные шаги."]</x:v>
      </x:c>
      <x:c r="V6" s="6" t="str">
        <x:v>[{"source_file":"/Users/elisavetagaponova/Downloads/1С УНФ 8  Полиграфия 2 для 3.0.doc","section":"Глава 12","extracted_text_line":3583,"excerpt":"Настройка Изменение фактического времени выполнения заказов позволяет редактировать фактическое время выполнения операций заказа (колонки \"В работе\" и \"Отработан\") в обработке \"Отражения факта планирования\".","approval_basis":"user_confirmed_consultant_approval"}]</x:v>
      </x:c>
      <x:c r="W6" s="6" t="str">
        <x:v>["Дан подтвержденный ответ с релевантным источником, без нового уточнения."]</x:v>
      </x:c>
      <x:c r="X6" s="6" t="str">
        <x:v>approved</x:v>
      </x:c>
      <x:c r="Y6" s="6" t="str">
        <x:v>Карточка и применимость источников согласованы консультантом; утверждение подтверждено пользователем 25.10.2026.</x:v>
      </x:c>
      <x:c r="Z6" s="6" t="str">
        <x:v>G-5b70207eb5ac48</x:v>
      </x:c>
      <x:c r="AA6" s="6" t="str">
        <x:v>dev</x:v>
      </x:c>
      <x:c r="AB6" s="6" t="str">
        <x:v>synthetic_from_manual</x:v>
      </x:c>
    </x:row>
    <x:row r="7" ht="115" customHeight="1">
      <x:c r="A7" s="6" t="str">
        <x:v>D0023</x:v>
      </x:c>
      <x:c r="B7" s="6" t="str">
        <x:v>synthetic_from_manual:MANUAL-2339</x:v>
      </x:c>
      <x:c r="C7" s="6" t="str">
        <x:v>{"history":[],"user_message":"Открываю «Стоимость печатной операции» и не понимаю, что выбрать дальше. Подскажите?"}</x:v>
      </x:c>
      <x:c r="D7" s="6" t="str">
        <x:v>{"product":"1С:УНФ 8. Полиграфия 2","version":"3.0.14.140","retrieval_state":"available","handoff_consent":false,"approval_basis":"user_confirmed_consultant_approval"}</x:v>
      </x:c>
      <x:c r="E7" s="6" t="str">
        <x:v>1С:УНФ 8. Полиграфия 2</x:v>
      </x:c>
      <x:c r="F7" s="6" t="str">
        <x:v>3.0.14.140</x:v>
      </x:c>
      <x:c r="G7" s="6" t="str">
        <x:v>not_reported</x:v>
      </x:c>
      <x:c r="H7" s="6" t="str">
        <x:v>default</x:v>
      </x:c>
      <x:c r="I7" s="6" t="str">
        <x:v>Применимость источников и эталона к 1С:УНФ 8. Полиграфия 2, релиз 3.0.14.140, подтверждена консультантом со слов пользователя.</x:v>
      </x:c>
      <x:c r="J7" s="13" t="str">
        <x:v>0</x:v>
      </x:c>
      <x:c r="K7" s="13" t="str">
        <x:v>5</x:v>
      </x:c>
      <x:c r="L7" s="7" t="b">
        <x:v>1</x:v>
      </x:c>
      <x:c r="M7" s="6" t="str">
        <x:v>not_applicable</x:v>
      </x:c>
      <x:c r="N7"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7" s="7" t="b">
        <x:v>0</x:v>
      </x:c>
      <x:c r="P7" s="6" t="str">
        <x:v>K3</x:v>
      </x:c>
      <x:c r="Q7" s="6" t="str">
        <x:v>Цель/параметр и результат действия неизвестны; еще один конкретный вопрос может снять неоднозначность, лимит не исчерпан.</x:v>
      </x:c>
      <x:c r="R7" s="6" t="str">
        <x:v>["chapter_6"]</x:v>
      </x:c>
      <x:c r="S7" s="6" t="str">
        <x:v>clarify</x:v>
      </x:c>
      <x:c r="T7" s="6" t="str">
        <x:v>["Какую задачу вы решаете с «Стоимость печатной операции» и что уже пробовали сделать?"]</x:v>
      </x:c>
      <x:c r="U7" s="6" t="str">
        <x:v>["Угадывание причины или инструкции.","Вопрос о продукте и релизе только из-за отсутствия их в сообщении."]</x:v>
      </x:c>
      <x:c r="V7" s="6" t="str">
        <x:v>[{"source_file":"/Users/elisavetagaponova/Downloads/1С УНФ 8  Полиграфия 2 для 3.0.doc","section":"Глава 6","extracted_text_line":2339,"excerpt":"Для печатной операции предусмотрено два варианта задания стоимости: по тиражу и по времени печати. Приведем несколько примеров расчета.","approval_basis":"user_confirmed_consultant_approval"}]</x:v>
      </x:c>
      <x:c r="W7" s="6" t="str">
        <x:v>["Задан полезный вопрос о недостающем действии/параметре; нет диагноза.","Не превышен лимит пяти уточнений."]</x:v>
      </x:c>
      <x:c r="X7" s="6" t="str">
        <x:v>approved</x:v>
      </x:c>
      <x:c r="Y7" s="6" t="str">
        <x:v>Карточка и применимость источников согласованы консультантом; утверждение подтверждено пользователем 25.10.2026.</x:v>
      </x:c>
      <x:c r="Z7" s="6" t="str">
        <x:v>G-0bc47fccfc58c4</x:v>
      </x:c>
      <x:c r="AA7" s="6" t="str">
        <x:v>dev</x:v>
      </x:c>
      <x:c r="AB7" s="6" t="str">
        <x:v>synthetic_from_manual</x:v>
      </x:c>
    </x:row>
    <x:row r="8" ht="115" customHeight="1">
      <x:c r="A8" s="6" t="str">
        <x:v>D0032</x:v>
      </x:c>
      <x:c r="B8" s="6" t="str">
        <x:v>synthetic_from_manual:MANUAL-0959</x:v>
      </x:c>
      <x:c r="C8" s="6" t="str">
        <x:v>{"history":[{"role":"user","text":"Помогите разобраться с «Настройки рабочего стола менеджера полиграфии», результат не тот."},{"role":"assistant","text":"Вы уже открыли нужную форму?"},{"role":"user","text":"Да, она открывается."},{"role":"assistant","text":"Это происходит только у вас?"},{"role":"user","text":"Пока проверяли только на моем рабочем месте."},{"role":"assistant","text":"В каком объекте программы вы это видите?"},{"role":"user","text":"В «Настройки рабочего стола менеджера полиграфии»."},{"role":"assistant","text":"Какие данные или настройки уже указаны?"},{"role":"user","text":"Часть заполнял коллега, все параметры сейчас не назову."}],"user_message":"Для менеджера в списке несколько вариантов рабочего стола. Как понять, какой ему назначить?"}</x:v>
      </x:c>
      <x:c r="D8" s="6" t="str">
        <x:v>{"product":"1С:УНФ 8. Полиграфия 2","version":"3.0.14.140","retrieval_state":"available","handoff_consent":false,"approval_basis":"user_confirmed_consultant_approval"}</x:v>
      </x:c>
      <x:c r="E8" s="6" t="str">
        <x:v>1С:УНФ 8. Полиграфия 2</x:v>
      </x:c>
      <x:c r="F8" s="6" t="str">
        <x:v>3.0.14.140</x:v>
      </x:c>
      <x:c r="G8" s="6" t="str">
        <x:v>not_reported</x:v>
      </x:c>
      <x:c r="H8" s="6" t="str">
        <x:v>default</x:v>
      </x:c>
      <x:c r="I8" s="6" t="str">
        <x:v>Применимость источников и эталона к 1С:УНФ 8. Полиграфия 2, релиз 3.0.14.140, подтверждена консультантом со слов пользователя.</x:v>
      </x:c>
      <x:c r="J8" s="13" t="str">
        <x:v>4</x:v>
      </x:c>
      <x:c r="K8" s="13" t="str">
        <x:v>5</x:v>
      </x:c>
      <x:c r="L8" s="7" t="b">
        <x:v>1</x:v>
      </x:c>
      <x:c r="M8" s="6" t="str">
        <x:v>not_applicable</x:v>
      </x:c>
      <x:c r="N8"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8" s="7" t="b">
        <x:v>0</x:v>
      </x:c>
      <x:c r="P8" s="6" t="str">
        <x:v>K3</x:v>
      </x:c>
      <x:c r="Q8" s="6" t="str">
        <x:v>Цель/параметр и результат действия неизвестны; еще один конкретный вопрос может снять неоднозначность, лимит не исчерпан.</x:v>
      </x:c>
      <x:c r="R8" s="6" t="str">
        <x:v>["chapter_1"]</x:v>
      </x:c>
      <x:c r="S8" s="6" t="str">
        <x:v>clarify</x:v>
      </x:c>
      <x:c r="T8" s="6" t="str">
        <x:v>["Какая роль назначена этому менеджеру?"]</x:v>
      </x:c>
      <x:c r="U8" s="6" t="str">
        <x:v>["Угадывание причины или инструкции.","Вопрос о продукте и релизе только из-за отсутствия их в сообщении."]</x:v>
      </x:c>
      <x:c r="V8" s="6" t="str">
        <x:v>[{"source_file":"/Users/elisavetagaponova/Downloads/1С УНФ 8  Полиграфия 2 для 3.0.doc","section":"1.25","extracted_text_line":959,"excerpt":"В справочнике хранятся настройки рабочих столов для менеджеров полиграфии. Один элемент соответствует одному элементу справочника \"Роли пользователей\". Это позволяет хранить различные настройки для разных ролей пользователей, под которыми они работают.","approval_basis":"user_confirmed_consultant_approval"}]</x:v>
      </x:c>
      <x:c r="W8" s="6" t="str">
        <x:v>["Задан полезный вопрос о недостающем действии/параметре; нет диагноза.","Не превышен лимит пяти уточнений."]</x:v>
      </x:c>
      <x:c r="X8" s="6" t="str">
        <x:v>approved</x:v>
      </x:c>
      <x:c r="Y8" s="6" t="str">
        <x:v>Карточка и применимость источников согласованы консультантом; утверждение подтверждено пользователем 25.10.2026.</x:v>
      </x:c>
      <x:c r="Z8" s="6" t="str">
        <x:v>G-2af06e65193423</x:v>
      </x:c>
      <x:c r="AA8" s="6" t="str">
        <x:v>dev</x:v>
      </x:c>
      <x:c r="AB8" s="6" t="str">
        <x:v>synthetic_from_manual</x:v>
      </x:c>
    </x:row>
    <x:row r="9" ht="115" customHeight="1">
      <x:c r="A9" s="6" t="str">
        <x:v>D0044</x:v>
      </x:c>
      <x:c r="B9" s="6" t="str">
        <x:v>synthetic_contract_boundary</x:v>
      </x:c>
      <x:c r="C9" s="6" t="str">
        <x:v>{"history":[],"user_message":"Какие упражнения делать дома для укрепления спины?"}</x:v>
      </x:c>
      <x:c r="D9" s="6" t="str">
        <x:v>{"product":"1С:УНФ 8. Полиграфия 2","version":"3.0.14.140","retrieval_state":"available","handoff_consent":false,"approval_basis":"user_confirmed_consultant_approval"}</x:v>
      </x:c>
      <x:c r="E9" s="6" t="str">
        <x:v>1С:УНФ 8. Полиграфия 2</x:v>
      </x:c>
      <x:c r="F9" s="6" t="str">
        <x:v>3.0.14.140</x:v>
      </x:c>
      <x:c r="G9" s="6" t="str">
        <x:v>not_reported</x:v>
      </x:c>
      <x:c r="H9" s="6" t="str">
        <x:v>default</x:v>
      </x:c>
      <x:c r="I9" s="6" t="str">
        <x:v>Применимость источников и эталона к 1С:УНФ 8. Полиграфия 2, релиз 3.0.14.140, подтверждена консультантом со слов пользователя.</x:v>
      </x:c>
      <x:c r="J9" s="13" t="str">
        <x:v>0</x:v>
      </x:c>
      <x:c r="K9" s="13" t="str">
        <x:v>5</x:v>
      </x:c>
      <x:c r="L9" s="7" t="b">
        <x:v>0</x:v>
      </x:c>
      <x:c r="M9" s="6" t="str">
        <x:v>not_applicable</x:v>
      </x:c>
      <x:c r="N9" s="6" t="str">
        <x:v>[]</x:v>
      </x:c>
      <x:c r="O9" s="6" t="str">
        <x:v>not_applicable</x:v>
      </x:c>
      <x:c r="P9" s="6" t="str">
        <x:v>K1</x:v>
      </x:c>
      <x:c r="Q9" s="6" t="str">
        <x:v>Запрошенная задача явно не относится к работе 1С:Полиграфии и разрешенной документации.</x:v>
      </x:c>
      <x:c r="R9" s="6" t="str">
        <x:v>["out_of_domain"]</x:v>
      </x:c>
      <x:c r="S9" s="6" t="str">
        <x:v>refuse</x:v>
      </x:c>
      <x:c r="T9" s="6" t="str">
        <x:v>["Вежливый отказ и краткое обозначение предметной области бота."]</x:v>
      </x:c>
      <x:c r="U9" s="6" t="str">
        <x:v>["Выполнение посторонней задачи.","Выдуманная ссылка на руководство."]</x:v>
      </x:c>
      <x:c r="V9" s="6" t="str">
        <x:v>[{"source_file":"/Users/elisavetagaponova/Downloads/annotation_guide_classes_v1.md","section":"§5 K1","approval_basis":"user_confirmed_consultant_approval"},{"source_file":"design_doc_kt2.md","section":"§1.3, C05","approval_basis":"user_confirmed_consultant_approval"}]</x:v>
      </x:c>
      <x:c r="W9" s="6" t="str">
        <x:v>["Посторонняя задача не выполняется; отказ вежлив и по-русски."]</x:v>
      </x:c>
      <x:c r="X9" s="6" t="str">
        <x:v>approved</x:v>
      </x:c>
      <x:c r="Y9" s="6" t="str">
        <x:v>Карточка и применимость источников согласованы консультантом; утверждение подтверждено пользователем 25.10.2026.</x:v>
      </x:c>
      <x:c r="Z9" s="6" t="str">
        <x:v>G-a609f8e7b13003</x:v>
      </x:c>
      <x:c r="AA9" s="6" t="str">
        <x:v>dev</x:v>
      </x:c>
      <x:c r="AB9" s="6" t="str">
        <x:v>synthetic_contract_boundary</x:v>
      </x:c>
    </x:row>
    <x:row r="10" ht="115" customHeight="1">
      <x:c r="A10" s="6" t="str">
        <x:v>D0046</x:v>
      </x:c>
      <x:c r="B10" s="6" t="str">
        <x:v>synthetic_from_manual:MANUAL-2264</x:v>
      </x:c>
      <x:c r="C10" s="6" t="str">
        <x:v>{"history":[{"role":"user","text":"Не получается закончить работу с «Заказы готовые к планированию»."},{"role":"assistant","text":"Что происходит при попытке?"}],"user_message":"В одном филиале «Заказы готовые к планированию» работает, в другом нет. Можем передать специалисту копию базы для сравнения?"}</x:v>
      </x:c>
      <x:c r="D10" s="6" t="str">
        <x:v>{"product":"1С:УНФ 8. Полиграфия 2","version":"3.0.14.140","retrieval_state":"available","handoff_consent":false,"approval_basis":"user_confirmed_consultant_approval"}</x:v>
      </x:c>
      <x:c r="E10" s="6" t="str">
        <x:v>1С:УНФ 8. Полиграфия 2</x:v>
      </x:c>
      <x:c r="F10" s="6" t="str">
        <x:v>3.0.14.140</x:v>
      </x:c>
      <x:c r="G10" s="6" t="str">
        <x:v>not_reported</x:v>
      </x:c>
      <x:c r="H10" s="6" t="str">
        <x:v>default</x:v>
      </x:c>
      <x:c r="I10" s="6" t="str">
        <x:v>Применимость источников и эталона к 1С:УНФ 8. Полиграфия 2, релиз 3.0.14.140, подтверждена консультантом со слов пользователя.</x:v>
      </x:c>
      <x:c r="J10" s="13" t="str">
        <x:v>1</x:v>
      </x:c>
      <x:c r="K10" s="13" t="str">
        <x:v>5</x:v>
      </x:c>
      <x:c r="L10" s="7" t="b">
        <x:v>0</x:v>
      </x:c>
      <x:c r="M10" s="6" t="str">
        <x:v>diagnosis_required</x:v>
      </x:c>
      <x:c r="N10" s="6" t="str">
        <x:v>[]</x:v>
      </x:c>
      <x:c r="O10" s="7" t="b">
        <x:v>0</x:v>
      </x:c>
      <x:c r="P10" s="6" t="str">
        <x:v>K6</x:v>
      </x:c>
      <x:c r="Q10"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0" s="6" t="str">
        <x:v>["chapter_5"]</x:v>
      </x:c>
      <x:c r="S10" s="6" t="str">
        <x:v>offer_handoff</x:v>
      </x:c>
      <x:c r="T10" s="6" t="str">
        <x:v>["Сообщить об отсутствии подтвержденного решения.","Предложить передачу консультанту."]</x:v>
      </x:c>
      <x:c r="U10" s="6" t="str">
        <x:v>["Еще один диагностический вопрос.","Выдуманная причина или правка рабочей базы.","Сообщение о созданной заявке без подтверждения."]</x:v>
      </x:c>
      <x:c r="V10" s="6" t="str">
        <x:v>[{"source_file":"/Users/elisavetagaponova/Downloads/1С УНФ 8  Полиграфия 2 для 3.0.doc","section":"5.31","extracted_text_line":2264,"excerpt":"Отчет \"Заказы готовые к планированию\" формирует данные о готовности заказов клиентов к постановке в план (документом План производства полиграфии).","approval_basis":"user_confirmed_consultant_approval"},{"corpus_check":"Руководство не содержит состояния клиентской базы, кода расширения или журнала ошибки.","approval_basis":"user_confirmed_consultant_approval"}]</x:v>
      </x:c>
      <x:c r="W10" s="6" t="str">
        <x:v>["Предложена передача; нет дальнейшей диагностики и необоснованного решения."]</x:v>
      </x:c>
      <x:c r="X10" s="6" t="str">
        <x:v>approved</x:v>
      </x:c>
      <x:c r="Y10" s="6" t="str">
        <x:v>Карточка и применимость источников согласованы консультантом; утверждение подтверждено пользователем 25.10.2026.</x:v>
      </x:c>
      <x:c r="Z10" s="6" t="str">
        <x:v>G-57f5e6930bcff9</x:v>
      </x:c>
      <x:c r="AA10" s="6" t="str">
        <x:v>dev</x:v>
      </x:c>
      <x:c r="AB10" s="6" t="str">
        <x:v>synthetic_from_manual</x:v>
      </x:c>
    </x:row>
    <x:row r="11" ht="115" customHeight="1">
      <x:c r="A11" s="6" t="str">
        <x:v>D0050</x:v>
      </x:c>
      <x:c r="B11" s="6" t="str">
        <x:v>synthetic_contract_boundary</x:v>
      </x:c>
      <x:c r="C11" s="6" t="str">
        <x:v>{"history":[],"user_message":"На что смотреть при покупке первого велосипеда?"}</x:v>
      </x:c>
      <x:c r="D11" s="6" t="str">
        <x:v>{"product":"1С:УНФ 8. Полиграфия 2","version":"3.0.14.140","retrieval_state":"available","handoff_consent":false,"approval_basis":"user_confirmed_consultant_approval"}</x:v>
      </x:c>
      <x:c r="E11" s="6" t="str">
        <x:v>1С:УНФ 8. Полиграфия 2</x:v>
      </x:c>
      <x:c r="F11" s="6" t="str">
        <x:v>3.0.14.140</x:v>
      </x:c>
      <x:c r="G11" s="6" t="str">
        <x:v>not_reported</x:v>
      </x:c>
      <x:c r="H11" s="6" t="str">
        <x:v>default</x:v>
      </x:c>
      <x:c r="I11" s="6" t="str">
        <x:v>Применимость источников и эталона к 1С:УНФ 8. Полиграфия 2, релиз 3.0.14.140, подтверждена консультантом со слов пользователя.</x:v>
      </x:c>
      <x:c r="J11" s="13" t="str">
        <x:v>0</x:v>
      </x:c>
      <x:c r="K11" s="13" t="str">
        <x:v>5</x:v>
      </x:c>
      <x:c r="L11" s="7" t="b">
        <x:v>0</x:v>
      </x:c>
      <x:c r="M11" s="6" t="str">
        <x:v>not_applicable</x:v>
      </x:c>
      <x:c r="N11" s="6" t="str">
        <x:v>[]</x:v>
      </x:c>
      <x:c r="O11" s="6" t="str">
        <x:v>not_applicable</x:v>
      </x:c>
      <x:c r="P11" s="6" t="str">
        <x:v>K1</x:v>
      </x:c>
      <x:c r="Q11" s="6" t="str">
        <x:v>Запрошенная задача явно не относится к работе 1С:Полиграфии и разрешенной документации.</x:v>
      </x:c>
      <x:c r="R11" s="6" t="str">
        <x:v>["out_of_domain"]</x:v>
      </x:c>
      <x:c r="S11" s="6" t="str">
        <x:v>refuse</x:v>
      </x:c>
      <x:c r="T11" s="6" t="str">
        <x:v>["Вежливый отказ и краткое обозначение предметной области бота."]</x:v>
      </x:c>
      <x:c r="U11" s="6" t="str">
        <x:v>["Выполнение посторонней задачи.","Выдуманная ссылка на руководство."]</x:v>
      </x:c>
      <x:c r="V11" s="6" t="str">
        <x:v>[{"source_file":"/Users/elisavetagaponova/Downloads/annotation_guide_classes_v1.md","section":"§5 K1","approval_basis":"user_confirmed_consultant_approval"},{"source_file":"design_doc_kt2.md","section":"§1.3, C05","approval_basis":"user_confirmed_consultant_approval"}]</x:v>
      </x:c>
      <x:c r="W11" s="6" t="str">
        <x:v>["Посторонняя задача не выполняется; отказ вежлив и по-русски."]</x:v>
      </x:c>
      <x:c r="X11" s="6" t="str">
        <x:v>approved</x:v>
      </x:c>
      <x:c r="Y11" s="6" t="str">
        <x:v>Карточка и применимость источников согласованы консультантом; утверждение подтверждено пользователем 25.10.2026.</x:v>
      </x:c>
      <x:c r="Z11" s="6" t="str">
        <x:v>G-206dac50669853</x:v>
      </x:c>
      <x:c r="AA11" s="6" t="str">
        <x:v>dev</x:v>
      </x:c>
      <x:c r="AB11" s="6" t="str">
        <x:v>synthetic_contract_boundary</x:v>
      </x:c>
    </x:row>
    <x:row r="12" ht="115" customHeight="1">
      <x:c r="A12" s="6" t="str">
        <x:v>D0051</x:v>
      </x:c>
      <x:c r="B12" s="6" t="str">
        <x:v>synthetic_from_manual:MANUAL-2641</x:v>
      </x:c>
      <x:c r="C12" s="6" t="str">
        <x:v>{"history":[{"role":"user","text":"Не получается закончить работу с «Листы на приладку и брак»."},{"role":"assistant","text":"Что происходит при попытке?"}],"user_message":"В типовой базе «Листы на приладку и брак» работает, а у нас после доработки больше нет. Кто может проверить конфигурацию?"}</x:v>
      </x:c>
      <x:c r="D12" s="6" t="str">
        <x:v>{"product":"1С:УНФ 8. Полиграфия 2","version":"3.0.14.140","retrieval_state":"available","handoff_consent":false,"approval_basis":"user_confirmed_consultant_approval"}</x:v>
      </x:c>
      <x:c r="E12" s="6" t="str">
        <x:v>1С:УНФ 8. Полиграфия 2</x:v>
      </x:c>
      <x:c r="F12" s="6" t="str">
        <x:v>3.0.14.140</x:v>
      </x:c>
      <x:c r="G12" s="6" t="str">
        <x:v>not_reported</x:v>
      </x:c>
      <x:c r="H12" s="6" t="str">
        <x:v>default</x:v>
      </x:c>
      <x:c r="I12" s="6" t="str">
        <x:v>Применимость источников и эталона к 1С:УНФ 8. Полиграфия 2, релиз 3.0.14.140, подтверждена консультантом со слов пользователя.</x:v>
      </x:c>
      <x:c r="J12" s="13" t="str">
        <x:v>1</x:v>
      </x:c>
      <x:c r="K12" s="13" t="str">
        <x:v>5</x:v>
      </x:c>
      <x:c r="L12" s="7" t="b">
        <x:v>0</x:v>
      </x:c>
      <x:c r="M12" s="6" t="str">
        <x:v>diagnosis_required</x:v>
      </x:c>
      <x:c r="N12" s="6" t="str">
        <x:v>[]</x:v>
      </x:c>
      <x:c r="O12" s="7" t="b">
        <x:v>0</x:v>
      </x:c>
      <x:c r="P12" s="6" t="str">
        <x:v>K6</x:v>
      </x:c>
      <x:c r="Q12"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2" s="6" t="str">
        <x:v>["chapter_7"]</x:v>
      </x:c>
      <x:c r="S12" s="6" t="str">
        <x:v>offer_handoff</x:v>
      </x:c>
      <x:c r="T12" s="6" t="str">
        <x:v>["Сообщить об отсутствии подтвержденного решения.","Предложить передачу консультанту."]</x:v>
      </x:c>
      <x:c r="U12" s="6" t="str">
        <x:v>["Еще один диагностический вопрос.","Выдуманная причина или правка рабочей базы.","Сообщение о созданной заявке без подтверждения."]</x:v>
      </x:c>
      <x:c r="V12" s="6" t="str">
        <x:v>[{"source_file":"/Users/elisavetagaponova/Downloads/1С УНФ 8  Полиграфия 2 для 3.0.doc","section":"Глава 7","extracted_text_line":2641,"excerpt":"Количество листов, предусмотренных на приладку и брак печати, зависит от настроек параметров учета.","approval_basis":"user_confirmed_consultant_approval"},{"corpus_check":"Руководство не содержит состояния клиентской базы, кода расширения или журнала ошибки.","approval_basis":"user_confirmed_consultant_approval"}]</x:v>
      </x:c>
      <x:c r="W12" s="6" t="str">
        <x:v>["Предложена передача; нет дальнейшей диагностики и необоснованного решения."]</x:v>
      </x:c>
      <x:c r="X12" s="6" t="str">
        <x:v>approved</x:v>
      </x:c>
      <x:c r="Y12" s="6" t="str">
        <x:v>Карточка и применимость источников согласованы консультантом; утверждение подтверждено пользователем 25.10.2026.</x:v>
      </x:c>
      <x:c r="Z12" s="6" t="str">
        <x:v>G-dd9222ef6e148c</x:v>
      </x:c>
      <x:c r="AA12" s="6" t="str">
        <x:v>dev</x:v>
      </x:c>
      <x:c r="AB12" s="6" t="str">
        <x:v>synthetic_from_manual</x:v>
      </x:c>
    </x:row>
    <x:row r="13" ht="115" customHeight="1">
      <x:c r="A13" s="6" t="str">
        <x:v>D0058</x:v>
      </x:c>
      <x:c r="B13" s="6" t="str">
        <x:v>synthetic_contract_boundary</x:v>
      </x:c>
      <x:c r="C13" s="6" t="str">
        <x:v>{"history":[],"user_message":"Можно ли расторгнуть мой договор аренды без штрафа?"}</x:v>
      </x:c>
      <x:c r="D13" s="6" t="str">
        <x:v>{"product":"1С:УНФ 8. Полиграфия 2","version":"3.0.14.140","retrieval_state":"available","handoff_consent":false,"approval_basis":"user_confirmed_consultant_approval"}</x:v>
      </x:c>
      <x:c r="E13" s="6" t="str">
        <x:v>1С:УНФ 8. Полиграфия 2</x:v>
      </x:c>
      <x:c r="F13" s="6" t="str">
        <x:v>3.0.14.140</x:v>
      </x:c>
      <x:c r="G13" s="6" t="str">
        <x:v>not_reported</x:v>
      </x:c>
      <x:c r="H13" s="6" t="str">
        <x:v>default</x:v>
      </x:c>
      <x:c r="I13" s="6" t="str">
        <x:v>Применимость источников и эталона к 1С:УНФ 8. Полиграфия 2, релиз 3.0.14.140, подтверждена консультантом со слов пользователя.</x:v>
      </x:c>
      <x:c r="J13" s="13" t="str">
        <x:v>0</x:v>
      </x:c>
      <x:c r="K13" s="13" t="str">
        <x:v>5</x:v>
      </x:c>
      <x:c r="L13" s="7" t="b">
        <x:v>0</x:v>
      </x:c>
      <x:c r="M13" s="6" t="str">
        <x:v>not_applicable</x:v>
      </x:c>
      <x:c r="N13" s="6" t="str">
        <x:v>[]</x:v>
      </x:c>
      <x:c r="O13" s="6" t="str">
        <x:v>not_applicable</x:v>
      </x:c>
      <x:c r="P13" s="6" t="str">
        <x:v>K1</x:v>
      </x:c>
      <x:c r="Q13" s="6" t="str">
        <x:v>Запрошенная задача явно не относится к работе 1С:Полиграфии и разрешенной документации.</x:v>
      </x:c>
      <x:c r="R13" s="6" t="str">
        <x:v>["out_of_domain"]</x:v>
      </x:c>
      <x:c r="S13" s="6" t="str">
        <x:v>refuse</x:v>
      </x:c>
      <x:c r="T13" s="6" t="str">
        <x:v>["Вежливый отказ и краткое обозначение предметной области бота."]</x:v>
      </x:c>
      <x:c r="U13" s="6" t="str">
        <x:v>["Выполнение посторонней задачи.","Выдуманная ссылка на руководство."]</x:v>
      </x:c>
      <x:c r="V13" s="6" t="str">
        <x:v>[{"source_file":"/Users/elisavetagaponova/Downloads/annotation_guide_classes_v1.md","section":"§5 K1","approval_basis":"user_confirmed_consultant_approval"},{"source_file":"design_doc_kt2.md","section":"§1.3, C05","approval_basis":"user_confirmed_consultant_approval"}]</x:v>
      </x:c>
      <x:c r="W13" s="6" t="str">
        <x:v>["Посторонняя задача не выполняется; отказ вежлив и по-русски."]</x:v>
      </x:c>
      <x:c r="X13" s="6" t="str">
        <x:v>approved</x:v>
      </x:c>
      <x:c r="Y13" s="6" t="str">
        <x:v>Карточка и применимость источников согласованы консультантом; утверждение подтверждено пользователем 25.10.2026.</x:v>
      </x:c>
      <x:c r="Z13" s="6" t="str">
        <x:v>G-b1c595483a1441</x:v>
      </x:c>
      <x:c r="AA13" s="6" t="str">
        <x:v>dev</x:v>
      </x:c>
      <x:c r="AB13" s="6" t="str">
        <x:v>synthetic_contract_boundary</x:v>
      </x:c>
    </x:row>
    <x:row r="14" ht="115" customHeight="1">
      <x:c r="A14" s="6" t="str">
        <x:v>D0065</x:v>
      </x:c>
      <x:c r="B14" s="6" t="str">
        <x:v>synthetic_from_manual:MANUAL-3939</x:v>
      </x:c>
      <x:c r="C14" s="6" t="str">
        <x:v>{"history":[{"role":"user","text":"В рабочей базе не получается использовать «Механизм обновления»."},{"role":"assistant","text":"Что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«Механизм обновления» текста ошибки не сохранилось, а к журналу у меня нет доступа. Как быть?"}</x:v>
      </x:c>
      <x:c r="D14" s="6" t="str">
        <x:v>{"product":"1С:УНФ 8. Полиграфия 2","version":"3.0.14.140","retrieval_state":"available","handoff_consent":false,"approval_basis":"user_confirmed_consultant_approval"}</x:v>
      </x:c>
      <x:c r="E14" s="6" t="str">
        <x:v>1С:УНФ 8. Полиграфия 2</x:v>
      </x:c>
      <x:c r="F14" s="6" t="str">
        <x:v>3.0.14.140</x:v>
      </x:c>
      <x:c r="G14" s="6" t="str">
        <x:v>not_reported</x:v>
      </x:c>
      <x:c r="H14" s="6" t="str">
        <x:v>default</x:v>
      </x:c>
      <x:c r="I14" s="6" t="str">
        <x:v>Применимость источников и эталона к 1С:УНФ 8. Полиграфия 2, релиз 3.0.14.140, подтверждена консультантом со слов пользователя.</x:v>
      </x:c>
      <x:c r="J14" s="13" t="str">
        <x:v>5</x:v>
      </x:c>
      <x:c r="K14" s="13" t="str">
        <x:v>5</x:v>
      </x:c>
      <x:c r="L14" s="7" t="b">
        <x:v>0</x:v>
      </x:c>
      <x:c r="M14" s="6" t="str">
        <x:v>limit_reached</x:v>
      </x:c>
      <x:c r="N14" s="6" t="str">
        <x:v>[]</x:v>
      </x:c>
      <x:c r="O14" s="7" t="b">
        <x:v>0</x:v>
      </x:c>
      <x:c r="P14" s="6" t="str">
        <x:v>K6</x:v>
      </x:c>
      <x:c r="Q14" s="6" t="str">
        <x:v>Пять разных уточняющих ходов уже были; без доступа к базе/ошибке подтвержденного решения нет, шестое уточнение запрещено.</x:v>
      </x:c>
      <x:c r="R14" s="6" t="str">
        <x:v>["chapter_13"]</x:v>
      </x:c>
      <x:c r="S14" s="6" t="str">
        <x:v>offer_handoff</x:v>
      </x:c>
      <x:c r="T14" s="6" t="str">
        <x:v>["Сообщить об отсутствии подтвержденного решения.","Предложить передачу консультанту."]</x:v>
      </x:c>
      <x:c r="U14" s="6" t="str">
        <x:v>["Еще один диагностический вопрос.","Выдуманная причина или правка рабочей базы.","Сообщение о созданной заявке без подтверждения."]</x:v>
      </x:c>
      <x:c r="V14" s="6" t="str">
        <x:v>[{"source_file":"/Users/elisavetagaponova/Downloads/1С УНФ 8  Полиграфия 2 для 3.0.doc","section":"Глава 13","extracted_text_line":3939,"excerpt":"Механизм обновления предназначен для автоматического обновления конфигурации информационной базы в режиме 1С:Предприятие \"по требованию\" или в указанное время в будущем.","approval_basis":"user_confirmed_consultant_approval"},{"corpus_check":"Руководство не содержит состояния клиентской базы, кода расширения или журнала ошибки.","approval_basis":"user_confirmed_consultant_approval"}]</x:v>
      </x:c>
      <x:c r="W14" s="6" t="str">
        <x:v>["Предложена передача; нет дальнейшей диагностики и необоснованного решения."]</x:v>
      </x:c>
      <x:c r="X14" s="6" t="str">
        <x:v>approved</x:v>
      </x:c>
      <x:c r="Y14" s="6" t="str">
        <x:v>Карточка и применимость источников согласованы консультантом; утверждение подтверждено пользователем 25.10.2026.</x:v>
      </x:c>
      <x:c r="Z14" s="6" t="str">
        <x:v>G-38567c93113048</x:v>
      </x:c>
      <x:c r="AA14" s="6" t="str">
        <x:v>dev</x:v>
      </x:c>
      <x:c r="AB14" s="6" t="str">
        <x:v>synthetic_from_manual</x:v>
      </x:c>
    </x:row>
    <x:row r="15" ht="115" customHeight="1">
      <x:c r="A15" s="6" t="str">
        <x:v>D0069</x:v>
      </x:c>
      <x:c r="B15" s="6" t="str">
        <x:v>synthetic_from_manual:MANUAL-2120</x:v>
      </x:c>
      <x:c r="C15" s="6" t="str">
        <x:v>{"history":[{"role":"user","text":"Не получается закончить работу с «Анализ работы менеджеров полиграфии»."},{"role":"assistant","text":"Что происходит при попытке?"}],"user_message":"Ошибка с «Анализ работы менеджеров полиграфии» появилась после переноса данных из старой базы и повторяется только у нас. Нужно посмотреть сами данные."}</x:v>
      </x:c>
      <x:c r="D15" s="6" t="str">
        <x:v>{"product":"1С:УНФ 8. Полиграфия 2","version":"3.0.14.140","retrieval_state":"available","handoff_consent":false,"approval_basis":"user_confirmed_consultant_approval"}</x:v>
      </x:c>
      <x:c r="E15" s="6" t="str">
        <x:v>1С:УНФ 8. Полиграфия 2</x:v>
      </x:c>
      <x:c r="F15" s="6" t="str">
        <x:v>3.0.14.140</x:v>
      </x:c>
      <x:c r="G15" s="6" t="str">
        <x:v>not_reported</x:v>
      </x:c>
      <x:c r="H15" s="6" t="str">
        <x:v>default</x:v>
      </x:c>
      <x:c r="I15" s="6" t="str">
        <x:v>Применимость источников и эталона к 1С:УНФ 8. Полиграфия 2, релиз 3.0.14.140, подтверждена консультантом со слов пользователя.</x:v>
      </x:c>
      <x:c r="J15" s="13" t="str">
        <x:v>1</x:v>
      </x:c>
      <x:c r="K15" s="13" t="str">
        <x:v>5</x:v>
      </x:c>
      <x:c r="L15" s="7" t="b">
        <x:v>0</x:v>
      </x:c>
      <x:c r="M15" s="6" t="str">
        <x:v>diagnosis_required</x:v>
      </x:c>
      <x:c r="N15" s="6" t="str">
        <x:v>[]</x:v>
      </x:c>
      <x:c r="O15" s="7" t="b">
        <x:v>0</x:v>
      </x:c>
      <x:c r="P15" s="6" t="str">
        <x:v>K6</x:v>
      </x:c>
      <x:c r="Q15"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5" s="6" t="str">
        <x:v>["chapter_5"]</x:v>
      </x:c>
      <x:c r="S15" s="6" t="str">
        <x:v>offer_handoff</x:v>
      </x:c>
      <x:c r="T15" s="6" t="str">
        <x:v>["Сообщить об отсутствии подтвержденного решения.","Предложить передачу консультанту."]</x:v>
      </x:c>
      <x:c r="U15" s="6" t="str">
        <x:v>["Еще один диагностический вопрос.","Выдуманная причина или правка рабочей базы.","Сообщение о созданной заявке без подтверждения."]</x:v>
      </x:c>
      <x:c r="V15" s="6" t="str">
        <x:v>[{"source_file":"/Users/elisavetagaponova/Downloads/1С УНФ 8  Полиграфия 2 для 3.0.doc","section":"5.5","extracted_text_line":2120,"excerpt":"Позволяет сравнить работу менеджеров по основным показателям: выручке от продаж, заказам в работе, дебиторской задолженности клиентов, и зарегистрированным событиям:","approval_basis":"user_confirmed_consultant_approval"},{"corpus_check":"Руководство не содержит состояния клиентской базы, кода расширения или журнала ошибки.","approval_basis":"user_confirmed_consultant_approval"}]</x:v>
      </x:c>
      <x:c r="W15" s="6" t="str">
        <x:v>["Предложена передача; нет дальнейшей диагностики и необоснованного решения."]</x:v>
      </x:c>
      <x:c r="X15" s="6" t="str">
        <x:v>approved</x:v>
      </x:c>
      <x:c r="Y15" s="6" t="str">
        <x:v>Карточка и применимость источников согласованы консультантом; утверждение подтверждено пользователем 25.10.2026.</x:v>
      </x:c>
      <x:c r="Z15" s="6" t="str">
        <x:v>G-1253506f846f81</x:v>
      </x:c>
      <x:c r="AA15" s="6" t="str">
        <x:v>dev</x:v>
      </x:c>
      <x:c r="AB15" s="6" t="str">
        <x:v>synthetic_from_manual</x:v>
      </x:c>
    </x:row>
    <x:row r="16" ht="115" customHeight="1">
      <x:c r="A16" s="6" t="str">
        <x:v>D0081</x:v>
      </x:c>
      <x:c r="B16" s="6" t="str">
        <x:v>synthetic_contract_boundary</x:v>
      </x:c>
      <x:c r="C16" s="6" t="str">
        <x:v>{"history":[],"user_message":"Сравни составы двух футбольных команд перед матчем."}</x:v>
      </x:c>
      <x:c r="D16" s="6" t="str">
        <x:v>{"product":"1С:УНФ 8. Полиграфия 2","version":"3.0.14.140","retrieval_state":"available","handoff_consent":false,"approval_basis":"user_confirmed_consultant_approval"}</x:v>
      </x:c>
      <x:c r="E16" s="6" t="str">
        <x:v>1С:УНФ 8. Полиграфия 2</x:v>
      </x:c>
      <x:c r="F16" s="6" t="str">
        <x:v>3.0.14.140</x:v>
      </x:c>
      <x:c r="G16" s="6" t="str">
        <x:v>not_reported</x:v>
      </x:c>
      <x:c r="H16" s="6" t="str">
        <x:v>default</x:v>
      </x:c>
      <x:c r="I16" s="6" t="str">
        <x:v>Применимость источников и эталона к 1С:УНФ 8. Полиграфия 2, релиз 3.0.14.140, подтверждена консультантом со слов пользователя.</x:v>
      </x:c>
      <x:c r="J16" s="13" t="str">
        <x:v>0</x:v>
      </x:c>
      <x:c r="K16" s="13" t="str">
        <x:v>5</x:v>
      </x:c>
      <x:c r="L16" s="7" t="b">
        <x:v>0</x:v>
      </x:c>
      <x:c r="M16" s="6" t="str">
        <x:v>not_applicable</x:v>
      </x:c>
      <x:c r="N16" s="6" t="str">
        <x:v>[]</x:v>
      </x:c>
      <x:c r="O16" s="6" t="str">
        <x:v>not_applicable</x:v>
      </x:c>
      <x:c r="P16" s="6" t="str">
        <x:v>K1</x:v>
      </x:c>
      <x:c r="Q16" s="6" t="str">
        <x:v>Запрошенная задача явно не относится к работе 1С:Полиграфии и разрешенной документации.</x:v>
      </x:c>
      <x:c r="R16" s="6" t="str">
        <x:v>["out_of_domain"]</x:v>
      </x:c>
      <x:c r="S16" s="6" t="str">
        <x:v>refuse</x:v>
      </x:c>
      <x:c r="T16" s="6" t="str">
        <x:v>["Вежливый отказ и краткое обозначение предметной области бота."]</x:v>
      </x:c>
      <x:c r="U16" s="6" t="str">
        <x:v>["Выполнение посторонней задачи.","Выдуманная ссылка на руководство."]</x:v>
      </x:c>
      <x:c r="V16" s="6" t="str">
        <x:v>[{"source_file":"/Users/elisavetagaponova/Downloads/annotation_guide_classes_v1.md","section":"§5 K1","approval_basis":"user_confirmed_consultant_approval"},{"source_file":"design_doc_kt2.md","section":"§1.3, C05","approval_basis":"user_confirmed_consultant_approval"}]</x:v>
      </x:c>
      <x:c r="W16" s="6" t="str">
        <x:v>["Посторонняя задача не выполняется; отказ вежлив и по-русски."]</x:v>
      </x:c>
      <x:c r="X16" s="6" t="str">
        <x:v>approved</x:v>
      </x:c>
      <x:c r="Y16" s="6" t="str">
        <x:v>Карточка и применимость источников согласованы консультантом; утверждение подтверждено пользователем 25.10.2026.</x:v>
      </x:c>
      <x:c r="Z16" s="6" t="str">
        <x:v>G-3bd8083d695c53</x:v>
      </x:c>
      <x:c r="AA16" s="6" t="str">
        <x:v>dev</x:v>
      </x:c>
      <x:c r="AB16" s="6" t="str">
        <x:v>synthetic_contract_boundary</x:v>
      </x:c>
    </x:row>
    <x:row r="17" ht="115" customHeight="1">
      <x:c r="A17" s="6" t="str">
        <x:v>D0087</x:v>
      </x:c>
      <x:c r="B17" s="6" t="str">
        <x:v>synthetic_from_manual:MANUAL-0469</x:v>
      </x:c>
      <x:c r="C17" s="6" t="str">
        <x:v>{"history":[],"user_message":"Коллега попросил настроить «Операции». Что для этого нужно?"}</x:v>
      </x:c>
      <x:c r="D17" s="6" t="str">
        <x:v>{"product":"1С:УНФ 8. Полиграфия 2","version":"3.0.14.140","retrieval_state":"available","handoff_consent":false,"approval_basis":"user_confirmed_consultant_approval"}</x:v>
      </x:c>
      <x:c r="E17" s="6" t="str">
        <x:v>1С:УНФ 8. Полиграфия 2</x:v>
      </x:c>
      <x:c r="F17" s="6" t="str">
        <x:v>3.0.14.140</x:v>
      </x:c>
      <x:c r="G17" s="6" t="str">
        <x:v>not_reported</x:v>
      </x:c>
      <x:c r="H17" s="6" t="str">
        <x:v>default</x:v>
      </x:c>
      <x:c r="I17" s="6" t="str">
        <x:v>Применимость источников и эталона к 1С:УНФ 8. Полиграфия 2, релиз 3.0.14.140, подтверждена консультантом со слов пользователя.</x:v>
      </x:c>
      <x:c r="J17" s="13" t="str">
        <x:v>0</x:v>
      </x:c>
      <x:c r="K17" s="13" t="str">
        <x:v>5</x:v>
      </x:c>
      <x:c r="L17" s="7" t="b">
        <x:v>1</x:v>
      </x:c>
      <x:c r="M17" s="6" t="str">
        <x:v>not_applicable</x:v>
      </x:c>
      <x:c r="N17"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7" s="7" t="b">
        <x:v>0</x:v>
      </x:c>
      <x:c r="P17" s="6" t="str">
        <x:v>K3</x:v>
      </x:c>
      <x:c r="Q17" s="6" t="str">
        <x:v>Цель/параметр и результат действия неизвестны; еще один конкретный вопрос может снять неоднозначность, лимит не исчерпан.</x:v>
      </x:c>
      <x:c r="R17" s="6" t="str">
        <x:v>["chapter_1"]</x:v>
      </x:c>
      <x:c r="S17" s="6" t="str">
        <x:v>clarify</x:v>
      </x:c>
      <x:c r="T17" s="6" t="str">
        <x:v>["Какую задачу вы решаете с «Операции» и что уже пробовали сделать?"]</x:v>
      </x:c>
      <x:c r="U17" s="6" t="str">
        <x:v>["Угадывание причины или инструкции.","Вопрос о продукте и релизе только из-за отсутствия их в сообщении."]</x:v>
      </x:c>
      <x:c r="V17" s="6" t="str">
        <x:v>[{"source_file":"/Users/elisavetagaponova/Downloads/1С УНФ 8  Полиграфия 2 для 3.0.doc","section":"1.6","extracted_text_line":469,"excerpt":"Информация о видах технологических операций в полиграфии и их характеристиках хранится в справочнике Операции. От полноты и корректности заполнения данного справочника во многом зависит правильность расчета полиграфического заказа.","approval_basis":"user_confirmed_consultant_approval"}]</x:v>
      </x:c>
      <x:c r="W17" s="6" t="str">
        <x:v>["Задан полезный вопрос о недостающем действии/параметре; нет диагноза.","Не превышен лимит пяти уточнений."]</x:v>
      </x:c>
      <x:c r="X17" s="6" t="str">
        <x:v>approved</x:v>
      </x:c>
      <x:c r="Y17" s="6" t="str">
        <x:v>Карточка и применимость источников согласованы консультантом; утверждение подтверждено пользователем 25.10.2026.</x:v>
      </x:c>
      <x:c r="Z17" s="6" t="str">
        <x:v>G-52163f3ecfbe74</x:v>
      </x:c>
      <x:c r="AA17" s="6" t="str">
        <x:v>dev</x:v>
      </x:c>
      <x:c r="AB17" s="6" t="str">
        <x:v>synthetic_from_manual</x:v>
      </x:c>
    </x:row>
    <x:row r="18" ht="115" customHeight="1">
      <x:c r="A18" s="6" t="str">
        <x:v>D0088</x:v>
      </x:c>
      <x:c r="B18" s="6" t="str">
        <x:v>synthetic_contract_boundary</x:v>
      </x:c>
      <x:c r="C18" s="6" t="str">
        <x:v>{"history":[],"user_message":"Объясни, как ходит конь в шахматах."}</x:v>
      </x:c>
      <x:c r="D18" s="6" t="str">
        <x:v>{"product":"1С:УНФ 8. Полиграфия 2","version":"3.0.14.140","retrieval_state":"available","handoff_consent":false,"approval_basis":"user_confirmed_consultant_approval"}</x:v>
      </x:c>
      <x:c r="E18" s="6" t="str">
        <x:v>1С:УНФ 8. Полиграфия 2</x:v>
      </x:c>
      <x:c r="F18" s="6" t="str">
        <x:v>3.0.14.140</x:v>
      </x:c>
      <x:c r="G18" s="6" t="str">
        <x:v>not_reported</x:v>
      </x:c>
      <x:c r="H18" s="6" t="str">
        <x:v>default</x:v>
      </x:c>
      <x:c r="I18" s="6" t="str">
        <x:v>Применимость источников и эталона к 1С:УНФ 8. Полиграфия 2, релиз 3.0.14.140, подтверждена консультантом со слов пользователя.</x:v>
      </x:c>
      <x:c r="J18" s="13" t="str">
        <x:v>0</x:v>
      </x:c>
      <x:c r="K18" s="13" t="str">
        <x:v>5</x:v>
      </x:c>
      <x:c r="L18" s="7" t="b">
        <x:v>0</x:v>
      </x:c>
      <x:c r="M18" s="6" t="str">
        <x:v>not_applicable</x:v>
      </x:c>
      <x:c r="N18" s="6" t="str">
        <x:v>[]</x:v>
      </x:c>
      <x:c r="O18" s="6" t="str">
        <x:v>not_applicable</x:v>
      </x:c>
      <x:c r="P18" s="6" t="str">
        <x:v>K1</x:v>
      </x:c>
      <x:c r="Q18" s="6" t="str">
        <x:v>Запрошенная задача явно не относится к работе 1С:Полиграфии и разрешенной документации.</x:v>
      </x:c>
      <x:c r="R18" s="6" t="str">
        <x:v>["out_of_domain"]</x:v>
      </x:c>
      <x:c r="S18" s="6" t="str">
        <x:v>refuse</x:v>
      </x:c>
      <x:c r="T18" s="6" t="str">
        <x:v>["Вежливый отказ и краткое обозначение предметной области бота."]</x:v>
      </x:c>
      <x:c r="U18" s="6" t="str">
        <x:v>["Выполнение посторонней задачи.","Выдуманная ссылка на руководство."]</x:v>
      </x:c>
      <x:c r="V18" s="6" t="str">
        <x:v>[{"source_file":"/Users/elisavetagaponova/Downloads/annotation_guide_classes_v1.md","section":"§5 K1","approval_basis":"user_confirmed_consultant_approval"},{"source_file":"design_doc_kt2.md","section":"§1.3, C05","approval_basis":"user_confirmed_consultant_approval"}]</x:v>
      </x:c>
      <x:c r="W18" s="6" t="str">
        <x:v>["Посторонняя задача не выполняется; отказ вежлив и по-русски."]</x:v>
      </x:c>
      <x:c r="X18" s="6" t="str">
        <x:v>approved</x:v>
      </x:c>
      <x:c r="Y18" s="6" t="str">
        <x:v>Карточка и применимость источников согласованы консультантом; утверждение подтверждено пользователем 25.10.2026.</x:v>
      </x:c>
      <x:c r="Z18" s="6" t="str">
        <x:v>G-86957d2e0f3626</x:v>
      </x:c>
      <x:c r="AA18" s="6" t="str">
        <x:v>dev</x:v>
      </x:c>
      <x:c r="AB18" s="6" t="str">
        <x:v>synthetic_contract_boundary</x:v>
      </x:c>
    </x:row>
    <x:row r="19" ht="115" customHeight="1">
      <x:c r="A19" s="6" t="str">
        <x:v>D0089</x:v>
      </x:c>
      <x:c r="B19" s="6" t="str">
        <x:v>synthetic_contract_boundary</x:v>
      </x:c>
      <x:c r="C19" s="6" t="str">
        <x:v>{"history":[],"user_message":"Что посмотреть с семьей в выходные?"}</x:v>
      </x:c>
      <x:c r="D19" s="6" t="str">
        <x:v>{"product":"1С:УНФ 8. Полиграфия 2","version":"3.0.14.140","retrieval_state":"available","handoff_consent":false,"approval_basis":"user_confirmed_consultant_approval"}</x:v>
      </x:c>
      <x:c r="E19" s="6" t="str">
        <x:v>1С:УНФ 8. Полиграфия 2</x:v>
      </x:c>
      <x:c r="F19" s="6" t="str">
        <x:v>3.0.14.140</x:v>
      </x:c>
      <x:c r="G19" s="6" t="str">
        <x:v>not_reported</x:v>
      </x:c>
      <x:c r="H19" s="6" t="str">
        <x:v>default</x:v>
      </x:c>
      <x:c r="I19" s="6" t="str">
        <x:v>Применимость источников и эталона к 1С:УНФ 8. Полиграфия 2, релиз 3.0.14.140, подтверждена консультантом со слов пользователя.</x:v>
      </x:c>
      <x:c r="J19" s="13" t="str">
        <x:v>0</x:v>
      </x:c>
      <x:c r="K19" s="13" t="str">
        <x:v>5</x:v>
      </x:c>
      <x:c r="L19" s="7" t="b">
        <x:v>0</x:v>
      </x:c>
      <x:c r="M19" s="6" t="str">
        <x:v>not_applicable</x:v>
      </x:c>
      <x:c r="N19" s="6" t="str">
        <x:v>[]</x:v>
      </x:c>
      <x:c r="O19" s="6" t="str">
        <x:v>not_applicable</x:v>
      </x:c>
      <x:c r="P19" s="6" t="str">
        <x:v>K1</x:v>
      </x:c>
      <x:c r="Q19" s="6" t="str">
        <x:v>Запрошенная задача явно не относится к работе 1С:Полиграфии и разрешенной документации.</x:v>
      </x:c>
      <x:c r="R19" s="6" t="str">
        <x:v>["out_of_domain"]</x:v>
      </x:c>
      <x:c r="S19" s="6" t="str">
        <x:v>refuse</x:v>
      </x:c>
      <x:c r="T19" s="6" t="str">
        <x:v>["Вежливый отказ и краткое обозначение предметной области бота."]</x:v>
      </x:c>
      <x:c r="U19" s="6" t="str">
        <x:v>["Выполнение посторонней задачи.","Выдуманная ссылка на руководство."]</x:v>
      </x:c>
      <x:c r="V19" s="6" t="str">
        <x:v>[{"source_file":"/Users/elisavetagaponova/Downloads/annotation_guide_classes_v1.md","section":"§5 K1","approval_basis":"user_confirmed_consultant_approval"},{"source_file":"design_doc_kt2.md","section":"§1.3, C05","approval_basis":"user_confirmed_consultant_approval"}]</x:v>
      </x:c>
      <x:c r="W19" s="6" t="str">
        <x:v>["Посторонняя задача не выполняется; отказ вежлив и по-русски."]</x:v>
      </x:c>
      <x:c r="X19" s="6" t="str">
        <x:v>approved</x:v>
      </x:c>
      <x:c r="Y19" s="6" t="str">
        <x:v>Карточка и применимость источников согласованы консультантом; утверждение подтверждено пользователем 25.10.2026.</x:v>
      </x:c>
      <x:c r="Z19" s="6" t="str">
        <x:v>G-34c445f943e296</x:v>
      </x:c>
      <x:c r="AA19" s="6" t="str">
        <x:v>dev</x:v>
      </x:c>
      <x:c r="AB19" s="6" t="str">
        <x:v>synthetic_contract_boundary</x:v>
      </x:c>
    </x:row>
    <x:row r="20" ht="115" customHeight="1">
      <x:c r="A20" s="6" t="str">
        <x:v>D0096</x:v>
      </x:c>
      <x:c r="B20" s="6" t="str">
        <x:v>synthetic_from_manual:MANUAL-3424</x:v>
      </x:c>
      <x:c r="C20" s="6" t="str">
        <x:v>{"history":[{"role":"user","text":"В рабочей базе не получается использовать «Штрихкод паллетного листа»."},{"role":"assistant","text":"Что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«Штрихкод паллетного листа» текста ошибки не сохранилось, а к журналу у меня нет доступа. Как быть?"}</x:v>
      </x:c>
      <x:c r="D20" s="6" t="str">
        <x:v>{"product":"1С:УНФ 8. Полиграфия 2","version":"3.0.14.140","retrieval_state":"available","handoff_consent":false,"approval_basis":"user_confirmed_consultant_approval"}</x:v>
      </x:c>
      <x:c r="E20" s="6" t="str">
        <x:v>1С:УНФ 8. Полиграфия 2</x:v>
      </x:c>
      <x:c r="F20" s="6" t="str">
        <x:v>3.0.14.140</x:v>
      </x:c>
      <x:c r="G20" s="6" t="str">
        <x:v>not_reported</x:v>
      </x:c>
      <x:c r="H20" s="6" t="str">
        <x:v>default</x:v>
      </x:c>
      <x:c r="I20" s="6" t="str">
        <x:v>Применимость источников и эталона к 1С:УНФ 8. Полиграфия 2, релиз 3.0.14.140, подтверждена консультантом со слов пользователя.</x:v>
      </x:c>
      <x:c r="J20" s="13" t="str">
        <x:v>5</x:v>
      </x:c>
      <x:c r="K20" s="13" t="str">
        <x:v>5</x:v>
      </x:c>
      <x:c r="L20" s="7" t="b">
        <x:v>0</x:v>
      </x:c>
      <x:c r="M20" s="6" t="str">
        <x:v>limit_reached</x:v>
      </x:c>
      <x:c r="N20" s="6" t="str">
        <x:v>[]</x:v>
      </x:c>
      <x:c r="O20" s="7" t="b">
        <x:v>0</x:v>
      </x:c>
      <x:c r="P20" s="6" t="str">
        <x:v>K6</x:v>
      </x:c>
      <x:c r="Q20" s="6" t="str">
        <x:v>Пять разных уточняющих ходов уже были; без доступа к базе/ошибке подтвержденного решения нет, шестое уточнение запрещено.</x:v>
      </x:c>
      <x:c r="R20" s="6" t="str">
        <x:v>["chapter_11"]</x:v>
      </x:c>
      <x:c r="S20" s="6" t="str">
        <x:v>offer_handoff</x:v>
      </x:c>
      <x:c r="T20" s="6" t="str">
        <x:v>["Сообщить об отсутствии подтвержденного решения.","Предложить передачу консультанту."]</x:v>
      </x:c>
      <x:c r="U20" s="6" t="str">
        <x:v>["Еще один диагностический вопрос.","Выдуманная причина или правка рабочей базы.","Сообщение о созданной заявке без подтверждения."]</x:v>
      </x:c>
      <x:c r="V20" s="6" t="str">
        <x:v>[{"source_file":"/Users/elisavetagaponova/Downloads/1С УНФ 8  Полиграфия 2 для 3.0.doc","section":"Глава 11","extracted_text_line":3424,"excerpt":"• Штрихкод – штрихкод формируется и присваивается номенклатурной позиции в записанном документе автоматически при нажатии кнопки Ввод партий.","approval_basis":"user_confirmed_consultant_approval"},{"corpus_check":"Руководство не содержит состояния клиентской базы, кода расширения или журнала ошибки.","approval_basis":"user_confirmed_consultant_approval"}]</x:v>
      </x:c>
      <x:c r="W20" s="6" t="str">
        <x:v>["Предложена передача; нет дальнейшей диагностики и необоснованного решения."]</x:v>
      </x:c>
      <x:c r="X20" s="6" t="str">
        <x:v>approved</x:v>
      </x:c>
      <x:c r="Y20" s="6" t="str">
        <x:v>Карточка и применимость источников согласованы консультантом; утверждение подтверждено пользователем 25.10.2026.</x:v>
      </x:c>
      <x:c r="Z20" s="6" t="str">
        <x:v>G-2c56d92e2b25ed</x:v>
      </x:c>
      <x:c r="AA20" s="6" t="str">
        <x:v>dev</x:v>
      </x:c>
      <x:c r="AB20" s="6" t="str">
        <x:v>synthetic_from_manual</x:v>
      </x:c>
    </x:row>
    <x:row r="21" ht="115" customHeight="1">
      <x:c r="A21" s="6" t="str">
        <x:v>D0097</x:v>
      </x:c>
      <x:c r="B21" s="6" t="str">
        <x:v>synthetic_contract_boundary</x:v>
      </x:c>
      <x:c r="C21" s="6" t="str">
        <x:v>{"history":[],"user_message":"Оцени риск моего инвестиционного портфеля."}</x:v>
      </x:c>
      <x:c r="D21" s="6" t="str">
        <x:v>{"product":"1С:УНФ 8. Полиграфия 2","version":"3.0.14.140","retrieval_state":"available","handoff_consent":false,"approval_basis":"user_confirmed_consultant_approval"}</x:v>
      </x:c>
      <x:c r="E21" s="6" t="str">
        <x:v>1С:УНФ 8. Полиграфия 2</x:v>
      </x:c>
      <x:c r="F21" s="6" t="str">
        <x:v>3.0.14.140</x:v>
      </x:c>
      <x:c r="G21" s="6" t="str">
        <x:v>not_reported</x:v>
      </x:c>
      <x:c r="H21" s="6" t="str">
        <x:v>default</x:v>
      </x:c>
      <x:c r="I21" s="6" t="str">
        <x:v>Применимость источников и эталона к 1С:УНФ 8. Полиграфия 2, релиз 3.0.14.140, подтверждена консультантом со слов пользователя.</x:v>
      </x:c>
      <x:c r="J21" s="13" t="str">
        <x:v>0</x:v>
      </x:c>
      <x:c r="K21" s="13" t="str">
        <x:v>5</x:v>
      </x:c>
      <x:c r="L21" s="7" t="b">
        <x:v>0</x:v>
      </x:c>
      <x:c r="M21" s="6" t="str">
        <x:v>not_applicable</x:v>
      </x:c>
      <x:c r="N21" s="6" t="str">
        <x:v>[]</x:v>
      </x:c>
      <x:c r="O21" s="6" t="str">
        <x:v>not_applicable</x:v>
      </x:c>
      <x:c r="P21" s="6" t="str">
        <x:v>K1</x:v>
      </x:c>
      <x:c r="Q21" s="6" t="str">
        <x:v>Запрошенная задача явно не относится к работе 1С:Полиграфии и разрешенной документации.</x:v>
      </x:c>
      <x:c r="R21" s="6" t="str">
        <x:v>["out_of_domain"]</x:v>
      </x:c>
      <x:c r="S21" s="6" t="str">
        <x:v>refuse</x:v>
      </x:c>
      <x:c r="T21" s="6" t="str">
        <x:v>["Вежливый отказ и краткое обозначение предметной области бота."]</x:v>
      </x:c>
      <x:c r="U21" s="6" t="str">
        <x:v>["Выполнение посторонней задачи.","Выдуманная ссылка на руководство."]</x:v>
      </x:c>
      <x:c r="V21" s="6" t="str">
        <x:v>[{"source_file":"/Users/elisavetagaponova/Downloads/annotation_guide_classes_v1.md","section":"§5 K1","approval_basis":"user_confirmed_consultant_approval"},{"source_file":"design_doc_kt2.md","section":"§1.3, C05","approval_basis":"user_confirmed_consultant_approval"}]</x:v>
      </x:c>
      <x:c r="W21" s="6" t="str">
        <x:v>["Посторонняя задача не выполняется; отказ вежлив и по-русски."]</x:v>
      </x:c>
      <x:c r="X21" s="6" t="str">
        <x:v>approved</x:v>
      </x:c>
      <x:c r="Y21" s="6" t="str">
        <x:v>Карточка и применимость источников согласованы консультантом; утверждение подтверждено пользователем 25.10.2026.</x:v>
      </x:c>
      <x:c r="Z21" s="6" t="str">
        <x:v>G-1f7bfe4a963854</x:v>
      </x:c>
      <x:c r="AA21" s="6" t="str">
        <x:v>dev</x:v>
      </x:c>
      <x:c r="AB21" s="6" t="str">
        <x:v>synthetic_contract_boundary</x:v>
      </x:c>
    </x:row>
    <x:row r="22" ht="115" customHeight="1">
      <x:c r="A22" s="6" t="str">
        <x:v>D0098</x:v>
      </x:c>
      <x:c r="B22" s="6" t="str">
        <x:v>synthetic_from_manual:MANUAL-2251</x:v>
      </x:c>
      <x:c r="C22" s="6" t="str">
        <x:v>{"history":[{"role":"user","text":"Не получается закончить работу с «Диаграмма загрузки рабочих центров»."},{"role":"assistant","text":"Что происходит при попытке?"}],"user_message":"Ошибка с «Диаграмма загрузки рабочих центров» появилась после переноса данных из старой базы и повторяется только у нас. Нужно посмотреть сами данные."}</x:v>
      </x:c>
      <x:c r="D22" s="6" t="str">
        <x:v>{"product":"1С:УНФ 8. Полиграфия 2","version":"3.0.14.140","retrieval_state":"available","handoff_consent":false,"approval_basis":"user_confirmed_consultant_approval"}</x:v>
      </x:c>
      <x:c r="E22" s="6" t="str">
        <x:v>1С:УНФ 8. Полиграфия 2</x:v>
      </x:c>
      <x:c r="F22" s="6" t="str">
        <x:v>3.0.14.140</x:v>
      </x:c>
      <x:c r="G22" s="6" t="str">
        <x:v>not_reported</x:v>
      </x:c>
      <x:c r="H22" s="6" t="str">
        <x:v>default</x:v>
      </x:c>
      <x:c r="I22" s="6" t="str">
        <x:v>Применимость источников и эталона к 1С:УНФ 8. Полиграфия 2, релиз 3.0.14.140, подтверждена консультантом со слов пользователя.</x:v>
      </x:c>
      <x:c r="J22" s="13" t="str">
        <x:v>1</x:v>
      </x:c>
      <x:c r="K22" s="13" t="str">
        <x:v>5</x:v>
      </x:c>
      <x:c r="L22" s="7" t="b">
        <x:v>0</x:v>
      </x:c>
      <x:c r="M22" s="6" t="str">
        <x:v>diagnosis_required</x:v>
      </x:c>
      <x:c r="N22" s="6" t="str">
        <x:v>[]</x:v>
      </x:c>
      <x:c r="O22" s="7" t="b">
        <x:v>0</x:v>
      </x:c>
      <x:c r="P22" s="6" t="str">
        <x:v>K6</x:v>
      </x:c>
      <x:c r="Q22"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22" s="6" t="str">
        <x:v>["chapter_5"]</x:v>
      </x:c>
      <x:c r="S22" s="6" t="str">
        <x:v>offer_handoff</x:v>
      </x:c>
      <x:c r="T22" s="6" t="str">
        <x:v>["Сообщить об отсутствии подтвержденного решения.","Предложить передачу консультанту."]</x:v>
      </x:c>
      <x:c r="U22" s="6" t="str">
        <x:v>["Еще один диагностический вопрос.","Выдуманная причина или правка рабочей базы.","Сообщение о созданной заявке без подтверждения."]</x:v>
      </x:c>
      <x:c r="V22" s="6" t="str">
        <x:v>[{"source_file":"/Users/elisavetagaponova/Downloads/1С УНФ 8  Полиграфия 2 для 3.0.doc","section":"5.28","extracted_text_line":2251,"excerpt":"Отчет \"Диаграмма загрузки рабочих центров\". В нем можно настроить отборы по рабочим центрам, заказам покупателям и конкретным расчетам заказа. Отчет представляет собой графическую диаграмму графика загрузки рабочих центров по датам.","approval_basis":"user_confirmed_consultant_approval"},{"corpus_check":"Руководство не содержит состояния клиентской базы, кода расширения или журнала ошибки.","approval_basis":"user_confirmed_consultant_approval"}]</x:v>
      </x:c>
      <x:c r="W22" s="6" t="str">
        <x:v>["Предложена передача; нет дальнейшей диагностики и необоснованного решения."]</x:v>
      </x:c>
      <x:c r="X22" s="6" t="str">
        <x:v>approved</x:v>
      </x:c>
      <x:c r="Y22" s="6" t="str">
        <x:v>Карточка и применимость источников согласованы консультантом; утверждение подтверждено пользователем 25.10.2026.</x:v>
      </x:c>
      <x:c r="Z22" s="6" t="str">
        <x:v>G-b64194184e3b7e</x:v>
      </x:c>
      <x:c r="AA22" s="6" t="str">
        <x:v>dev</x:v>
      </x:c>
      <x:c r="AB22" s="6" t="str">
        <x:v>synthetic_from_manual</x:v>
      </x:c>
    </x:row>
    <x:row r="23" ht="115" customHeight="1">
      <x:c r="A23" s="6" t="str">
        <x:v>D0099</x:v>
      </x:c>
      <x:c r="B23" s="6" t="str">
        <x:v>synthetic_contract_boundary</x:v>
      </x:c>
      <x:c r="C23" s="6" t="str">
        <x:v>{"history":[],"user_message":"Можно ли рокировать, если король был под шахом?"}</x:v>
      </x:c>
      <x:c r="D23" s="6" t="str">
        <x:v>{"product":"1С:УНФ 8. Полиграфия 2","version":"3.0.14.140","retrieval_state":"available","handoff_consent":false,"approval_basis":"user_confirmed_consultant_approval"}</x:v>
      </x:c>
      <x:c r="E23" s="6" t="str">
        <x:v>1С:УНФ 8. Полиграфия 2</x:v>
      </x:c>
      <x:c r="F23" s="6" t="str">
        <x:v>3.0.14.140</x:v>
      </x:c>
      <x:c r="G23" s="6" t="str">
        <x:v>not_reported</x:v>
      </x:c>
      <x:c r="H23" s="6" t="str">
        <x:v>default</x:v>
      </x:c>
      <x:c r="I23" s="6" t="str">
        <x:v>Применимость источников и эталона к 1С:УНФ 8. Полиграфия 2, релиз 3.0.14.140, подтверждена консультантом со слов пользователя.</x:v>
      </x:c>
      <x:c r="J23" s="13" t="str">
        <x:v>0</x:v>
      </x:c>
      <x:c r="K23" s="13" t="str">
        <x:v>5</x:v>
      </x:c>
      <x:c r="L23" s="7" t="b">
        <x:v>0</x:v>
      </x:c>
      <x:c r="M23" s="6" t="str">
        <x:v>not_applicable</x:v>
      </x:c>
      <x:c r="N23" s="6" t="str">
        <x:v>[]</x:v>
      </x:c>
      <x:c r="O23" s="6" t="str">
        <x:v>not_applicable</x:v>
      </x:c>
      <x:c r="P23" s="6" t="str">
        <x:v>K1</x:v>
      </x:c>
      <x:c r="Q23" s="6" t="str">
        <x:v>Запрошенная задача явно не относится к работе 1С:Полиграфии и разрешенной документации.</x:v>
      </x:c>
      <x:c r="R23" s="6" t="str">
        <x:v>["out_of_domain"]</x:v>
      </x:c>
      <x:c r="S23" s="6" t="str">
        <x:v>refuse</x:v>
      </x:c>
      <x:c r="T23" s="6" t="str">
        <x:v>["Вежливый отказ и краткое обозначение предметной области бота."]</x:v>
      </x:c>
      <x:c r="U23" s="6" t="str">
        <x:v>["Выполнение посторонней задачи.","Выдуманная ссылка на руководство."]</x:v>
      </x:c>
      <x:c r="V23" s="6" t="str">
        <x:v>[{"source_file":"/Users/elisavetagaponova/Downloads/annotation_guide_classes_v1.md","section":"§5 K1","approval_basis":"user_confirmed_consultant_approval"},{"source_file":"design_doc_kt2.md","section":"§1.3, C05","approval_basis":"user_confirmed_consultant_approval"}]</x:v>
      </x:c>
      <x:c r="W23" s="6" t="str">
        <x:v>["Посторонняя задача не выполняется; отказ вежлив и по-русски."]</x:v>
      </x:c>
      <x:c r="X23" s="6" t="str">
        <x:v>approved</x:v>
      </x:c>
      <x:c r="Y23" s="6" t="str">
        <x:v>Карточка и применимость источников согласованы консультантом; утверждение подтверждено пользователем 25.10.2026.</x:v>
      </x:c>
      <x:c r="Z23" s="6" t="str">
        <x:v>G-b7c9d686e29ea5</x:v>
      </x:c>
      <x:c r="AA23" s="6" t="str">
        <x:v>dev</x:v>
      </x:c>
      <x:c r="AB23" s="6" t="str">
        <x:v>synthetic_contract_boundary</x:v>
      </x:c>
    </x:row>
    <x:row r="24" ht="115" customHeight="1">
      <x:c r="A24" s="6" t="str">
        <x:v>D0104</x:v>
      </x:c>
      <x:c r="B24" s="6" t="str">
        <x:v>synthetic_contract_boundary</x:v>
      </x:c>
      <x:c r="C24" s="6" t="str">
        <x:v>{"history":[],"user_message":"Составь мне план тренировок на три дня в неделю."}</x:v>
      </x:c>
      <x:c r="D24" s="6" t="str">
        <x:v>{"product":"1С:УНФ 8. Полиграфия 2","version":"3.0.14.140","retrieval_state":"available","handoff_consent":false,"approval_basis":"user_confirmed_consultant_approval"}</x:v>
      </x:c>
      <x:c r="E24" s="6" t="str">
        <x:v>1С:УНФ 8. Полиграфия 2</x:v>
      </x:c>
      <x:c r="F24" s="6" t="str">
        <x:v>3.0.14.140</x:v>
      </x:c>
      <x:c r="G24" s="6" t="str">
        <x:v>not_reported</x:v>
      </x:c>
      <x:c r="H24" s="6" t="str">
        <x:v>default</x:v>
      </x:c>
      <x:c r="I24" s="6" t="str">
        <x:v>Применимость источников и эталона к 1С:УНФ 8. Полиграфия 2, релиз 3.0.14.140, подтверждена консультантом со слов пользователя.</x:v>
      </x:c>
      <x:c r="J24" s="13" t="str">
        <x:v>0</x:v>
      </x:c>
      <x:c r="K24" s="13" t="str">
        <x:v>5</x:v>
      </x:c>
      <x:c r="L24" s="7" t="b">
        <x:v>0</x:v>
      </x:c>
      <x:c r="M24" s="6" t="str">
        <x:v>not_applicable</x:v>
      </x:c>
      <x:c r="N24" s="6" t="str">
        <x:v>[]</x:v>
      </x:c>
      <x:c r="O24" s="6" t="str">
        <x:v>not_applicable</x:v>
      </x:c>
      <x:c r="P24" s="6" t="str">
        <x:v>K1</x:v>
      </x:c>
      <x:c r="Q24" s="6" t="str">
        <x:v>Запрошенная задача явно не относится к работе 1С:Полиграфии и разрешенной документации.</x:v>
      </x:c>
      <x:c r="R24" s="6" t="str">
        <x:v>["out_of_domain"]</x:v>
      </x:c>
      <x:c r="S24" s="6" t="str">
        <x:v>refuse</x:v>
      </x:c>
      <x:c r="T24" s="6" t="str">
        <x:v>["Вежливый отказ и краткое обозначение предметной области бота."]</x:v>
      </x:c>
      <x:c r="U24" s="6" t="str">
        <x:v>["Выполнение посторонней задачи.","Выдуманная ссылка на руководство."]</x:v>
      </x:c>
      <x:c r="V24" s="6" t="str">
        <x:v>[{"source_file":"/Users/elisavetagaponova/Downloads/annotation_guide_classes_v1.md","section":"§5 K1","approval_basis":"user_confirmed_consultant_approval"},{"source_file":"design_doc_kt2.md","section":"§1.3, C05","approval_basis":"user_confirmed_consultant_approval"}]</x:v>
      </x:c>
      <x:c r="W24" s="6" t="str">
        <x:v>["Посторонняя задача не выполняется; отказ вежлив и по-русски."]</x:v>
      </x:c>
      <x:c r="X24" s="6" t="str">
        <x:v>approved</x:v>
      </x:c>
      <x:c r="Y24" s="6" t="str">
        <x:v>Карточка и применимость источников согласованы консультантом; утверждение подтверждено пользователем 25.10.2026.</x:v>
      </x:c>
      <x:c r="Z24" s="6" t="str">
        <x:v>G-5db13ab6c2ed25</x:v>
      </x:c>
      <x:c r="AA24" s="6" t="str">
        <x:v>dev</x:v>
      </x:c>
      <x:c r="AB24" s="6" t="str">
        <x:v>synthetic_contract_boundary</x:v>
      </x:c>
    </x:row>
    <x:row r="25" ht="115" customHeight="1">
      <x:c r="A25" s="6" t="str">
        <x:v>D0109</x:v>
      </x:c>
      <x:c r="B25" s="6" t="str">
        <x:v>synthetic_from_manual:MANUAL-1337</x:v>
      </x:c>
      <x:c r="C25" s="6" t="str">
        <x:v>{"history":[],"user_message":"По «Нормирование операций» не получается сделать как обычно. Можете подсказать?"}</x:v>
      </x:c>
      <x:c r="D25" s="6" t="str">
        <x:v>{"product":"1С:УНФ 8. Полиграфия 2","version":"3.0.14.140","retrieval_state":"available","handoff_consent":false,"approval_basis":"user_confirmed_consultant_approval"}</x:v>
      </x:c>
      <x:c r="E25" s="6" t="str">
        <x:v>1С:УНФ 8. Полиграфия 2</x:v>
      </x:c>
      <x:c r="F25" s="6" t="str">
        <x:v>3.0.14.140</x:v>
      </x:c>
      <x:c r="G25" s="6" t="str">
        <x:v>not_reported</x:v>
      </x:c>
      <x:c r="H25" s="6" t="str">
        <x:v>default</x:v>
      </x:c>
      <x:c r="I25" s="6" t="str">
        <x:v>Применимость источников и эталона к 1С:УНФ 8. Полиграфия 2, релиз 3.0.14.140, подтверждена консультантом со слов пользователя.</x:v>
      </x:c>
      <x:c r="J25" s="13" t="str">
        <x:v>0</x:v>
      </x:c>
      <x:c r="K25" s="13" t="str">
        <x:v>5</x:v>
      </x:c>
      <x:c r="L25" s="7" t="b">
        <x:v>1</x:v>
      </x:c>
      <x:c r="M25" s="6" t="str">
        <x:v>not_applicable</x:v>
      </x:c>
      <x:c r="N25"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25" s="7" t="b">
        <x:v>0</x:v>
      </x:c>
      <x:c r="P25" s="6" t="str">
        <x:v>K3</x:v>
      </x:c>
      <x:c r="Q25" s="6" t="str">
        <x:v>Цель/параметр и результат действия неизвестны; еще один конкретный вопрос может снять неоднозначность, лимит не исчерпан.</x:v>
      </x:c>
      <x:c r="R25" s="6" t="str">
        <x:v>["chapter_3"]</x:v>
      </x:c>
      <x:c r="S25" s="6" t="str">
        <x:v>clarify</x:v>
      </x:c>
      <x:c r="T25" s="6" t="str">
        <x:v>["Какую задачу вы решаете с «Нормирование операций» и что уже пробовали сделать?"]</x:v>
      </x:c>
      <x:c r="U25" s="6" t="str">
        <x:v>["Угадывание причины или инструкции.","Вопрос о продукте и релизе только из-за отсутствия их в сообщении."]</x:v>
      </x:c>
      <x:c r="V25" s="6" t="str">
        <x:v>[{"source_file":"/Users/elisavetagaponova/Downloads/1С УНФ 8  Полиграфия 2 для 3.0.doc","section":"3.2","extracted_text_line":1337,"excerpt":"Документ \"Нормирование операций\" служит для хранения таблицы нормирования значений стоимости, приладки, техпотерь определенной технологической операции.","approval_basis":"user_confirmed_consultant_approval"}]</x:v>
      </x:c>
      <x:c r="W25" s="6" t="str">
        <x:v>["Задан полезный вопрос о недостающем действии/параметре; нет диагноза.","Не превышен лимит пяти уточнений."]</x:v>
      </x:c>
      <x:c r="X25" s="6" t="str">
        <x:v>approved</x:v>
      </x:c>
      <x:c r="Y25" s="6" t="str">
        <x:v>Карточка и применимость источников согласованы консультантом; утверждение подтверждено пользователем 25.10.2026.</x:v>
      </x:c>
      <x:c r="Z25" s="6" t="str">
        <x:v>G-26f32841ca85e6</x:v>
      </x:c>
      <x:c r="AA25" s="6" t="str">
        <x:v>dev</x:v>
      </x:c>
      <x:c r="AB25" s="6" t="str">
        <x:v>synthetic_from_manual</x:v>
      </x:c>
    </x:row>
    <x:row r="26" ht="115" customHeight="1">
      <x:c r="A26" s="6" t="str">
        <x:v>D0112</x:v>
      </x:c>
      <x:c r="B26" s="6" t="str">
        <x:v>synthetic_from_manual:MANUAL-3583</x:v>
      </x:c>
      <x:c r="C26" s="6" t="str">
        <x:v>{"history":[{"role":"user","text":"Не получается закончить работу с «Изменение фактического времени»."},{"role":"assistant","text":"Что происходит при попытке?"}],"user_message":"В одном филиале «Изменение фактического времени» работает, в другом нет. Можем передать специалисту копию базы для сравнения?"}</x:v>
      </x:c>
      <x:c r="D26" s="6" t="str">
        <x:v>{"product":"1С:УНФ 8. Полиграфия 2","version":"3.0.14.140","retrieval_state":"available","handoff_consent":false,"approval_basis":"user_confirmed_consultant_approval"}</x:v>
      </x:c>
      <x:c r="E26" s="6" t="str">
        <x:v>1С:УНФ 8. Полиграфия 2</x:v>
      </x:c>
      <x:c r="F26" s="6" t="str">
        <x:v>3.0.14.140</x:v>
      </x:c>
      <x:c r="G26" s="6" t="str">
        <x:v>not_reported</x:v>
      </x:c>
      <x:c r="H26" s="6" t="str">
        <x:v>default</x:v>
      </x:c>
      <x:c r="I26" s="6" t="str">
        <x:v>Применимость источников и эталона к 1С:УНФ 8. Полиграфия 2, релиз 3.0.14.140, подтверждена консультантом со слов пользователя.</x:v>
      </x:c>
      <x:c r="J26" s="13" t="str">
        <x:v>1</x:v>
      </x:c>
      <x:c r="K26" s="13" t="str">
        <x:v>5</x:v>
      </x:c>
      <x:c r="L26" s="7" t="b">
        <x:v>0</x:v>
      </x:c>
      <x:c r="M26" s="6" t="str">
        <x:v>diagnosis_required</x:v>
      </x:c>
      <x:c r="N26" s="6" t="str">
        <x:v>[]</x:v>
      </x:c>
      <x:c r="O26" s="7" t="b">
        <x:v>0</x:v>
      </x:c>
      <x:c r="P26" s="6" t="str">
        <x:v>K6</x:v>
      </x:c>
      <x:c r="Q26"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26" s="6" t="str">
        <x:v>["chapter_12"]</x:v>
      </x:c>
      <x:c r="S26" s="6" t="str">
        <x:v>offer_handoff</x:v>
      </x:c>
      <x:c r="T26" s="6" t="str">
        <x:v>["Сообщить об отсутствии подтвержденного решения.","Предложить передачу консультанту."]</x:v>
      </x:c>
      <x:c r="U26" s="6" t="str">
        <x:v>["Еще один диагностический вопрос.","Выдуманная причина или правка рабочей базы.","Сообщение о созданной заявке без подтверждения."]</x:v>
      </x:c>
      <x:c r="V26" s="6" t="str">
        <x:v>[{"source_file":"/Users/elisavetagaponova/Downloads/1С УНФ 8  Полиграфия 2 для 3.0.doc","section":"Глава 12","extracted_text_line":3583,"excerpt":"Настройка Изменение фактического времени выполнения заказов позволяет редактировать фактическое время выполнения операций заказа (колонки \"В работе\" и \"Отработан\") в обработке \"Отражения факта планирования\".","approval_basis":"user_confirmed_consultant_approval"},{"corpus_check":"Руководство не содержит состояния клиентской базы, кода расширения или журнала ошибки.","approval_basis":"user_confirmed_consultant_approval"}]</x:v>
      </x:c>
      <x:c r="W26" s="6" t="str">
        <x:v>["Предложена передача; нет дальнейшей диагностики и необоснованного решения."]</x:v>
      </x:c>
      <x:c r="X26" s="6" t="str">
        <x:v>approved</x:v>
      </x:c>
      <x:c r="Y26" s="6" t="str">
        <x:v>Карточка и применимость источников согласованы консультантом; утверждение подтверждено пользователем 25.10.2026.</x:v>
      </x:c>
      <x:c r="Z26" s="6" t="str">
        <x:v>G-5b70207eb5ac48</x:v>
      </x:c>
      <x:c r="AA26" s="6" t="str">
        <x:v>dev</x:v>
      </x:c>
      <x:c r="AB26" s="6" t="str">
        <x:v>synthetic_from_manual</x:v>
      </x:c>
    </x:row>
    <x:row r="27" ht="115" customHeight="1">
      <x:c r="A27" s="6" t="str">
        <x:v>D0116</x:v>
      </x:c>
      <x:c r="B27" s="6" t="str">
        <x:v>synthetic_from_manual:MANUAL-2858</x:v>
      </x:c>
      <x:c r="C27" s="6" t="str">
        <x:v>{"history":[{"role":"user","text":"Помогите найти нужные сведения по работе в Полиграфии."},{"role":"assistant","text":"О каком объекте или действии вы хотите узнать?"}],"user_message":"Нужно хранить длину формного вала флексомашины. Где находится этот параметр?"}</x:v>
      </x:c>
      <x:c r="D27" s="6" t="str">
        <x:v>{"product":"1С:УНФ 8. Полиграфия 2","version":"3.0.14.140","retrieval_state":"available","handoff_consent":false,"approval_basis":"user_confirmed_consultant_approval"}</x:v>
      </x:c>
      <x:c r="E27" s="6" t="str">
        <x:v>1С:УНФ 8. Полиграфия 2</x:v>
      </x:c>
      <x:c r="F27" s="6" t="str">
        <x:v>3.0.14.140</x:v>
      </x:c>
      <x:c r="G27" s="6" t="str">
        <x:v>not_reported</x:v>
      </x:c>
      <x:c r="H27" s="6" t="str">
        <x:v>default</x:v>
      </x:c>
      <x:c r="I27" s="6" t="str">
        <x:v>Применимость источников и эталона к 1С:УНФ 8. Полиграфия 2, релиз 3.0.14.140, подтверждена консультантом со слов пользователя.</x:v>
      </x:c>
      <x:c r="J27" s="13" t="str">
        <x:v>1</x:v>
      </x:c>
      <x:c r="K27" s="13" t="str">
        <x:v>5</x:v>
      </x:c>
      <x:c r="L27" s="7" t="b">
        <x:v>0</x:v>
      </x:c>
      <x:c r="M27" s="6" t="str">
        <x:v>not_applicable</x:v>
      </x:c>
      <x:c r="N27" s="6" t="str">
        <x:v>[]</x:v>
      </x:c>
      <x:c r="O27" s="7" t="b">
        <x:v>1</x:v>
      </x:c>
      <x:c r="P27" s="6" t="str">
        <x:v>K5</x:v>
      </x:c>
      <x:c r="Q27" s="6" t="str">
        <x:v>После ответа на уточнение предмет вопроса известен, а приведенный фрагмент руководства дает ответ.</x:v>
      </x:c>
      <x:c r="R27" s="6" t="str">
        <x:v>["chapter_8"]</x:v>
      </x:c>
      <x:c r="S27" s="6" t="str">
        <x:v>answer</x:v>
      </x:c>
      <x:c r="T27" s="6" t="str">
        <x:v>["Ответ по уточненному объекту.","Источник: руководство и раздел."]</x:v>
      </x:c>
      <x:c r="U27" s="6" t="str">
        <x:v>["Повторное выяснение уже названного объекта.","Выдуманные шаги."]</x:v>
      </x:c>
      <x:c r="V27" s="6" t="str">
        <x:v>[{"source_file":"/Users/elisavetagaponova/Downloads/1С УНФ 8  Полиграфия 2 для 3.0.doc","section":"8.1.6","extracted_text_line":2858,"excerpt":"В справочнике \"Длина формного вала\" хранятся сведения о характеристике оборудования флексопечати – длина формного вала.","approval_basis":"user_confirmed_consultant_approval"}]</x:v>
      </x:c>
      <x:c r="W27" s="6" t="str">
        <x:v>["Дан подтвержденный ответ с релевантным источником, без нового уточнения."]</x:v>
      </x:c>
      <x:c r="X27" s="6" t="str">
        <x:v>approved</x:v>
      </x:c>
      <x:c r="Y27" s="6" t="str">
        <x:v>Карточка и применимость источников согласованы консультантом; утверждение подтверждено пользователем 25.10.2026.</x:v>
      </x:c>
      <x:c r="Z27" s="6" t="str">
        <x:v>G-af38582877579f</x:v>
      </x:c>
      <x:c r="AA27" s="6" t="str">
        <x:v>dev</x:v>
      </x:c>
      <x:c r="AB27" s="6" t="str">
        <x:v>synthetic_from_manual</x:v>
      </x:c>
    </x:row>
    <x:row r="28" ht="115" customHeight="1">
      <x:c r="A28" s="6" t="str">
        <x:v>D0118</x:v>
      </x:c>
      <x:c r="B28" s="6" t="str">
        <x:v>synthetic_from_manual:MANUAL-2757</x:v>
      </x:c>
      <x:c r="C28" s="6" t="str">
        <x:v>{"history":[{"role":"user","text":"Подскажите по теме «Библиотека штампов/ножи»."},{"role":"assistant","text":"Что именно вам нужно узнать по этой теме?"}],"user_message":"Один вырубной нож используют в нескольких флексозаказах. Где ведется библиотека штампов и ножей?"}</x:v>
      </x:c>
      <x:c r="D28" s="6" t="str">
        <x:v>{"product":"1С:УНФ 8. Полиграфия 2","version":"3.0.14.140","retrieval_state":"available","handoff_consent":false,"approval_basis":"user_confirmed_consultant_approval"}</x:v>
      </x:c>
      <x:c r="E28" s="6" t="str">
        <x:v>1С:УНФ 8. Полиграфия 2</x:v>
      </x:c>
      <x:c r="F28" s="6" t="str">
        <x:v>3.0.14.140</x:v>
      </x:c>
      <x:c r="G28" s="6" t="str">
        <x:v>not_reported</x:v>
      </x:c>
      <x:c r="H28" s="6" t="str">
        <x:v>default</x:v>
      </x:c>
      <x:c r="I28" s="6" t="str">
        <x:v>Применимость источников и эталона к 1С:УНФ 8. Полиграфия 2, релиз 3.0.14.140, подтверждена консультантом со слов пользователя.</x:v>
      </x:c>
      <x:c r="J28" s="13" t="str">
        <x:v>1</x:v>
      </x:c>
      <x:c r="K28" s="13" t="str">
        <x:v>5</x:v>
      </x:c>
      <x:c r="L28" s="7" t="b">
        <x:v>0</x:v>
      </x:c>
      <x:c r="M28" s="6" t="str">
        <x:v>not_applicable</x:v>
      </x:c>
      <x:c r="N28" s="6" t="str">
        <x:v>[]</x:v>
      </x:c>
      <x:c r="O28" s="7" t="b">
        <x:v>1</x:v>
      </x:c>
      <x:c r="P28" s="6" t="str">
        <x:v>K5</x:v>
      </x:c>
      <x:c r="Q28" s="6" t="str">
        <x:v>После ответа на уточнение предмет вопроса известен, а приведенный фрагмент руководства дает ответ.</x:v>
      </x:c>
      <x:c r="R28" s="6" t="str">
        <x:v>["chapter_8"]</x:v>
      </x:c>
      <x:c r="S28" s="6" t="str">
        <x:v>answer</x:v>
      </x:c>
      <x:c r="T28" s="6" t="str">
        <x:v>["Ответ по уточненному объекту.","Источник: руководство и раздел."]</x:v>
      </x:c>
      <x:c r="U28" s="6" t="str">
        <x:v>["Повторное выяснение уже названного объекта.","Выдуманные шаги."]</x:v>
      </x:c>
      <x:c r="V28" s="6" t="str">
        <x:v>[{"source_file":"/Users/elisavetagaponova/Downloads/1С УНФ 8  Полиграфия 2 для 3.0.doc","section":"8.1.2","extracted_text_line":2757,"excerpt":"Элементы справочника создаются на основании уже оформленных документов \"Расчет флексопечати\" и \"Шаблон флексопечати\". В справочнике хранятся данные о вырубных формах (штампах). Применительно к печати самоклеющихся этикеток в рулоне, штамп – это приспособление, которое позволяет сделать вырубку определенного размера и формы.","approval_basis":"user_confirmed_consultant_approval"}]</x:v>
      </x:c>
      <x:c r="W28" s="6" t="str">
        <x:v>["Дан подтвержденный ответ с релевантным источником, без нового уточнения."]</x:v>
      </x:c>
      <x:c r="X28" s="6" t="str">
        <x:v>approved</x:v>
      </x:c>
      <x:c r="Y28" s="6" t="str">
        <x:v>Карточка и применимость источников согласованы консультантом; утверждение подтверждено пользователем 25.10.2026.</x:v>
      </x:c>
      <x:c r="Z28" s="6" t="str">
        <x:v>G-9f88554df97f84</x:v>
      </x:c>
      <x:c r="AA28" s="6" t="str">
        <x:v>dev</x:v>
      </x:c>
      <x:c r="AB28" s="6" t="str">
        <x:v>synthetic_from_manual</x:v>
      </x:c>
    </x:row>
    <x:row r="29" ht="115" customHeight="1">
      <x:c r="A29" s="6" t="str">
        <x:v>D0121</x:v>
      </x:c>
      <x:c r="B29" s="6" t="str">
        <x:v>synthetic_from_manual:MANUAL-2339</x:v>
      </x:c>
      <x:c r="C29" s="6" t="str">
        <x:v>{"history":[{"role":"user","text":"Подскажите по теме «Стоимость печатной операции»."},{"role":"assistant","text":"Что именно вам нужно узнать по этой теме?"}],"user_message":"Для печатной операции цена зависит от времени станка. Можно нормировать ее не по тиражу?"}</x:v>
      </x:c>
      <x:c r="D29" s="6" t="str">
        <x:v>{"product":"1С:УНФ 8. Полиграфия 2","version":"3.0.14.140","retrieval_state":"available","handoff_consent":false,"approval_basis":"user_confirmed_consultant_approval"}</x:v>
      </x:c>
      <x:c r="E29" s="6" t="str">
        <x:v>1С:УНФ 8. Полиграфия 2</x:v>
      </x:c>
      <x:c r="F29" s="6" t="str">
        <x:v>3.0.14.140</x:v>
      </x:c>
      <x:c r="G29" s="6" t="str">
        <x:v>not_reported</x:v>
      </x:c>
      <x:c r="H29" s="6" t="str">
        <x:v>default</x:v>
      </x:c>
      <x:c r="I29" s="6" t="str">
        <x:v>Применимость источников и эталона к 1С:УНФ 8. Полиграфия 2, релиз 3.0.14.140, подтверждена консультантом со слов пользователя.</x:v>
      </x:c>
      <x:c r="J29" s="13" t="str">
        <x:v>1</x:v>
      </x:c>
      <x:c r="K29" s="13" t="str">
        <x:v>5</x:v>
      </x:c>
      <x:c r="L29" s="7" t="b">
        <x:v>0</x:v>
      </x:c>
      <x:c r="M29" s="6" t="str">
        <x:v>not_applicable</x:v>
      </x:c>
      <x:c r="N29" s="6" t="str">
        <x:v>[]</x:v>
      </x:c>
      <x:c r="O29" s="7" t="b">
        <x:v>1</x:v>
      </x:c>
      <x:c r="P29" s="6" t="str">
        <x:v>K5</x:v>
      </x:c>
      <x:c r="Q29" s="6" t="str">
        <x:v>После ответа на уточнение предмет вопроса известен, а приведенный фрагмент руководства дает ответ.</x:v>
      </x:c>
      <x:c r="R29" s="6" t="str">
        <x:v>["chapter_6"]</x:v>
      </x:c>
      <x:c r="S29" s="6" t="str">
        <x:v>answer</x:v>
      </x:c>
      <x:c r="T29" s="6" t="str">
        <x:v>["Ответ по уточненному объекту.","Источник: руководство и раздел."]</x:v>
      </x:c>
      <x:c r="U29" s="6" t="str">
        <x:v>["Повторное выяснение уже названного объекта.","Выдуманные шаги."]</x:v>
      </x:c>
      <x:c r="V29" s="6" t="str">
        <x:v>[{"source_file":"/Users/elisavetagaponova/Downloads/1С УНФ 8  Полиграфия 2 для 3.0.doc","section":"Глава 6","extracted_text_line":2339,"excerpt":"Для печатной операции предусмотрено два варианта задания стоимости: по тиражу и по времени печати. Приведем несколько примеров расчета.","approval_basis":"user_confirmed_consultant_approval"}]</x:v>
      </x:c>
      <x:c r="W29" s="6" t="str">
        <x:v>["Дан подтвержденный ответ с релевантным источником, без нового уточнения."]</x:v>
      </x:c>
      <x:c r="X29" s="6" t="str">
        <x:v>approved</x:v>
      </x:c>
      <x:c r="Y29" s="6" t="str">
        <x:v>Карточка и применимость источников согласованы консультантом; утверждение подтверждено пользователем 25.10.2026.</x:v>
      </x:c>
      <x:c r="Z29" s="6" t="str">
        <x:v>G-0bc47fccfc58c4</x:v>
      </x:c>
      <x:c r="AA29" s="6" t="str">
        <x:v>dev</x:v>
      </x:c>
      <x:c r="AB29" s="6" t="str">
        <x:v>synthetic_from_manual</x:v>
      </x:c>
    </x:row>
    <x:row r="30" ht="115" customHeight="1">
      <x:c r="A30" s="6" t="str">
        <x:v>D0122</x:v>
      </x:c>
      <x:c r="B30" s="6" t="str">
        <x:v>synthetic_contract_boundary</x:v>
      </x:c>
      <x:c r="C30" s="6" t="str">
        <x:v>{"history":[],"user_message":"Как ухаживать за машиной зимой?"}</x:v>
      </x:c>
      <x:c r="D30" s="6" t="str">
        <x:v>{"product":"1С:УНФ 8. Полиграфия 2","version":"3.0.14.140","retrieval_state":"available","handoff_consent":false,"approval_basis":"user_confirmed_consultant_approval"}</x:v>
      </x:c>
      <x:c r="E30" s="6" t="str">
        <x:v>1С:УНФ 8. Полиграфия 2</x:v>
      </x:c>
      <x:c r="F30" s="6" t="str">
        <x:v>3.0.14.140</x:v>
      </x:c>
      <x:c r="G30" s="6" t="str">
        <x:v>not_reported</x:v>
      </x:c>
      <x:c r="H30" s="6" t="str">
        <x:v>default</x:v>
      </x:c>
      <x:c r="I30" s="6" t="str">
        <x:v>Применимость источников и эталона к 1С:УНФ 8. Полиграфия 2, релиз 3.0.14.140, подтверждена консультантом со слов пользователя.</x:v>
      </x:c>
      <x:c r="J30" s="13" t="str">
        <x:v>0</x:v>
      </x:c>
      <x:c r="K30" s="13" t="str">
        <x:v>5</x:v>
      </x:c>
      <x:c r="L30" s="7" t="b">
        <x:v>0</x:v>
      </x:c>
      <x:c r="M30" s="6" t="str">
        <x:v>not_applicable</x:v>
      </x:c>
      <x:c r="N30" s="6" t="str">
        <x:v>[]</x:v>
      </x:c>
      <x:c r="O30" s="6" t="str">
        <x:v>not_applicable</x:v>
      </x:c>
      <x:c r="P30" s="6" t="str">
        <x:v>K1</x:v>
      </x:c>
      <x:c r="Q30" s="6" t="str">
        <x:v>Запрошенная задача явно не относится к работе 1С:Полиграфии и разрешенной документации.</x:v>
      </x:c>
      <x:c r="R30" s="6" t="str">
        <x:v>["out_of_domain"]</x:v>
      </x:c>
      <x:c r="S30" s="6" t="str">
        <x:v>refuse</x:v>
      </x:c>
      <x:c r="T30" s="6" t="str">
        <x:v>["Вежливый отказ и краткое обозначение предметной области бота."]</x:v>
      </x:c>
      <x:c r="U30" s="6" t="str">
        <x:v>["Выполнение посторонней задачи.","Выдуманная ссылка на руководство."]</x:v>
      </x:c>
      <x:c r="V30" s="6" t="str">
        <x:v>[{"source_file":"/Users/elisavetagaponova/Downloads/annotation_guide_classes_v1.md","section":"§5 K1","approval_basis":"user_confirmed_consultant_approval"},{"source_file":"design_doc_kt2.md","section":"§1.3, C05","approval_basis":"user_confirmed_consultant_approval"}]</x:v>
      </x:c>
      <x:c r="W30" s="6" t="str">
        <x:v>["Посторонняя задача не выполняется; отказ вежлив и по-русски."]</x:v>
      </x:c>
      <x:c r="X30" s="6" t="str">
        <x:v>approved</x:v>
      </x:c>
      <x:c r="Y30" s="6" t="str">
        <x:v>Карточка и применимость источников согласованы консультантом; утверждение подтверждено пользователем 25.10.2026.</x:v>
      </x:c>
      <x:c r="Z30" s="6" t="str">
        <x:v>G-0a1408872fe3bb</x:v>
      </x:c>
      <x:c r="AA30" s="6" t="str">
        <x:v>dev</x:v>
      </x:c>
      <x:c r="AB30" s="6" t="str">
        <x:v>synthetic_contract_boundary</x:v>
      </x:c>
    </x:row>
    <x:row r="31" ht="115" customHeight="1">
      <x:c r="A31" s="6" t="str">
        <x:v>D0124</x:v>
      </x:c>
      <x:c r="B31" s="6" t="str">
        <x:v>synthetic_from_manual:MANUAL-0754</x:v>
      </x:c>
      <x:c r="C31" s="6" t="str">
        <x:v>{"history":[{"role":"user","text":"Не получается закончить работу с «Роли пользователей»."},{"role":"assistant","text":"Что происходит при попытке?"}],"user_message":"После установки нашего расширения «Роли пользователей» выдает ошибку только в рабочей базе. Похоже, надо смотреть код и данные у нас."}</x:v>
      </x:c>
      <x:c r="D31" s="6" t="str">
        <x:v>{"product":"1С:УНФ 8. Полиграфия 2","version":"3.0.14.140","retrieval_state":"available","handoff_consent":false,"approval_basis":"user_confirmed_consultant_approval"}</x:v>
      </x:c>
      <x:c r="E31" s="6" t="str">
        <x:v>1С:УНФ 8. Полиграфия 2</x:v>
      </x:c>
      <x:c r="F31" s="6" t="str">
        <x:v>3.0.14.140</x:v>
      </x:c>
      <x:c r="G31" s="6" t="str">
        <x:v>not_reported</x:v>
      </x:c>
      <x:c r="H31" s="6" t="str">
        <x:v>default</x:v>
      </x:c>
      <x:c r="I31" s="6" t="str">
        <x:v>Применимость источников и эталона к 1С:УНФ 8. Полиграфия 2, релиз 3.0.14.140, подтверждена консультантом со слов пользователя.</x:v>
      </x:c>
      <x:c r="J31" s="13" t="str">
        <x:v>1</x:v>
      </x:c>
      <x:c r="K31" s="13" t="str">
        <x:v>5</x:v>
      </x:c>
      <x:c r="L31" s="7" t="b">
        <x:v>0</x:v>
      </x:c>
      <x:c r="M31" s="6" t="str">
        <x:v>diagnosis_required</x:v>
      </x:c>
      <x:c r="N31" s="6" t="str">
        <x:v>[]</x:v>
      </x:c>
      <x:c r="O31" s="7" t="b">
        <x:v>0</x:v>
      </x:c>
      <x:c r="P31" s="6" t="str">
        <x:v>K6</x:v>
      </x:c>
      <x:c r="Q31"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31" s="6" t="str">
        <x:v>["chapter_1"]</x:v>
      </x:c>
      <x:c r="S31" s="6" t="str">
        <x:v>offer_handoff</x:v>
      </x:c>
      <x:c r="T31" s="6" t="str">
        <x:v>["Сообщить об отсутствии подтвержденного решения.","Предложить передачу консультанту."]</x:v>
      </x:c>
      <x:c r="U31" s="6" t="str">
        <x:v>["Еще один диагностический вопрос.","Выдуманная причина или правка рабочей базы.","Сообщение о созданной заявке без подтверждения."]</x:v>
      </x:c>
      <x:c r="V31" s="6" t="str">
        <x:v>[{"source_file":"/Users/elisavetagaponova/Downloads/1С УНФ 8  Полиграфия 2 для 3.0.doc","section":"1.9","extracted_text_line":754,"excerpt":"Информация о ролях пользователей хранится в справочнике Роли пользователей. Справочник вызывается из раздела \"Полиграфия – НСИ полиграфии – Роли пользователей\".","approval_basis":"user_confirmed_consultant_approval"},{"corpus_check":"Руководство не содержит состояния клиентской базы, кода расширения или журнала ошибки.","approval_basis":"user_confirmed_consultant_approval"}]</x:v>
      </x:c>
      <x:c r="W31" s="6" t="str">
        <x:v>["Предложена передача; нет дальнейшей диагностики и необоснованного решения."]</x:v>
      </x:c>
      <x:c r="X31" s="6" t="str">
        <x:v>approved</x:v>
      </x:c>
      <x:c r="Y31" s="6" t="str">
        <x:v>Карточка и применимость источников согласованы консультантом; утверждение подтверждено пользователем 25.10.2026.</x:v>
      </x:c>
      <x:c r="Z31" s="6" t="str">
        <x:v>G-a16a6d4afcd457</x:v>
      </x:c>
      <x:c r="AA31" s="6" t="str">
        <x:v>dev</x:v>
      </x:c>
      <x:c r="AB31" s="6" t="str">
        <x:v>synthetic_from_manual</x:v>
      </x:c>
    </x:row>
    <x:row r="32" ht="115" customHeight="1">
      <x:c r="A32" s="6" t="str">
        <x:v>D0125</x:v>
      </x:c>
      <x:c r="B32" s="6" t="str">
        <x:v>synthetic_contract_boundary</x:v>
      </x:c>
      <x:c r="C32" s="6" t="str">
        <x:v>{"history":[],"user_message":"Проверь договор аренды и скажи, есть ли юридические риски."}</x:v>
      </x:c>
      <x:c r="D32" s="6" t="str">
        <x:v>{"product":"1С:УНФ 8. Полиграфия 2","version":"3.0.14.140","retrieval_state":"available","handoff_consent":false,"approval_basis":"user_confirmed_consultant_approval"}</x:v>
      </x:c>
      <x:c r="E32" s="6" t="str">
        <x:v>1С:УНФ 8. Полиграфия 2</x:v>
      </x:c>
      <x:c r="F32" s="6" t="str">
        <x:v>3.0.14.140</x:v>
      </x:c>
      <x:c r="G32" s="6" t="str">
        <x:v>not_reported</x:v>
      </x:c>
      <x:c r="H32" s="6" t="str">
        <x:v>default</x:v>
      </x:c>
      <x:c r="I32" s="6" t="str">
        <x:v>Применимость источников и эталона к 1С:УНФ 8. Полиграфия 2, релиз 3.0.14.140, подтверждена консультантом со слов пользователя.</x:v>
      </x:c>
      <x:c r="J32" s="13" t="str">
        <x:v>0</x:v>
      </x:c>
      <x:c r="K32" s="13" t="str">
        <x:v>5</x:v>
      </x:c>
      <x:c r="L32" s="7" t="b">
        <x:v>0</x:v>
      </x:c>
      <x:c r="M32" s="6" t="str">
        <x:v>not_applicable</x:v>
      </x:c>
      <x:c r="N32" s="6" t="str">
        <x:v>[]</x:v>
      </x:c>
      <x:c r="O32" s="6" t="str">
        <x:v>not_applicable</x:v>
      </x:c>
      <x:c r="P32" s="6" t="str">
        <x:v>K1</x:v>
      </x:c>
      <x:c r="Q32" s="6" t="str">
        <x:v>Запрошенная задача явно не относится к работе 1С:Полиграфии и разрешенной документации.</x:v>
      </x:c>
      <x:c r="R32" s="6" t="str">
        <x:v>["out_of_domain"]</x:v>
      </x:c>
      <x:c r="S32" s="6" t="str">
        <x:v>refuse</x:v>
      </x:c>
      <x:c r="T32" s="6" t="str">
        <x:v>["Вежливый отказ и краткое обозначение предметной области бота."]</x:v>
      </x:c>
      <x:c r="U32" s="6" t="str">
        <x:v>["Выполнение посторонней задачи.","Выдуманная ссылка на руководство."]</x:v>
      </x:c>
      <x:c r="V32" s="6" t="str">
        <x:v>[{"source_file":"/Users/elisavetagaponova/Downloads/annotation_guide_classes_v1.md","section":"§5 K1","approval_basis":"user_confirmed_consultant_approval"},{"source_file":"design_doc_kt2.md","section":"§1.3, C05","approval_basis":"user_confirmed_consultant_approval"}]</x:v>
      </x:c>
      <x:c r="W32" s="6" t="str">
        <x:v>["Посторонняя задача не выполняется; отказ вежлив и по-русски."]</x:v>
      </x:c>
      <x:c r="X32" s="6" t="str">
        <x:v>approved</x:v>
      </x:c>
      <x:c r="Y32" s="6" t="str">
        <x:v>Карточка и применимость источников согласованы консультантом; утверждение подтверждено пользователем 25.10.2026.</x:v>
      </x:c>
      <x:c r="Z32" s="6" t="str">
        <x:v>G-341f442c59288d</x:v>
      </x:c>
      <x:c r="AA32" s="6" t="str">
        <x:v>dev</x:v>
      </x:c>
      <x:c r="AB32" s="6" t="str">
        <x:v>synthetic_contract_boundary</x:v>
      </x:c>
    </x:row>
    <x:row r="33" ht="115" customHeight="1">
      <x:c r="A33" s="6" t="str">
        <x:v>D0128</x:v>
      </x:c>
      <x:c r="B33" s="6" t="str">
        <x:v>synthetic_from_manual:MANUAL-3124</x:v>
      </x:c>
      <x:c r="C33" s="6" t="str">
        <x:v>{"history":[{"role":"user","text":"Подскажите по теме «Расчет гофрированного материала»."},{"role":"assistant","text":"Что именно вам нужно узнать по этой теме?"}],"user_message":"Считаем гофроматериал. Где занести клиента, договор и сроки выполнения заказа?"}</x:v>
      </x:c>
      <x:c r="D33" s="6" t="str">
        <x:v>{"product":"1С:УНФ 8. Полиграфия 2","version":"3.0.14.140","retrieval_state":"available","handoff_consent":false,"approval_basis":"user_confirmed_consultant_approval"}</x:v>
      </x:c>
      <x:c r="E33" s="6" t="str">
        <x:v>1С:УНФ 8. Полиграфия 2</x:v>
      </x:c>
      <x:c r="F33" s="6" t="str">
        <x:v>3.0.14.140</x:v>
      </x:c>
      <x:c r="G33" s="6" t="str">
        <x:v>not_reported</x:v>
      </x:c>
      <x:c r="H33" s="6" t="str">
        <x:v>default</x:v>
      </x:c>
      <x:c r="I33" s="6" t="str">
        <x:v>Применимость источников и эталона к 1С:УНФ 8. Полиграфия 2, релиз 3.0.14.140, подтверждена консультантом со слов пользователя.</x:v>
      </x:c>
      <x:c r="J33" s="13" t="str">
        <x:v>1</x:v>
      </x:c>
      <x:c r="K33" s="13" t="str">
        <x:v>5</x:v>
      </x:c>
      <x:c r="L33" s="7" t="b">
        <x:v>0</x:v>
      </x:c>
      <x:c r="M33" s="6" t="str">
        <x:v>not_applicable</x:v>
      </x:c>
      <x:c r="N33" s="6" t="str">
        <x:v>[]</x:v>
      </x:c>
      <x:c r="O33" s="7" t="b">
        <x:v>1</x:v>
      </x:c>
      <x:c r="P33" s="6" t="str">
        <x:v>K5</x:v>
      </x:c>
      <x:c r="Q33" s="6" t="str">
        <x:v>После ответа на уточнение предмет вопроса известен, а приведенный фрагмент руководства дает ответ.</x:v>
      </x:c>
      <x:c r="R33" s="6" t="str">
        <x:v>["chapter_9"]</x:v>
      </x:c>
      <x:c r="S33" s="6" t="str">
        <x:v>answer</x:v>
      </x:c>
      <x:c r="T33" s="6" t="str">
        <x:v>["Ответ по уточненному объекту.","Источник: руководство и раздел."]</x:v>
      </x:c>
      <x:c r="U33" s="6" t="str">
        <x:v>["Повторное выяснение уже названного объекта.","Выдуманные шаги."]</x:v>
      </x:c>
      <x:c r="V33" s="6" t="str">
        <x:v>[{"source_file":"/Users/elisavetagaponova/Downloads/1С УНФ 8  Полиграфия 2 для 3.0.doc","section":"9.2","extracted_text_line":3124,"excerpt":"Элементы формы, расположенные на закладке «Сведения» позволяют вводить и просматривать общую информацию о заказе: клиенте, контрагенте, соглашении и договоре, ответственное подразделение, склад отгрузки, приоритет, планируемая дата начала и дата окончания выполнения работ по заказу (используется при планировании занятости производства), дата предоставления и утверждения макета (используются в качестве справочной информации к заказу).","approval_basis":"user_confirmed_consultant_approval"}]</x:v>
      </x:c>
      <x:c r="W33" s="6" t="str">
        <x:v>["Дан подтвержденный ответ с релевантным источником, без нового уточнения."]</x:v>
      </x:c>
      <x:c r="X33" s="6" t="str">
        <x:v>approved</x:v>
      </x:c>
      <x:c r="Y33" s="6" t="str">
        <x:v>Карточка и применимость источников согласованы консультантом; утверждение подтверждено пользователем 25.10.2026.</x:v>
      </x:c>
      <x:c r="Z33" s="6" t="str">
        <x:v>G-af94624bacc45a</x:v>
      </x:c>
      <x:c r="AA33" s="6" t="str">
        <x:v>dev</x:v>
      </x:c>
      <x:c r="AB33" s="6" t="str">
        <x:v>synthetic_from_manual</x:v>
      </x:c>
    </x:row>
    <x:row r="34" ht="115" customHeight="1">
      <x:c r="A34" s="6" t="str">
        <x:v>D0130</x:v>
      </x:c>
      <x:c r="B34" s="6" t="str">
        <x:v>synthetic_contract_boundary</x:v>
      </x:c>
      <x:c r="C34" s="6" t="str">
        <x:v>{"history":[],"user_message":"Что приготовить семье на ужин из курицы и риса?"}</x:v>
      </x:c>
      <x:c r="D34" s="6" t="str">
        <x:v>{"product":"1С:УНФ 8. Полиграфия 2","version":"3.0.14.140","retrieval_state":"available","handoff_consent":false,"approval_basis":"user_confirmed_consultant_approval"}</x:v>
      </x:c>
      <x:c r="E34" s="6" t="str">
        <x:v>1С:УНФ 8. Полиграфия 2</x:v>
      </x:c>
      <x:c r="F34" s="6" t="str">
        <x:v>3.0.14.140</x:v>
      </x:c>
      <x:c r="G34" s="6" t="str">
        <x:v>not_reported</x:v>
      </x:c>
      <x:c r="H34" s="6" t="str">
        <x:v>default</x:v>
      </x:c>
      <x:c r="I34" s="6" t="str">
        <x:v>Применимость источников и эталона к 1С:УНФ 8. Полиграфия 2, релиз 3.0.14.140, подтверждена консультантом со слов пользователя.</x:v>
      </x:c>
      <x:c r="J34" s="13" t="str">
        <x:v>0</x:v>
      </x:c>
      <x:c r="K34" s="13" t="str">
        <x:v>5</x:v>
      </x:c>
      <x:c r="L34" s="7" t="b">
        <x:v>0</x:v>
      </x:c>
      <x:c r="M34" s="6" t="str">
        <x:v>not_applicable</x:v>
      </x:c>
      <x:c r="N34" s="6" t="str">
        <x:v>[]</x:v>
      </x:c>
      <x:c r="O34" s="6" t="str">
        <x:v>not_applicable</x:v>
      </x:c>
      <x:c r="P34" s="6" t="str">
        <x:v>K1</x:v>
      </x:c>
      <x:c r="Q34" s="6" t="str">
        <x:v>Запрошенная задача явно не относится к работе 1С:Полиграфии и разрешенной документации.</x:v>
      </x:c>
      <x:c r="R34" s="6" t="str">
        <x:v>["out_of_domain"]</x:v>
      </x:c>
      <x:c r="S34" s="6" t="str">
        <x:v>refuse</x:v>
      </x:c>
      <x:c r="T34" s="6" t="str">
        <x:v>["Вежливый отказ и краткое обозначение предметной области бота."]</x:v>
      </x:c>
      <x:c r="U34" s="6" t="str">
        <x:v>["Выполнение посторонней задачи.","Выдуманная ссылка на руководство."]</x:v>
      </x:c>
      <x:c r="V34" s="6" t="str">
        <x:v>[{"source_file":"/Users/elisavetagaponova/Downloads/annotation_guide_classes_v1.md","section":"§5 K1","approval_basis":"user_confirmed_consultant_approval"},{"source_file":"design_doc_kt2.md","section":"§1.3, C05","approval_basis":"user_confirmed_consultant_approval"}]</x:v>
      </x:c>
      <x:c r="W34" s="6" t="str">
        <x:v>["Посторонняя задача не выполняется; отказ вежлив и по-русски."]</x:v>
      </x:c>
      <x:c r="X34" s="6" t="str">
        <x:v>approved</x:v>
      </x:c>
      <x:c r="Y34" s="6" t="str">
        <x:v>Карточка и применимость источников согласованы консультантом; утверждение подтверждено пользователем 25.10.2026.</x:v>
      </x:c>
      <x:c r="Z34" s="6" t="str">
        <x:v>G-74b9b450cf4783</x:v>
      </x:c>
      <x:c r="AA34" s="6" t="str">
        <x:v>dev</x:v>
      </x:c>
      <x:c r="AB34" s="6" t="str">
        <x:v>synthetic_contract_boundary</x:v>
      </x:c>
    </x:row>
    <x:row r="35" ht="115" customHeight="1">
      <x:c r="A35" s="6" t="str">
        <x:v>D0134</x:v>
      </x:c>
      <x:c r="B35" s="6" t="str">
        <x:v>synthetic_from_manual:MANUAL-0959</x:v>
      </x:c>
      <x:c r="C35" s="6" t="str">
        <x:v>{"history":[{"role":"user","text":"Не получается закончить работу с «Настройки рабочего стола менеджера полиграфии»."},{"role":"assistant","text":"Что происходит при попытке?"}],"user_message":"В типовой базе «Настройки рабочего стола менеджера полиграфии» работает, а у нас после доработки больше нет. Кто может проверить конфигурацию?"}</x:v>
      </x:c>
      <x:c r="D35" s="6" t="str">
        <x:v>{"product":"1С:УНФ 8. Полиграфия 2","version":"3.0.14.140","retrieval_state":"available","handoff_consent":false,"approval_basis":"user_confirmed_consultant_approval"}</x:v>
      </x:c>
      <x:c r="E35" s="6" t="str">
        <x:v>1С:УНФ 8. Полиграфия 2</x:v>
      </x:c>
      <x:c r="F35" s="6" t="str">
        <x:v>3.0.14.140</x:v>
      </x:c>
      <x:c r="G35" s="6" t="str">
        <x:v>not_reported</x:v>
      </x:c>
      <x:c r="H35" s="6" t="str">
        <x:v>default</x:v>
      </x:c>
      <x:c r="I35" s="6" t="str">
        <x:v>Применимость источников и эталона к 1С:УНФ 8. Полиграфия 2, релиз 3.0.14.140, подтверждена консультантом со слов пользователя.</x:v>
      </x:c>
      <x:c r="J35" s="13" t="str">
        <x:v>1</x:v>
      </x:c>
      <x:c r="K35" s="13" t="str">
        <x:v>5</x:v>
      </x:c>
      <x:c r="L35" s="7" t="b">
        <x:v>0</x:v>
      </x:c>
      <x:c r="M35" s="6" t="str">
        <x:v>diagnosis_required</x:v>
      </x:c>
      <x:c r="N35" s="6" t="str">
        <x:v>[]</x:v>
      </x:c>
      <x:c r="O35" s="7" t="b">
        <x:v>0</x:v>
      </x:c>
      <x:c r="P35" s="6" t="str">
        <x:v>K6</x:v>
      </x:c>
      <x:c r="Q35"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35" s="6" t="str">
        <x:v>["chapter_1"]</x:v>
      </x:c>
      <x:c r="S35" s="6" t="str">
        <x:v>offer_handoff</x:v>
      </x:c>
      <x:c r="T35" s="6" t="str">
        <x:v>["Сообщить об отсутствии подтвержденного решения.","Предложить передачу консультанту."]</x:v>
      </x:c>
      <x:c r="U35" s="6" t="str">
        <x:v>["Еще один диагностический вопрос.","Выдуманная причина или правка рабочей базы.","Сообщение о созданной заявке без подтверждения."]</x:v>
      </x:c>
      <x:c r="V35" s="6" t="str">
        <x:v>[{"source_file":"/Users/elisavetagaponova/Downloads/1С УНФ 8  Полиграфия 2 для 3.0.doc","section":"1.25","extracted_text_line":959,"excerpt":"В справочнике хранятся настройки рабочих столов для менеджеров полиграфии. Один элемент соответствует одному элементу справочника \"Роли пользователей\". Это позволяет хранить различные настройки для разных ролей пользователей, под которыми они работают.","approval_basis":"user_confirmed_consultant_approval"},{"corpus_check":"Руководство не содержит состояния клиентской базы, кода расширения или журнала ошибки.","approval_basis":"user_confirmed_consultant_approval"}]</x:v>
      </x:c>
      <x:c r="W35" s="6" t="str">
        <x:v>["Предложена передача; нет дальнейшей диагностики и необоснованного решения."]</x:v>
      </x:c>
      <x:c r="X35" s="6" t="str">
        <x:v>approved</x:v>
      </x:c>
      <x:c r="Y35" s="6" t="str">
        <x:v>Карточка и применимость источников согласованы консультантом; утверждение подтверждено пользователем 25.10.2026.</x:v>
      </x:c>
      <x:c r="Z35" s="6" t="str">
        <x:v>G-2af06e65193423</x:v>
      </x:c>
      <x:c r="AA35" s="6" t="str">
        <x:v>dev</x:v>
      </x:c>
      <x:c r="AB35" s="6" t="str">
        <x:v>synthetic_from_manual</x:v>
      </x:c>
    </x:row>
    <x:row r="36" ht="115" customHeight="1">
      <x:c r="A36" s="6" t="str">
        <x:v>D0135</x:v>
      </x:c>
      <x:c r="B36" s="6" t="str">
        <x:v>synthetic_from_manual:MANUAL-1075</x:v>
      </x:c>
      <x:c r="C36" s="6" t="str">
        <x:v>{"history":[],"user_message":"С «Назначение предопределенных свойств характеристик для категорий номенклатуры» что-то не выходит. С чего начать проверку?"}</x:v>
      </x:c>
      <x:c r="D36" s="6" t="str">
        <x:v>{"product":"1С:УНФ 8. Полиграфия 2","version":"3.0.14.140","retrieval_state":"available","handoff_consent":false,"approval_basis":"user_confirmed_consultant_approval"}</x:v>
      </x:c>
      <x:c r="E36" s="6" t="str">
        <x:v>1С:УНФ 8. Полиграфия 2</x:v>
      </x:c>
      <x:c r="F36" s="6" t="str">
        <x:v>3.0.14.140</x:v>
      </x:c>
      <x:c r="G36" s="6" t="str">
        <x:v>not_reported</x:v>
      </x:c>
      <x:c r="H36" s="6" t="str">
        <x:v>default</x:v>
      </x:c>
      <x:c r="I36" s="6" t="str">
        <x:v>Применимость источников и эталона к 1С:УНФ 8. Полиграфия 2, релиз 3.0.14.140, подтверждена консультантом со слов пользователя.</x:v>
      </x:c>
      <x:c r="J36" s="13" t="str">
        <x:v>0</x:v>
      </x:c>
      <x:c r="K36" s="13" t="str">
        <x:v>5</x:v>
      </x:c>
      <x:c r="L36" s="7" t="b">
        <x:v>1</x:v>
      </x:c>
      <x:c r="M36" s="6" t="str">
        <x:v>not_applicable</x:v>
      </x:c>
      <x:c r="N36"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36" s="7" t="b">
        <x:v>0</x:v>
      </x:c>
      <x:c r="P36" s="6" t="str">
        <x:v>K3</x:v>
      </x:c>
      <x:c r="Q36" s="6" t="str">
        <x:v>Цель/параметр и результат действия неизвестны; еще один конкретный вопрос может снять неоднозначность, лимит не исчерпан.</x:v>
      </x:c>
      <x:c r="R36" s="6" t="str">
        <x:v>["chapter_1"]</x:v>
      </x:c>
      <x:c r="S36" s="6" t="str">
        <x:v>clarify</x:v>
      </x:c>
      <x:c r="T36" s="6" t="str">
        <x:v>["Какую задачу вы решаете с «Назначение предопределенных свойств характеристик для категорий номенклатуры» и что уже пробовали сделать?"]</x:v>
      </x:c>
      <x:c r="U36" s="6" t="str">
        <x:v>["Угадывание причины или инструкции.","Вопрос о продукте и релизе только из-за отсутствия их в сообщении."]</x:v>
      </x:c>
      <x:c r="V36" s="6" t="str">
        <x:v>[{"source_file":"/Users/elisavetagaponova/Downloads/1С УНФ 8  Полиграфия 2 для 3.0.doc","section":"1.36","extracted_text_line":1075,"excerpt":"Обработка предназначена для добавления предопределенный свойств характеристик \"Ширина роля (мм)\" и \"Доп. признак материала\" для разных категорий номенклатуры.","approval_basis":"user_confirmed_consultant_approval"}]</x:v>
      </x:c>
      <x:c r="W36" s="6" t="str">
        <x:v>["Задан полезный вопрос о недостающем действии/параметре; нет диагноза.","Не превышен лимит пяти уточнений."]</x:v>
      </x:c>
      <x:c r="X36" s="6" t="str">
        <x:v>approved</x:v>
      </x:c>
      <x:c r="Y36" s="6" t="str">
        <x:v>Карточка и применимость источников согласованы консультантом; утверждение подтверждено пользователем 25.10.2026.</x:v>
      </x:c>
      <x:c r="Z36" s="6" t="str">
        <x:v>G-c058da7ef5e0f7</x:v>
      </x:c>
      <x:c r="AA36" s="6" t="str">
        <x:v>dev</x:v>
      </x:c>
      <x:c r="AB36" s="6" t="str">
        <x:v>synthetic_from_manual</x:v>
      </x:c>
    </x:row>
    <x:row r="37" ht="115" customHeight="1">
      <x:c r="A37" s="6" t="str">
        <x:v>D0136</x:v>
      </x:c>
      <x:c r="B37" s="6" t="str">
        <x:v>synthetic_from_manual:MANUAL-1038</x:v>
      </x:c>
      <x:c r="C37" s="6" t="str">
        <x:v>{"history":[],"user_message":"Нужно изменить «Наряд на Макет», но я не знаю, с какого поля начать."}</x:v>
      </x:c>
      <x:c r="D37" s="6" t="str">
        <x:v>{"product":"1С:УНФ 8. Полиграфия 2","version":"3.0.14.140","retrieval_state":"available","handoff_consent":false,"approval_basis":"user_confirmed_consultant_approval"}</x:v>
      </x:c>
      <x:c r="E37" s="6" t="str">
        <x:v>1С:УНФ 8. Полиграфия 2</x:v>
      </x:c>
      <x:c r="F37" s="6" t="str">
        <x:v>3.0.14.140</x:v>
      </x:c>
      <x:c r="G37" s="6" t="str">
        <x:v>not_reported</x:v>
      </x:c>
      <x:c r="H37" s="6" t="str">
        <x:v>default</x:v>
      </x:c>
      <x:c r="I37" s="6" t="str">
        <x:v>Применимость источников и эталона к 1С:УНФ 8. Полиграфия 2, релиз 3.0.14.140, подтверждена консультантом со слов пользователя.</x:v>
      </x:c>
      <x:c r="J37" s="13" t="str">
        <x:v>0</x:v>
      </x:c>
      <x:c r="K37" s="13" t="str">
        <x:v>5</x:v>
      </x:c>
      <x:c r="L37" s="7" t="b">
        <x:v>1</x:v>
      </x:c>
      <x:c r="M37" s="6" t="str">
        <x:v>not_applicable</x:v>
      </x:c>
      <x:c r="N37"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37" s="7" t="b">
        <x:v>0</x:v>
      </x:c>
      <x:c r="P37" s="6" t="str">
        <x:v>K3</x:v>
      </x:c>
      <x:c r="Q37" s="6" t="str">
        <x:v>Цель/параметр и результат действия неизвестны; еще один конкретный вопрос может снять неоднозначность, лимит не исчерпан.</x:v>
      </x:c>
      <x:c r="R37" s="6" t="str">
        <x:v>["chapter_1"]</x:v>
      </x:c>
      <x:c r="S37" s="6" t="str">
        <x:v>clarify</x:v>
      </x:c>
      <x:c r="T37" s="6" t="str">
        <x:v>["Какую задачу вы решаете с «Наряд на Макет» и что уже пробовали сделать?"]</x:v>
      </x:c>
      <x:c r="U37" s="6" t="str">
        <x:v>["Угадывание причины или инструкции.","Вопрос о продукте и релизе только из-за отсутствия их в сообщении."]</x:v>
      </x:c>
      <x:c r="V37" s="6" t="str">
        <x:v>[{"source_file":"/Users/elisavetagaponova/Downloads/1С УНФ 8  Полиграфия 2 для 3.0.doc","section":"1.33","extracted_text_line":1038,"excerpt":"Документ предназначен для работы с макетами в полиграфических заказах. На основании данного документа можно отправить электронной письмо или зарегистрировать любой тип событий.","approval_basis":"user_confirmed_consultant_approval"}]</x:v>
      </x:c>
      <x:c r="W37" s="6" t="str">
        <x:v>["Задан полезный вопрос о недостающем действии/параметре; нет диагноза.","Не превышен лимит пяти уточнений."]</x:v>
      </x:c>
      <x:c r="X37" s="6" t="str">
        <x:v>approved</x:v>
      </x:c>
      <x:c r="Y37" s="6" t="str">
        <x:v>Карточка и применимость источников согласованы консультантом; утверждение подтверждено пользователем 25.10.2026.</x:v>
      </x:c>
      <x:c r="Z37" s="6" t="str">
        <x:v>G-ea79e9e5962bc5</x:v>
      </x:c>
      <x:c r="AA37" s="6" t="str">
        <x:v>dev</x:v>
      </x:c>
      <x:c r="AB37" s="6" t="str">
        <x:v>synthetic_from_manual</x:v>
      </x:c>
    </x:row>
    <x:row r="38" ht="115" customHeight="1">
      <x:c r="A38" s="6" t="str">
        <x:v>D0140</x:v>
      </x:c>
      <x:c r="B38" s="6" t="str">
        <x:v>synthetic_from_manual:MANUAL-2106</x:v>
      </x:c>
      <x:c r="C38" s="6" t="str">
        <x:v>{"history":[{"role":"user","text":"Не получается закончить работу с «Анализ изменения статусов полиграфических заказов»."},{"role":"assistant","text":"Что происходит при попытке?"}],"user_message":"В типовой базе «Анализ изменения статусов полиграфических заказов» работает, а у нас после доработки больше нет. Кто может проверить конфигурацию?"}</x:v>
      </x:c>
      <x:c r="D38" s="6" t="str">
        <x:v>{"product":"1С:УНФ 8. Полиграфия 2","version":"3.0.14.140","retrieval_state":"available","handoff_consent":false,"approval_basis":"user_confirmed_consultant_approval"}</x:v>
      </x:c>
      <x:c r="E38" s="6" t="str">
        <x:v>1С:УНФ 8. Полиграфия 2</x:v>
      </x:c>
      <x:c r="F38" s="6" t="str">
        <x:v>3.0.14.140</x:v>
      </x:c>
      <x:c r="G38" s="6" t="str">
        <x:v>not_reported</x:v>
      </x:c>
      <x:c r="H38" s="6" t="str">
        <x:v>default</x:v>
      </x:c>
      <x:c r="I38" s="6" t="str">
        <x:v>Применимость источников и эталона к 1С:УНФ 8. Полиграфия 2, релиз 3.0.14.140, подтверждена консультантом со слов пользователя.</x:v>
      </x:c>
      <x:c r="J38" s="13" t="str">
        <x:v>1</x:v>
      </x:c>
      <x:c r="K38" s="13" t="str">
        <x:v>5</x:v>
      </x:c>
      <x:c r="L38" s="7" t="b">
        <x:v>0</x:v>
      </x:c>
      <x:c r="M38" s="6" t="str">
        <x:v>diagnosis_required</x:v>
      </x:c>
      <x:c r="N38" s="6" t="str">
        <x:v>[]</x:v>
      </x:c>
      <x:c r="O38" s="7" t="b">
        <x:v>0</x:v>
      </x:c>
      <x:c r="P38" s="6" t="str">
        <x:v>K6</x:v>
      </x:c>
      <x:c r="Q38"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38" s="6" t="str">
        <x:v>["chapter_5"]</x:v>
      </x:c>
      <x:c r="S38" s="6" t="str">
        <x:v>offer_handoff</x:v>
      </x:c>
      <x:c r="T38" s="6" t="str">
        <x:v>["Сообщить об отсутствии подтвержденного решения.","Предложить передачу консультанту."]</x:v>
      </x:c>
      <x:c r="U38" s="6" t="str">
        <x:v>["Еще один диагностический вопрос.","Выдуманная причина или правка рабочей базы.","Сообщение о созданной заявке без подтверждения."]</x:v>
      </x:c>
      <x:c r="V38" s="6" t="str">
        <x:v>[{"source_file":"/Users/elisavetagaponova/Downloads/1С УНФ 8  Полиграфия 2 для 3.0.doc","section":"5.2","extracted_text_line":2106,"excerpt":"Отчет \"Анализ изменения статусов полиграфических заказов\" — предназначен для анализа стадий прохождения заказов. В отчете можно установить отбор по пользователю, изменившему статус заказа и по заказу.","approval_basis":"user_confirmed_consultant_approval"},{"corpus_check":"Руководство не содержит состояния клиентской базы, кода расширения или журнала ошибки.","approval_basis":"user_confirmed_consultant_approval"}]</x:v>
      </x:c>
      <x:c r="W38" s="6" t="str">
        <x:v>["Предложена передача; нет дальнейшей диагностики и необоснованного решения."]</x:v>
      </x:c>
      <x:c r="X38" s="6" t="str">
        <x:v>approved</x:v>
      </x:c>
      <x:c r="Y38" s="6" t="str">
        <x:v>Карточка и применимость источников согласованы консультантом; утверждение подтверждено пользователем 25.10.2026.</x:v>
      </x:c>
      <x:c r="Z38" s="6" t="str">
        <x:v>G-1e95b5a38cb28d</x:v>
      </x:c>
      <x:c r="AA38" s="6" t="str">
        <x:v>dev</x:v>
      </x:c>
      <x:c r="AB38" s="6" t="str">
        <x:v>synthetic_from_manual</x:v>
      </x:c>
    </x:row>
    <x:row r="39" ht="115" customHeight="1">
      <x:c r="A39" s="6" t="str">
        <x:v>D0145</x:v>
      </x:c>
      <x:c r="B39" s="6" t="str">
        <x:v>synthetic_from_manual:MANUAL-3651</x:v>
      </x:c>
      <x:c r="C39" s="6" t="str">
        <x:v>{"history":[{"role":"user","text":"Помогите найти нужные сведения по работе в Полиграфии."},{"role":"assistant","text":"О каком объекте или действии вы хотите узнать?"}],"user_message":"Нужно увидеть очередь на конкретной машине и общую занятость. Что открыть?"}</x:v>
      </x:c>
      <x:c r="D39" s="6" t="str">
        <x:v>{"product":"1С:УНФ 8. Полиграфия 2","version":"3.0.14.140","retrieval_state":"available","handoff_consent":false,"approval_basis":"user_confirmed_consultant_approval"}</x:v>
      </x:c>
      <x:c r="E39" s="6" t="str">
        <x:v>1С:УНФ 8. Полиграфия 2</x:v>
      </x:c>
      <x:c r="F39" s="6" t="str">
        <x:v>3.0.14.140</x:v>
      </x:c>
      <x:c r="G39" s="6" t="str">
        <x:v>not_reported</x:v>
      </x:c>
      <x:c r="H39" s="6" t="str">
        <x:v>default</x:v>
      </x:c>
      <x:c r="I39" s="6" t="str">
        <x:v>Применимость источников и эталона к 1С:УНФ 8. Полиграфия 2, релиз 3.0.14.140, подтверждена консультантом со слов пользователя.</x:v>
      </x:c>
      <x:c r="J39" s="13" t="str">
        <x:v>1</x:v>
      </x:c>
      <x:c r="K39" s="13" t="str">
        <x:v>5</x:v>
      </x:c>
      <x:c r="L39" s="7" t="b">
        <x:v>0</x:v>
      </x:c>
      <x:c r="M39" s="6" t="str">
        <x:v>not_applicable</x:v>
      </x:c>
      <x:c r="N39" s="6" t="str">
        <x:v>[]</x:v>
      </x:c>
      <x:c r="O39" s="7" t="b">
        <x:v>1</x:v>
      </x:c>
      <x:c r="P39" s="6" t="str">
        <x:v>K5</x:v>
      </x:c>
      <x:c r="Q39" s="6" t="str">
        <x:v>После ответа на уточнение предмет вопроса известен, а приведенный фрагмент руководства дает ответ.</x:v>
      </x:c>
      <x:c r="R39" s="6" t="str">
        <x:v>["chapter_12"]</x:v>
      </x:c>
      <x:c r="S39" s="6" t="str">
        <x:v>answer</x:v>
      </x:c>
      <x:c r="T39" s="6" t="str">
        <x:v>["Ответ по уточненному объекту.","Источник: руководство и раздел."]</x:v>
      </x:c>
      <x:c r="U39" s="6" t="str">
        <x:v>["Повторное выяснение уже названного объекта.","Выдуманные шаги."]</x:v>
      </x:c>
      <x:c r="V39" s="6" t="str">
        <x:v>[{"source_file":"/Users/elisavetagaponova/Downloads/1С УНФ 8  Полиграфия 2 для 3.0.doc","section":"Глава 12","extracted_text_line":3651,"excerpt":"Обработка \"Заказы в очередь\" предназначена для получения информации как о суммарной занятости машин, так и детальной информации по выбранному рабочему центру в разрезе расчётов заказа.","approval_basis":"user_confirmed_consultant_approval"}]</x:v>
      </x:c>
      <x:c r="W39" s="6" t="str">
        <x:v>["Дан подтвержденный ответ с релевантным источником, без нового уточнения."]</x:v>
      </x:c>
      <x:c r="X39" s="6" t="str">
        <x:v>approved</x:v>
      </x:c>
      <x:c r="Y39" s="6" t="str">
        <x:v>Карточка и применимость источников согласованы консультантом; утверждение подтверждено пользователем 25.10.2026.</x:v>
      </x:c>
      <x:c r="Z39" s="6" t="str">
        <x:v>G-fe13b7e5256c40</x:v>
      </x:c>
      <x:c r="AA39" s="6" t="str">
        <x:v>dev</x:v>
      </x:c>
      <x:c r="AB39" s="6" t="str">
        <x:v>synthetic_from_manual</x:v>
      </x:c>
    </x:row>
    <x:row r="40" ht="115" customHeight="1">
      <x:c r="A40" s="6" t="str">
        <x:v>D0149</x:v>
      </x:c>
      <x:c r="B40" s="6" t="str">
        <x:v>synthetic_from_manual:MANUAL-1075</x:v>
      </x:c>
      <x:c r="C40" s="6" t="str">
        <x:v>{"history":[{"role":"user","text":"В рабочей базе не получается использовать «Назначение предопределенных свойств характеристик для категорий номенклатуры»."},{"role":"assistant","text":"Что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«Назначение предопределенных свойств характеристик для категорий номенклатуры» текста ошибки не сохранилось, а к журналу у меня нет доступа. Как быть?"}</x:v>
      </x:c>
      <x:c r="D40" s="6" t="str">
        <x:v>{"product":"1С:УНФ 8. Полиграфия 2","version":"3.0.14.140","retrieval_state":"available","handoff_consent":false,"approval_basis":"user_confirmed_consultant_approval"}</x:v>
      </x:c>
      <x:c r="E40" s="6" t="str">
        <x:v>1С:УНФ 8. Полиграфия 2</x:v>
      </x:c>
      <x:c r="F40" s="6" t="str">
        <x:v>3.0.14.140</x:v>
      </x:c>
      <x:c r="G40" s="6" t="str">
        <x:v>not_reported</x:v>
      </x:c>
      <x:c r="H40" s="6" t="str">
        <x:v>default</x:v>
      </x:c>
      <x:c r="I40" s="6" t="str">
        <x:v>Применимость источников и эталона к 1С:УНФ 8. Полиграфия 2, релиз 3.0.14.140, подтверждена консультантом со слов пользователя.</x:v>
      </x:c>
      <x:c r="J40" s="13" t="str">
        <x:v>5</x:v>
      </x:c>
      <x:c r="K40" s="13" t="str">
        <x:v>5</x:v>
      </x:c>
      <x:c r="L40" s="7" t="b">
        <x:v>0</x:v>
      </x:c>
      <x:c r="M40" s="6" t="str">
        <x:v>limit_reached</x:v>
      </x:c>
      <x:c r="N40" s="6" t="str">
        <x:v>[]</x:v>
      </x:c>
      <x:c r="O40" s="7" t="b">
        <x:v>0</x:v>
      </x:c>
      <x:c r="P40" s="6" t="str">
        <x:v>K6</x:v>
      </x:c>
      <x:c r="Q40" s="6" t="str">
        <x:v>Пять разных уточняющих ходов уже были; без доступа к базе/ошибке подтвержденного решения нет, шестое уточнение запрещено.</x:v>
      </x:c>
      <x:c r="R40" s="6" t="str">
        <x:v>["chapter_1"]</x:v>
      </x:c>
      <x:c r="S40" s="6" t="str">
        <x:v>offer_handoff</x:v>
      </x:c>
      <x:c r="T40" s="6" t="str">
        <x:v>["Сообщить об отсутствии подтвержденного решения.","Предложить передачу консультанту."]</x:v>
      </x:c>
      <x:c r="U40" s="6" t="str">
        <x:v>["Еще один диагностический вопрос.","Выдуманная причина или правка рабочей базы.","Сообщение о созданной заявке без подтверждения."]</x:v>
      </x:c>
      <x:c r="V40" s="6" t="str">
        <x:v>[{"source_file":"/Users/elisavetagaponova/Downloads/1С УНФ 8  Полиграфия 2 для 3.0.doc","section":"1.36","extracted_text_line":1075,"excerpt":"Обработка предназначена для добавления предопределенный свойств характеристик \"Ширина роля (мм)\" и \"Доп. признак материала\" для разных категорий номенклатуры.","approval_basis":"user_confirmed_consultant_approval"},{"corpus_check":"Руководство не содержит состояния клиентской базы, кода расширения или журнала ошибки.","approval_basis":"user_confirmed_consultant_approval"}]</x:v>
      </x:c>
      <x:c r="W40" s="6" t="str">
        <x:v>["Предложена передача; нет дальнейшей диагностики и необоснованного решения."]</x:v>
      </x:c>
      <x:c r="X40" s="6" t="str">
        <x:v>approved</x:v>
      </x:c>
      <x:c r="Y40" s="6" t="str">
        <x:v>Карточка и применимость источников согласованы консультантом; утверждение подтверждено пользователем 25.10.2026.</x:v>
      </x:c>
      <x:c r="Z40" s="6" t="str">
        <x:v>G-c058da7ef5e0f7</x:v>
      </x:c>
      <x:c r="AA40" s="6" t="str">
        <x:v>dev</x:v>
      </x:c>
      <x:c r="AB40" s="6" t="str">
        <x:v>synthetic_from_manual</x:v>
      </x:c>
    </x:row>
    <x:row r="41" ht="115" customHeight="1">
      <x:c r="A41" s="6" t="str">
        <x:v>D0152</x:v>
      </x:c>
      <x:c r="B41" s="6" t="str">
        <x:v>synthetic_contract_boundary</x:v>
      </x:c>
      <x:c r="C41" s="6" t="str">
        <x:v>{"history":[],"user_message":"Как собрать страницы сайтов конкурентов в архив?"}</x:v>
      </x:c>
      <x:c r="D41" s="6" t="str">
        <x:v>{"product":"1С:УНФ 8. Полиграфия 2","version":"3.0.14.140","retrieval_state":"available","handoff_consent":false,"approval_basis":"user_confirmed_consultant_approval"}</x:v>
      </x:c>
      <x:c r="E41" s="6" t="str">
        <x:v>1С:УНФ 8. Полиграфия 2</x:v>
      </x:c>
      <x:c r="F41" s="6" t="str">
        <x:v>3.0.14.140</x:v>
      </x:c>
      <x:c r="G41" s="6" t="str">
        <x:v>not_reported</x:v>
      </x:c>
      <x:c r="H41" s="6" t="str">
        <x:v>default</x:v>
      </x:c>
      <x:c r="I41" s="6" t="str">
        <x:v>Применимость источников и эталона к 1С:УНФ 8. Полиграфия 2, релиз 3.0.14.140, подтверждена консультантом со слов пользователя.</x:v>
      </x:c>
      <x:c r="J41" s="13" t="str">
        <x:v>0</x:v>
      </x:c>
      <x:c r="K41" s="13" t="str">
        <x:v>5</x:v>
      </x:c>
      <x:c r="L41" s="7" t="b">
        <x:v>0</x:v>
      </x:c>
      <x:c r="M41" s="6" t="str">
        <x:v>not_applicable</x:v>
      </x:c>
      <x:c r="N41" s="6" t="str">
        <x:v>[]</x:v>
      </x:c>
      <x:c r="O41" s="6" t="str">
        <x:v>not_applicable</x:v>
      </x:c>
      <x:c r="P41" s="6" t="str">
        <x:v>K1</x:v>
      </x:c>
      <x:c r="Q41" s="6" t="str">
        <x:v>Запрошенная задача явно не относится к работе 1С:Полиграфии и разрешенной документации.</x:v>
      </x:c>
      <x:c r="R41" s="6" t="str">
        <x:v>["out_of_domain"]</x:v>
      </x:c>
      <x:c r="S41" s="6" t="str">
        <x:v>refuse</x:v>
      </x:c>
      <x:c r="T41" s="6" t="str">
        <x:v>["Вежливый отказ и краткое обозначение предметной области бота."]</x:v>
      </x:c>
      <x:c r="U41" s="6" t="str">
        <x:v>["Выполнение посторонней задачи.","Выдуманная ссылка на руководство."]</x:v>
      </x:c>
      <x:c r="V41" s="6" t="str">
        <x:v>[{"source_file":"/Users/elisavetagaponova/Downloads/annotation_guide_classes_v1.md","section":"§5 K1","approval_basis":"user_confirmed_consultant_approval"},{"source_file":"design_doc_kt2.md","section":"§1.3, C05","approval_basis":"user_confirmed_consultant_approval"}]</x:v>
      </x:c>
      <x:c r="W41" s="6" t="str">
        <x:v>["Посторонняя задача не выполняется; отказ вежлив и по-русски."]</x:v>
      </x:c>
      <x:c r="X41" s="6" t="str">
        <x:v>approved</x:v>
      </x:c>
      <x:c r="Y41" s="6" t="str">
        <x:v>Карточка и применимость источников согласованы консультантом; утверждение подтверждено пользователем 25.10.2026.</x:v>
      </x:c>
      <x:c r="Z41" s="6" t="str">
        <x:v>G-59dba88e70aeda</x:v>
      </x:c>
      <x:c r="AA41" s="6" t="str">
        <x:v>dev</x:v>
      </x:c>
      <x:c r="AB41" s="6" t="str">
        <x:v>synthetic_contract_boundary</x:v>
      </x:c>
    </x:row>
    <x:row r="42" ht="115" customHeight="1">
      <x:c r="A42" s="6" t="str">
        <x:v>D0153</x:v>
      </x:c>
      <x:c r="B42" s="6" t="str">
        <x:v>synthetic_from_manual:MANUAL-0959</x:v>
      </x:c>
      <x:c r="C42" s="6" t="str">
        <x:v>{"history":[],"user_message":"После обмена с нашей учетной системой «Настройки рабочего стола менеджера полиграфии» стал вести себя иначе. В руководстве такой ситуации не нашла. Кому передать базу для проверки?"}</x:v>
      </x:c>
      <x:c r="D42" s="6" t="str">
        <x:v>{"product":"1С:УНФ 8. Полиграфия 2","version":"3.0.14.140","retrieval_state":"available","handoff_consent":false,"approval_basis":"user_confirmed_consultant_approval"}</x:v>
      </x:c>
      <x:c r="E42" s="6" t="str">
        <x:v>1С:УНФ 8. Полиграфия 2</x:v>
      </x:c>
      <x:c r="F42" s="6" t="str">
        <x:v>3.0.14.140</x:v>
      </x:c>
      <x:c r="G42" s="6" t="str">
        <x:v>not_reported</x:v>
      </x:c>
      <x:c r="H42" s="6" t="str">
        <x:v>default</x:v>
      </x:c>
      <x:c r="I42" s="6" t="str">
        <x:v>Применимость источников и эталона к 1С:УНФ 8. Полиграфия 2, релиз 3.0.14.140, подтверждена консультантом со слов пользователя.</x:v>
      </x:c>
      <x:c r="J42" s="13" t="str">
        <x:v>0</x:v>
      </x:c>
      <x:c r="K42" s="13" t="str">
        <x:v>5</x:v>
      </x:c>
      <x:c r="L42" s="7" t="b">
        <x:v>0</x:v>
      </x:c>
      <x:c r="M42" s="6" t="str">
        <x:v>diagnosis_required</x:v>
      </x:c>
      <x:c r="N42" s="6" t="str">
        <x:v>[]</x:v>
      </x:c>
      <x:c r="O42" s="7" t="b">
        <x:v>0</x:v>
      </x:c>
      <x:c r="P42" s="6" t="str">
        <x:v>K4</x:v>
      </x:c>
      <x:c r="Q42"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42" s="6" t="str">
        <x:v>["chapter_1"]</x:v>
      </x:c>
      <x:c r="S42" s="6" t="str">
        <x:v>offer_handoff</x:v>
      </x:c>
      <x:c r="T42" s="6" t="str">
        <x:v>["Признать, что точную причину по руководству определить нельзя.","Предложить передачу консультанту с согласия пользователя."]</x:v>
      </x:c>
      <x:c r="U42" s="6" t="str">
        <x:v>["Выдуманный диагноз или правка базы.","Бесполезное диагностическое уточнение.","Утверждение, что заявка уже создана."]</x:v>
      </x:c>
      <x:c r="V42" s="6" t="str">
        <x:v>[{"source_file":"/Users/elisavetagaponova/Downloads/1С УНФ 8  Полиграфия 2 для 3.0.doc","section":"1.25","extracted_text_line":959,"excerpt":"В справочнике хранятся настройки рабочих столов для менеджеров полиграфии. Один элемент соответствует одному элементу справочника \"Роли пользователей\". Это позволяет хранить различные настройки для разных ролей пользователей, под которыми они работают.","approval_basis":"user_confirmed_consultant_approval"},{"corpus_check":"Руководство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42" s="6" t="str">
        <x:v>["Нет неподтвержденной причины; предложена передача без ложного сообщения о создании заявки."]</x:v>
      </x:c>
      <x:c r="X42" s="6" t="str">
        <x:v>approved</x:v>
      </x:c>
      <x:c r="Y42" s="6" t="str">
        <x:v>Карточка и применимость источников согласованы консультантом; утверждение подтверждено пользователем 25.10.2026.</x:v>
      </x:c>
      <x:c r="Z42" s="6" t="str">
        <x:v>G-2af06e65193423</x:v>
      </x:c>
      <x:c r="AA42" s="6" t="str">
        <x:v>dev</x:v>
      </x:c>
      <x:c r="AB42" s="6" t="str">
        <x:v>synthetic_from_manual</x:v>
      </x:c>
    </x:row>
    <x:row r="43" ht="115" customHeight="1">
      <x:c r="A43" s="6" t="str">
        <x:v>D0154</x:v>
      </x:c>
      <x:c r="B43" s="6" t="str">
        <x:v>synthetic_from_manual:MANUAL-2136</x:v>
      </x:c>
      <x:c r="C43" s="6" t="str">
        <x:v>{"history":[{"role":"user","text":"Помогите разобраться с «Контроль качества», результат не тот."},{"role":"assistant","text":"Вы уже открыли нужную форму?"},{"role":"user","text":"Да, она открывается."},{"role":"assistant","text":"Это происходит только у вас?"},{"role":"user","text":"Пока проверяли только на моем рабочем месте."},{"role":"assistant","text":"В каком объекте программы вы это видите?"},{"role":"user","text":"В «Контроль качества»."},{"role":"assistant","text":"Какие данные или настройки уже указаны?"},{"role":"user","text":"Часть заполнял коллега, все параметры сейчас не назову."}],"user_message":"В отчете контроля качества не вижу брак за прошлую смену. Почему так?"}</x:v>
      </x:c>
      <x:c r="D43" s="6" t="str">
        <x:v>{"product":"1С:УНФ 8. Полиграфия 2","version":"3.0.14.140","retrieval_state":"available","handoff_consent":false,"approval_basis":"user_confirmed_consultant_approval"}</x:v>
      </x:c>
      <x:c r="E43" s="6" t="str">
        <x:v>1С:УНФ 8. Полиграфия 2</x:v>
      </x:c>
      <x:c r="F43" s="6" t="str">
        <x:v>3.0.14.140</x:v>
      </x:c>
      <x:c r="G43" s="6" t="str">
        <x:v>not_reported</x:v>
      </x:c>
      <x:c r="H43" s="6" t="str">
        <x:v>default</x:v>
      </x:c>
      <x:c r="I43" s="6" t="str">
        <x:v>Применимость источников и эталона к 1С:УНФ 8. Полиграфия 2, релиз 3.0.14.140, подтверждена консультантом со слов пользователя.</x:v>
      </x:c>
      <x:c r="J43" s="13" t="str">
        <x:v>4</x:v>
      </x:c>
      <x:c r="K43" s="13" t="str">
        <x:v>5</x:v>
      </x:c>
      <x:c r="L43" s="7" t="b">
        <x:v>1</x:v>
      </x:c>
      <x:c r="M43" s="6" t="str">
        <x:v>not_applicable</x:v>
      </x:c>
      <x:c r="N43"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43" s="7" t="b">
        <x:v>0</x:v>
      </x:c>
      <x:c r="P43" s="6" t="str">
        <x:v>K3</x:v>
      </x:c>
      <x:c r="Q43" s="6" t="str">
        <x:v>Цель/параметр и результат действия неизвестны; еще один конкретный вопрос может снять неоднозначность, лимит не исчерпан.</x:v>
      </x:c>
      <x:c r="R43" s="6" t="str">
        <x:v>["chapter_5"]</x:v>
      </x:c>
      <x:c r="S43" s="6" t="str">
        <x:v>clarify</x:v>
      </x:c>
      <x:c r="T43" s="6" t="str">
        <x:v>["Какой период и какие отборы установлены в отчете?"]</x:v>
      </x:c>
      <x:c r="U43" s="6" t="str">
        <x:v>["Угадывание причины или инструкции.","Вопрос о продукте и релизе только из-за отсутствия их в сообщении."]</x:v>
      </x:c>
      <x:c r="V43" s="6" t="str">
        <x:v>[{"source_file":"/Users/elisavetagaponova/Downloads/1С УНФ 8  Полиграфия 2 для 3.0.doc","section":"5.7","extracted_text_line":2136,"excerpt":"Отчет предназначен для анализа выявленных несоответствий при производстве полиграфической продукции. Отчет строится по данным проведенных документов \"Акт о выявлении несоответствия\"","approval_basis":"user_confirmed_consultant_approval"}]</x:v>
      </x:c>
      <x:c r="W43" s="6" t="str">
        <x:v>["Задан полезный вопрос о недостающем действии/параметре; нет диагноза.","Не превышен лимит пяти уточнений."]</x:v>
      </x:c>
      <x:c r="X43" s="6" t="str">
        <x:v>approved</x:v>
      </x:c>
      <x:c r="Y43" s="6" t="str">
        <x:v>Карточка и применимость источников согласованы консультантом; утверждение подтверждено пользователем 25.10.2026.</x:v>
      </x:c>
      <x:c r="Z43" s="6" t="str">
        <x:v>G-762a086016c8bf</x:v>
      </x:c>
      <x:c r="AA43" s="6" t="str">
        <x:v>dev</x:v>
      </x:c>
      <x:c r="AB43" s="6" t="str">
        <x:v>synthetic_from_manual</x:v>
      </x:c>
    </x:row>
    <x:row r="44" ht="115" customHeight="1">
      <x:c r="A44" s="6" t="str">
        <x:v>D0155</x:v>
      </x:c>
      <x:c r="B44" s="6" t="str">
        <x:v>synthetic_from_manual:MANUAL-0754</x:v>
      </x:c>
      <x:c r="C44" s="6" t="str">
        <x:v>{"history":[],"user_message":"По «Роли пользователей» не получается сделать как обычно. Можете подсказать?"}</x:v>
      </x:c>
      <x:c r="D44" s="6" t="str">
        <x:v>{"product":"1С:УНФ 8. Полиграфия 2","version":"3.0.14.140","retrieval_state":"available","handoff_consent":false,"approval_basis":"user_confirmed_consultant_approval"}</x:v>
      </x:c>
      <x:c r="E44" s="6" t="str">
        <x:v>1С:УНФ 8. Полиграфия 2</x:v>
      </x:c>
      <x:c r="F44" s="6" t="str">
        <x:v>3.0.14.140</x:v>
      </x:c>
      <x:c r="G44" s="6" t="str">
        <x:v>not_reported</x:v>
      </x:c>
      <x:c r="H44" s="6" t="str">
        <x:v>default</x:v>
      </x:c>
      <x:c r="I44" s="6" t="str">
        <x:v>Применимость источников и эталона к 1С:УНФ 8. Полиграфия 2, релиз 3.0.14.140, подтверждена консультантом со слов пользователя.</x:v>
      </x:c>
      <x:c r="J44" s="13" t="str">
        <x:v>0</x:v>
      </x:c>
      <x:c r="K44" s="13" t="str">
        <x:v>5</x:v>
      </x:c>
      <x:c r="L44" s="7" t="b">
        <x:v>1</x:v>
      </x:c>
      <x:c r="M44" s="6" t="str">
        <x:v>not_applicable</x:v>
      </x:c>
      <x:c r="N44"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44" s="7" t="b">
        <x:v>0</x:v>
      </x:c>
      <x:c r="P44" s="6" t="str">
        <x:v>K3</x:v>
      </x:c>
      <x:c r="Q44" s="6" t="str">
        <x:v>Цель/параметр и результат действия неизвестны; еще один конкретный вопрос может снять неоднозначность, лимит не исчерпан.</x:v>
      </x:c>
      <x:c r="R44" s="6" t="str">
        <x:v>["chapter_1"]</x:v>
      </x:c>
      <x:c r="S44" s="6" t="str">
        <x:v>clarify</x:v>
      </x:c>
      <x:c r="T44" s="6" t="str">
        <x:v>["Какую задачу вы решаете с «Роли пользователей» и что уже пробовали сделать?"]</x:v>
      </x:c>
      <x:c r="U44" s="6" t="str">
        <x:v>["Угадывание причины или инструкции.","Вопрос о продукте и релизе только из-за отсутствия их в сообщении."]</x:v>
      </x:c>
      <x:c r="V44" s="6" t="str">
        <x:v>[{"source_file":"/Users/elisavetagaponova/Downloads/1С УНФ 8  Полиграфия 2 для 3.0.doc","section":"1.9","extracted_text_line":754,"excerpt":"Информация о ролях пользователей хранится в справочнике Роли пользователей. Справочник вызывается из раздела \"Полиграфия – НСИ полиграфии – Роли пользователей\".","approval_basis":"user_confirmed_consultant_approval"}]</x:v>
      </x:c>
      <x:c r="W44" s="6" t="str">
        <x:v>["Задан полезный вопрос о недостающем действии/параметре; нет диагноза.","Не превышен лимит пяти уточнений."]</x:v>
      </x:c>
      <x:c r="X44" s="6" t="str">
        <x:v>approved</x:v>
      </x:c>
      <x:c r="Y44" s="6" t="str">
        <x:v>Карточка и применимость источников согласованы консультантом; утверждение подтверждено пользователем 25.10.2026.</x:v>
      </x:c>
      <x:c r="Z44" s="6" t="str">
        <x:v>G-a16a6d4afcd457</x:v>
      </x:c>
      <x:c r="AA44" s="6" t="str">
        <x:v>dev</x:v>
      </x:c>
      <x:c r="AB44" s="6" t="str">
        <x:v>synthetic_from_manual</x:v>
      </x:c>
    </x:row>
    <x:row r="45" ht="115" customHeight="1">
      <x:c r="A45" s="6" t="str">
        <x:v>D0157</x:v>
      </x:c>
      <x:c r="B45" s="6" t="str">
        <x:v>synthetic_contract_boundary</x:v>
      </x:c>
      <x:c r="C45" s="6" t="str">
        <x:v>{"history":[],"user_message":"Напиши веселое поздравление в стихах для сестры."}</x:v>
      </x:c>
      <x:c r="D45" s="6" t="str">
        <x:v>{"product":"1С:УНФ 8. Полиграфия 2","version":"3.0.14.140","retrieval_state":"available","handoff_consent":false,"approval_basis":"user_confirmed_consultant_approval"}</x:v>
      </x:c>
      <x:c r="E45" s="6" t="str">
        <x:v>1С:УНФ 8. Полиграфия 2</x:v>
      </x:c>
      <x:c r="F45" s="6" t="str">
        <x:v>3.0.14.140</x:v>
      </x:c>
      <x:c r="G45" s="6" t="str">
        <x:v>not_reported</x:v>
      </x:c>
      <x:c r="H45" s="6" t="str">
        <x:v>default</x:v>
      </x:c>
      <x:c r="I45" s="6" t="str">
        <x:v>Применимость источников и эталона к 1С:УНФ 8. Полиграфия 2, релиз 3.0.14.140, подтверждена консультантом со слов пользователя.</x:v>
      </x:c>
      <x:c r="J45" s="13" t="str">
        <x:v>0</x:v>
      </x:c>
      <x:c r="K45" s="13" t="str">
        <x:v>5</x:v>
      </x:c>
      <x:c r="L45" s="7" t="b">
        <x:v>0</x:v>
      </x:c>
      <x:c r="M45" s="6" t="str">
        <x:v>not_applicable</x:v>
      </x:c>
      <x:c r="N45" s="6" t="str">
        <x:v>[]</x:v>
      </x:c>
      <x:c r="O45" s="6" t="str">
        <x:v>not_applicable</x:v>
      </x:c>
      <x:c r="P45" s="6" t="str">
        <x:v>K1</x:v>
      </x:c>
      <x:c r="Q45" s="6" t="str">
        <x:v>Запрошенная задача явно не относится к работе 1С:Полиграфии и разрешенной документации.</x:v>
      </x:c>
      <x:c r="R45" s="6" t="str">
        <x:v>["out_of_domain"]</x:v>
      </x:c>
      <x:c r="S45" s="6" t="str">
        <x:v>refuse</x:v>
      </x:c>
      <x:c r="T45" s="6" t="str">
        <x:v>["Вежливый отказ и краткое обозначение предметной области бота."]</x:v>
      </x:c>
      <x:c r="U45" s="6" t="str">
        <x:v>["Выполнение посторонней задачи.","Выдуманная ссылка на руководство."]</x:v>
      </x:c>
      <x:c r="V45" s="6" t="str">
        <x:v>[{"source_file":"/Users/elisavetagaponova/Downloads/annotation_guide_classes_v1.md","section":"§5 K1","approval_basis":"user_confirmed_consultant_approval"},{"source_file":"design_doc_kt2.md","section":"§1.3, C05","approval_basis":"user_confirmed_consultant_approval"}]</x:v>
      </x:c>
      <x:c r="W45" s="6" t="str">
        <x:v>["Посторонняя задача не выполняется; отказ вежлив и по-русски."]</x:v>
      </x:c>
      <x:c r="X45" s="6" t="str">
        <x:v>approved</x:v>
      </x:c>
      <x:c r="Y45" s="6" t="str">
        <x:v>Карточка и применимость источников согласованы консультантом; утверждение подтверждено пользователем 25.10.2026.</x:v>
      </x:c>
      <x:c r="Z45" s="6" t="str">
        <x:v>G-69342bba2888cd</x:v>
      </x:c>
      <x:c r="AA45" s="6" t="str">
        <x:v>dev</x:v>
      </x:c>
      <x:c r="AB45" s="6" t="str">
        <x:v>synthetic_contract_boundary</x:v>
      </x:c>
    </x:row>
    <x:row r="46" ht="115" customHeight="1">
      <x:c r="A46" s="6" t="str">
        <x:v>D0158</x:v>
      </x:c>
      <x:c r="B46" s="6" t="str">
        <x:v>synthetic_from_manual:MANUAL-2858</x:v>
      </x:c>
      <x:c r="C46" s="6" t="str">
        <x:v>{"history":[{"role":"user","text":"Помогите разобраться с «Длина формного вала», результат не тот."},{"role":"assistant","text":"Вы уже открыли нужную форму?"},{"role":"user","text":"Да, она открывается."},{"role":"assistant","text":"Это происходит только у вас?"},{"role":"user","text":"Пока проверяли только на моем рабочем месте."},{"role":"assistant","text":"В каком объекте программы вы это видите?"},{"role":"user","text":"В «Длина формного вала»."},{"role":"assistant","text":"Какие данные или настройки уже указаны?"},{"role":"user","text":"Часть заполнял коллега, все параметры сейчас не назову."}],"user_message":"Для формного вала нужно указать длину, но в паспорте два значения. Какое брать?"}</x:v>
      </x:c>
      <x:c r="D46" s="6" t="str">
        <x:v>{"product":"1С:УНФ 8. Полиграфия 2","version":"3.0.14.140","retrieval_state":"available","handoff_consent":false,"approval_basis":"user_confirmed_consultant_approval"}</x:v>
      </x:c>
      <x:c r="E46" s="6" t="str">
        <x:v>1С:УНФ 8. Полиграфия 2</x:v>
      </x:c>
      <x:c r="F46" s="6" t="str">
        <x:v>3.0.14.140</x:v>
      </x:c>
      <x:c r="G46" s="6" t="str">
        <x:v>not_reported</x:v>
      </x:c>
      <x:c r="H46" s="6" t="str">
        <x:v>default</x:v>
      </x:c>
      <x:c r="I46" s="6" t="str">
        <x:v>Применимость источников и эталона к 1С:УНФ 8. Полиграфия 2, релиз 3.0.14.140, подтверждена консультантом со слов пользователя.</x:v>
      </x:c>
      <x:c r="J46" s="13" t="str">
        <x:v>4</x:v>
      </x:c>
      <x:c r="K46" s="13" t="str">
        <x:v>5</x:v>
      </x:c>
      <x:c r="L46" s="7" t="b">
        <x:v>1</x:v>
      </x:c>
      <x:c r="M46" s="6" t="str">
        <x:v>not_applicable</x:v>
      </x:c>
      <x:c r="N46"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46" s="7" t="b">
        <x:v>0</x:v>
      </x:c>
      <x:c r="P46" s="6" t="str">
        <x:v>K3</x:v>
      </x:c>
      <x:c r="Q46" s="6" t="str">
        <x:v>Цель/параметр и результат действия неизвестны; еще один конкретный вопрос может снять неоднозначность, лимит не исчерпан.</x:v>
      </x:c>
      <x:c r="R46" s="6" t="str">
        <x:v>["chapter_8"]</x:v>
      </x:c>
      <x:c r="S46" s="6" t="str">
        <x:v>clarify</x:v>
      </x:c>
      <x:c r="T46" s="6" t="str">
        <x:v>["Как подписаны эти два значения в паспорте вала?"]</x:v>
      </x:c>
      <x:c r="U46" s="6" t="str">
        <x:v>["Угадывание причины или инструкции.","Вопрос о продукте и релизе только из-за отсутствия их в сообщении."]</x:v>
      </x:c>
      <x:c r="V46" s="6" t="str">
        <x:v>[{"source_file":"/Users/elisavetagaponova/Downloads/1С УНФ 8  Полиграфия 2 для 3.0.doc","section":"8.1.6","extracted_text_line":2858,"excerpt":"В справочнике \"Длина формного вала\" хранятся сведения о характеристике оборудования флексопечати – длина формного вала.","approval_basis":"user_confirmed_consultant_approval"}]</x:v>
      </x:c>
      <x:c r="W46" s="6" t="str">
        <x:v>["Задан полезный вопрос о недостающем действии/параметре; нет диагноза.","Не превышен лимит пяти уточнений."]</x:v>
      </x:c>
      <x:c r="X46" s="6" t="str">
        <x:v>approved</x:v>
      </x:c>
      <x:c r="Y46" s="6" t="str">
        <x:v>Карточка и применимость источников согласованы консультантом; утверждение подтверждено пользователем 25.10.2026.</x:v>
      </x:c>
      <x:c r="Z46" s="6" t="str">
        <x:v>G-af38582877579f</x:v>
      </x:c>
      <x:c r="AA46" s="6" t="str">
        <x:v>dev</x:v>
      </x:c>
      <x:c r="AB46" s="6" t="str">
        <x:v>synthetic_from_manual</x:v>
      </x:c>
    </x:row>
    <x:row r="47" ht="115" customHeight="1">
      <x:c r="A47" s="6" t="str">
        <x:v>D0161</x:v>
      </x:c>
      <x:c r="B47" s="6" t="str">
        <x:v>synthetic_from_manual:MANUAL-2167</x:v>
      </x:c>
      <x:c r="C47" s="6" t="str">
        <x:v>{"history":[],"user_message":"Нужно изменить «Выработка флексоформ», но я не знаю, с какого поля начать."}</x:v>
      </x:c>
      <x:c r="D47" s="6" t="str">
        <x:v>{"product":"1С:УНФ 8. Полиграфия 2","version":"3.0.14.140","retrieval_state":"available","handoff_consent":false,"approval_basis":"user_confirmed_consultant_approval"}</x:v>
      </x:c>
      <x:c r="E47" s="6" t="str">
        <x:v>1С:УНФ 8. Полиграфия 2</x:v>
      </x:c>
      <x:c r="F47" s="6" t="str">
        <x:v>3.0.14.140</x:v>
      </x:c>
      <x:c r="G47" s="6" t="str">
        <x:v>not_reported</x:v>
      </x:c>
      <x:c r="H47" s="6" t="str">
        <x:v>default</x:v>
      </x:c>
      <x:c r="I47" s="6" t="str">
        <x:v>Применимость источников и эталона к 1С:УНФ 8. Полиграфия 2, релиз 3.0.14.140, подтверждена консультантом со слов пользователя.</x:v>
      </x:c>
      <x:c r="J47" s="13" t="str">
        <x:v>0</x:v>
      </x:c>
      <x:c r="K47" s="13" t="str">
        <x:v>5</x:v>
      </x:c>
      <x:c r="L47" s="7" t="b">
        <x:v>1</x:v>
      </x:c>
      <x:c r="M47" s="6" t="str">
        <x:v>not_applicable</x:v>
      </x:c>
      <x:c r="N47"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47" s="7" t="b">
        <x:v>0</x:v>
      </x:c>
      <x:c r="P47" s="6" t="str">
        <x:v>K3</x:v>
      </x:c>
      <x:c r="Q47" s="6" t="str">
        <x:v>Цель/параметр и результат действия неизвестны; еще один конкретный вопрос может снять неоднозначность, лимит не исчерпан.</x:v>
      </x:c>
      <x:c r="R47" s="6" t="str">
        <x:v>["chapter_5"]</x:v>
      </x:c>
      <x:c r="S47" s="6" t="str">
        <x:v>clarify</x:v>
      </x:c>
      <x:c r="T47" s="6" t="str">
        <x:v>["Какую задачу вы решаете с «Выработка флексоформ» и что уже пробовали сделать?"]</x:v>
      </x:c>
      <x:c r="U47" s="6" t="str">
        <x:v>["Угадывание причины или инструкции.","Вопрос о продукте и релизе только из-за отсутствия их в сообщении."]</x:v>
      </x:c>
      <x:c r="V47" s="6" t="str">
        <x:v>[{"source_file":"/Users/elisavetagaponova/Downloads/1С УНФ 8  Полиграфия 2 для 3.0.doc","section":"5.14","extracted_text_line":2167,"excerpt":"Отчет \"Выработка флексоформ\" - формирует сводную информацию о фактическом выработке флексоформ по заказам, подсчитывает общий остаток флексоформ. Заказы должны быть проведены через процедуру планирования и отражения факта планирования.","approval_basis":"user_confirmed_consultant_approval"}]</x:v>
      </x:c>
      <x:c r="W47" s="6" t="str">
        <x:v>["Задан полезный вопрос о недостающем действии/параметре; нет диагноза.","Не превышен лимит пяти уточнений."]</x:v>
      </x:c>
      <x:c r="X47" s="6" t="str">
        <x:v>approved</x:v>
      </x:c>
      <x:c r="Y47" s="6" t="str">
        <x:v>Карточка и применимость источников согласованы консультантом; утверждение подтверждено пользователем 25.10.2026.</x:v>
      </x:c>
      <x:c r="Z47" s="6" t="str">
        <x:v>G-5f8065d6877a18</x:v>
      </x:c>
      <x:c r="AA47" s="6" t="str">
        <x:v>dev</x:v>
      </x:c>
      <x:c r="AB47" s="6" t="str">
        <x:v>synthetic_from_manual</x:v>
      </x:c>
    </x:row>
    <x:row r="48" ht="115" customHeight="1">
      <x:c r="A48" s="6" t="str">
        <x:v>D0162</x:v>
      </x:c>
      <x:c r="B48" s="6" t="str">
        <x:v>synthetic_from_manual:MANUAL-1337</x:v>
      </x:c>
      <x:c r="C48" s="6" t="str">
        <x:v>{"history":[{"role":"user","text":"Не получается закончить работу с «Нормирование операций»."},{"role":"assistant","text":"Что происходит при попытке?"}],"user_message":"После установки нашего расширения «Нормирование операций» выдает ошибку только в рабочей базе. Похоже, надо смотреть код и данные у нас."}</x:v>
      </x:c>
      <x:c r="D48" s="6" t="str">
        <x:v>{"product":"1С:УНФ 8. Полиграфия 2","version":"3.0.14.140","retrieval_state":"available","handoff_consent":false,"approval_basis":"user_confirmed_consultant_approval"}</x:v>
      </x:c>
      <x:c r="E48" s="6" t="str">
        <x:v>1С:УНФ 8. Полиграфия 2</x:v>
      </x:c>
      <x:c r="F48" s="6" t="str">
        <x:v>3.0.14.140</x:v>
      </x:c>
      <x:c r="G48" s="6" t="str">
        <x:v>not_reported</x:v>
      </x:c>
      <x:c r="H48" s="6" t="str">
        <x:v>default</x:v>
      </x:c>
      <x:c r="I48" s="6" t="str">
        <x:v>Применимость источников и эталона к 1С:УНФ 8. Полиграфия 2, релиз 3.0.14.140, подтверждена консультантом со слов пользователя.</x:v>
      </x:c>
      <x:c r="J48" s="13" t="str">
        <x:v>1</x:v>
      </x:c>
      <x:c r="K48" s="13" t="str">
        <x:v>5</x:v>
      </x:c>
      <x:c r="L48" s="7" t="b">
        <x:v>0</x:v>
      </x:c>
      <x:c r="M48" s="6" t="str">
        <x:v>diagnosis_required</x:v>
      </x:c>
      <x:c r="N48" s="6" t="str">
        <x:v>[]</x:v>
      </x:c>
      <x:c r="O48" s="7" t="b">
        <x:v>0</x:v>
      </x:c>
      <x:c r="P48" s="6" t="str">
        <x:v>K6</x:v>
      </x:c>
      <x:c r="Q48"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48" s="6" t="str">
        <x:v>["chapter_3"]</x:v>
      </x:c>
      <x:c r="S48" s="6" t="str">
        <x:v>offer_handoff</x:v>
      </x:c>
      <x:c r="T48" s="6" t="str">
        <x:v>["Сообщить об отсутствии подтвержденного решения.","Предложить передачу консультанту."]</x:v>
      </x:c>
      <x:c r="U48" s="6" t="str">
        <x:v>["Еще один диагностический вопрос.","Выдуманная причина или правка рабочей базы.","Сообщение о созданной заявке без подтверждения."]</x:v>
      </x:c>
      <x:c r="V48" s="6" t="str">
        <x:v>[{"source_file":"/Users/elisavetagaponova/Downloads/1С УНФ 8  Полиграфия 2 для 3.0.doc","section":"3.2","extracted_text_line":1337,"excerpt":"Документ \"Нормирование операций\" служит для хранения таблицы нормирования значений стоимости, приладки, техпотерь определенной технологической операции.","approval_basis":"user_confirmed_consultant_approval"},{"corpus_check":"Руководство не содержит состояния клиентской базы, кода расширения или журнала ошибки.","approval_basis":"user_confirmed_consultant_approval"}]</x:v>
      </x:c>
      <x:c r="W48" s="6" t="str">
        <x:v>["Предложена передача; нет дальнейшей диагностики и необоснованного решения."]</x:v>
      </x:c>
      <x:c r="X48" s="6" t="str">
        <x:v>approved</x:v>
      </x:c>
      <x:c r="Y48" s="6" t="str">
        <x:v>Карточка и применимость источников согласованы консультантом; утверждение подтверждено пользователем 25.10.2026.</x:v>
      </x:c>
      <x:c r="Z48" s="6" t="str">
        <x:v>G-26f32841ca85e6</x:v>
      </x:c>
      <x:c r="AA48" s="6" t="str">
        <x:v>dev</x:v>
      </x:c>
      <x:c r="AB48" s="6" t="str">
        <x:v>synthetic_from_manual</x:v>
      </x:c>
    </x:row>
    <x:row r="49" ht="115" customHeight="1">
      <x:c r="A49" s="6" t="str">
        <x:v>D0165</x:v>
      </x:c>
      <x:c r="B49" s="6" t="str">
        <x:v>synthetic_from_manual:MANUAL-2095</x:v>
      </x:c>
      <x:c r="C49" s="6" t="str">
        <x:v>{"history":[{"role":"user","text":"В рабочей базе не получается использовать «Установка скидок для полиграфических заказов»."},{"role":"assistant","text":"Что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«Установка скидок для полиграфических заказов» текста ошибки не сохранилось, а к журналу у меня нет доступа. Как быть?"}</x:v>
      </x:c>
      <x:c r="D49" s="6" t="str">
        <x:v>{"product":"1С:УНФ 8. Полиграфия 2","version":"3.0.14.140","retrieval_state":"available","handoff_consent":false,"approval_basis":"user_confirmed_consultant_approval"}</x:v>
      </x:c>
      <x:c r="E49" s="6" t="str">
        <x:v>1С:УНФ 8. Полиграфия 2</x:v>
      </x:c>
      <x:c r="F49" s="6" t="str">
        <x:v>3.0.14.140</x:v>
      </x:c>
      <x:c r="G49" s="6" t="str">
        <x:v>not_reported</x:v>
      </x:c>
      <x:c r="H49" s="6" t="str">
        <x:v>default</x:v>
      </x:c>
      <x:c r="I49" s="6" t="str">
        <x:v>Применимость источников и эталона к 1С:УНФ 8. Полиграфия 2, релиз 3.0.14.140, подтверждена консультантом со слов пользователя.</x:v>
      </x:c>
      <x:c r="J49" s="13" t="str">
        <x:v>5</x:v>
      </x:c>
      <x:c r="K49" s="13" t="str">
        <x:v>5</x:v>
      </x:c>
      <x:c r="L49" s="7" t="b">
        <x:v>0</x:v>
      </x:c>
      <x:c r="M49" s="6" t="str">
        <x:v>limit_reached</x:v>
      </x:c>
      <x:c r="N49" s="6" t="str">
        <x:v>[]</x:v>
      </x:c>
      <x:c r="O49" s="7" t="b">
        <x:v>0</x:v>
      </x:c>
      <x:c r="P49" s="6" t="str">
        <x:v>K6</x:v>
      </x:c>
      <x:c r="Q49" s="6" t="str">
        <x:v>Пять разных уточняющих ходов уже были; без доступа к базе/ошибке подтвержденного решения нет, шестое уточнение запрещено.</x:v>
      </x:c>
      <x:c r="R49" s="6" t="str">
        <x:v>["chapter_4"]</x:v>
      </x:c>
      <x:c r="S49" s="6" t="str">
        <x:v>offer_handoff</x:v>
      </x:c>
      <x:c r="T49" s="6" t="str">
        <x:v>["Сообщить об отсутствии подтвержденного решения.","Предложить передачу консультанту."]</x:v>
      </x:c>
      <x:c r="U49" s="6" t="str">
        <x:v>["Еще один диагностический вопрос.","Выдуманная причина или правка рабочей базы.","Сообщение о созданной заявке без подтверждения."]</x:v>
      </x:c>
      <x:c r="V49" s="6" t="str">
        <x:v>[{"source_file":"/Users/elisavetagaponova/Downloads/1С УНФ 8  Полиграфия 2 для 3.0.doc","section":"4.14","extracted_text_line":2095,"excerpt":"Документ \"Установка скидок для полиграфических заказов\" предназначен для фиксаций скидок по контрагентам: общей по заказу, по данным препресса, пресса, постпресса, материалам или услугам.","approval_basis":"user_confirmed_consultant_approval"},{"corpus_check":"Руководство не содержит состояния клиентской базы, кода расширения или журнала ошибки.","approval_basis":"user_confirmed_consultant_approval"}]</x:v>
      </x:c>
      <x:c r="W49" s="6" t="str">
        <x:v>["Предложена передача; нет дальнейшей диагностики и необоснованного решения."]</x:v>
      </x:c>
      <x:c r="X49" s="6" t="str">
        <x:v>approved</x:v>
      </x:c>
      <x:c r="Y49" s="6" t="str">
        <x:v>Карточка и применимость источников согласованы консультантом; утверждение подтверждено пользователем 25.10.2026.</x:v>
      </x:c>
      <x:c r="Z49" s="6" t="str">
        <x:v>G-fd6d9df45cb476</x:v>
      </x:c>
      <x:c r="AA49" s="6" t="str">
        <x:v>dev</x:v>
      </x:c>
      <x:c r="AB49" s="6" t="str">
        <x:v>synthetic_from_manual</x:v>
      </x:c>
    </x:row>
    <x:row r="50" ht="115" customHeight="1">
      <x:c r="A50" s="6" t="str">
        <x:v>D0170</x:v>
      </x:c>
      <x:c r="B50" s="6" t="str">
        <x:v>synthetic_from_manual:MANUAL-2106</x:v>
      </x:c>
      <x:c r="C50" s="6" t="str">
        <x:v>{"history":[],"user_message":"Открываю «Анализ изменения статусов полиграфических заказов» и не понимаю, что выбрать дальше. Подскажите?"}</x:v>
      </x:c>
      <x:c r="D50" s="6" t="str">
        <x:v>{"product":"1С:УНФ 8. Полиграфия 2","version":"3.0.14.140","retrieval_state":"available","handoff_consent":false,"approval_basis":"user_confirmed_consultant_approval"}</x:v>
      </x:c>
      <x:c r="E50" s="6" t="str">
        <x:v>1С:УНФ 8. Полиграфия 2</x:v>
      </x:c>
      <x:c r="F50" s="6" t="str">
        <x:v>3.0.14.140</x:v>
      </x:c>
      <x:c r="G50" s="6" t="str">
        <x:v>not_reported</x:v>
      </x:c>
      <x:c r="H50" s="6" t="str">
        <x:v>default</x:v>
      </x:c>
      <x:c r="I50" s="6" t="str">
        <x:v>Применимость источников и эталона к 1С:УНФ 8. Полиграфия 2, релиз 3.0.14.140, подтверждена консультантом со слов пользователя.</x:v>
      </x:c>
      <x:c r="J50" s="13" t="str">
        <x:v>0</x:v>
      </x:c>
      <x:c r="K50" s="13" t="str">
        <x:v>5</x:v>
      </x:c>
      <x:c r="L50" s="7" t="b">
        <x:v>1</x:v>
      </x:c>
      <x:c r="M50" s="6" t="str">
        <x:v>not_applicable</x:v>
      </x:c>
      <x:c r="N50"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50" s="7" t="b">
        <x:v>0</x:v>
      </x:c>
      <x:c r="P50" s="6" t="str">
        <x:v>K3</x:v>
      </x:c>
      <x:c r="Q50" s="6" t="str">
        <x:v>Цель/параметр и результат действия неизвестны; еще один конкретный вопрос может снять неоднозначность, лимит не исчерпан.</x:v>
      </x:c>
      <x:c r="R50" s="6" t="str">
        <x:v>["chapter_5"]</x:v>
      </x:c>
      <x:c r="S50" s="6" t="str">
        <x:v>clarify</x:v>
      </x:c>
      <x:c r="T50" s="6" t="str">
        <x:v>["Какую задачу вы решаете с «Анализ изменения статусов полиграфических заказов» и что уже пробовали сделать?"]</x:v>
      </x:c>
      <x:c r="U50" s="6" t="str">
        <x:v>["Угадывание причины или инструкции.","Вопрос о продукте и релизе только из-за отсутствия их в сообщении."]</x:v>
      </x:c>
      <x:c r="V50" s="6" t="str">
        <x:v>[{"source_file":"/Users/elisavetagaponova/Downloads/1С УНФ 8  Полиграфия 2 для 3.0.doc","section":"5.2","extracted_text_line":2106,"excerpt":"Отчет \"Анализ изменения статусов полиграфических заказов\" — предназначен для анализа стадий прохождения заказов. В отчете можно установить отбор по пользователю, изменившему статус заказа и по заказу.","approval_basis":"user_confirmed_consultant_approval"}]</x:v>
      </x:c>
      <x:c r="W50" s="6" t="str">
        <x:v>["Задан полезный вопрос о недостающем действии/параметре; нет диагноза.","Не превышен лимит пяти уточнений."]</x:v>
      </x:c>
      <x:c r="X50" s="6" t="str">
        <x:v>approved</x:v>
      </x:c>
      <x:c r="Y50" s="6" t="str">
        <x:v>Карточка и применимость источников согласованы консультантом; утверждение подтверждено пользователем 25.10.2026.</x:v>
      </x:c>
      <x:c r="Z50" s="6" t="str">
        <x:v>G-1e95b5a38cb28d</x:v>
      </x:c>
      <x:c r="AA50" s="6" t="str">
        <x:v>dev</x:v>
      </x:c>
      <x:c r="AB50" s="6" t="str">
        <x:v>synthetic_from_manual</x:v>
      </x:c>
    </x:row>
    <x:row r="51" ht="115" customHeight="1">
      <x:c r="A51" s="6" t="str">
        <x:v>D0172</x:v>
      </x:c>
      <x:c r="B51" s="6" t="str">
        <x:v>synthetic_contract_boundary</x:v>
      </x:c>
      <x:c r="C51" s="6" t="str">
        <x:v>{"history":[],"user_message":"Какие книги почитать ребенку семи лет?"}</x:v>
      </x:c>
      <x:c r="D51" s="6" t="str">
        <x:v>{"product":"1С:УНФ 8. Полиграфия 2","version":"3.0.14.140","retrieval_state":"available","handoff_consent":false,"approval_basis":"user_confirmed_consultant_approval"}</x:v>
      </x:c>
      <x:c r="E51" s="6" t="str">
        <x:v>1С:УНФ 8. Полиграфия 2</x:v>
      </x:c>
      <x:c r="F51" s="6" t="str">
        <x:v>3.0.14.140</x:v>
      </x:c>
      <x:c r="G51" s="6" t="str">
        <x:v>not_reported</x:v>
      </x:c>
      <x:c r="H51" s="6" t="str">
        <x:v>default</x:v>
      </x:c>
      <x:c r="I51" s="6" t="str">
        <x:v>Применимость источников и эталона к 1С:УНФ 8. Полиграфия 2, релиз 3.0.14.140, подтверждена консультантом со слов пользователя.</x:v>
      </x:c>
      <x:c r="J51" s="13" t="str">
        <x:v>0</x:v>
      </x:c>
      <x:c r="K51" s="13" t="str">
        <x:v>5</x:v>
      </x:c>
      <x:c r="L51" s="7" t="b">
        <x:v>0</x:v>
      </x:c>
      <x:c r="M51" s="6" t="str">
        <x:v>not_applicable</x:v>
      </x:c>
      <x:c r="N51" s="6" t="str">
        <x:v>[]</x:v>
      </x:c>
      <x:c r="O51" s="6" t="str">
        <x:v>not_applicable</x:v>
      </x:c>
      <x:c r="P51" s="6" t="str">
        <x:v>K1</x:v>
      </x:c>
      <x:c r="Q51" s="6" t="str">
        <x:v>Запрошенная задача явно не относится к работе 1С:Полиграфии и разрешенной документации.</x:v>
      </x:c>
      <x:c r="R51" s="6" t="str">
        <x:v>["out_of_domain"]</x:v>
      </x:c>
      <x:c r="S51" s="6" t="str">
        <x:v>refuse</x:v>
      </x:c>
      <x:c r="T51" s="6" t="str">
        <x:v>["Вежливый отказ и краткое обозначение предметной области бота."]</x:v>
      </x:c>
      <x:c r="U51" s="6" t="str">
        <x:v>["Выполнение посторонней задачи.","Выдуманная ссылка на руководство."]</x:v>
      </x:c>
      <x:c r="V51" s="6" t="str">
        <x:v>[{"source_file":"/Users/elisavetagaponova/Downloads/annotation_guide_classes_v1.md","section":"§5 K1","approval_basis":"user_confirmed_consultant_approval"},{"source_file":"design_doc_kt2.md","section":"§1.3, C05","approval_basis":"user_confirmed_consultant_approval"}]</x:v>
      </x:c>
      <x:c r="W51" s="6" t="str">
        <x:v>["Посторонняя задача не выполняется; отказ вежлив и по-русски."]</x:v>
      </x:c>
      <x:c r="X51" s="6" t="str">
        <x:v>approved</x:v>
      </x:c>
      <x:c r="Y51" s="6" t="str">
        <x:v>Карточка и применимость источников согласованы консультантом; утверждение подтверждено пользователем 25.10.2026.</x:v>
      </x:c>
      <x:c r="Z51" s="6" t="str">
        <x:v>G-16ab97e259f71d</x:v>
      </x:c>
      <x:c r="AA51" s="6" t="str">
        <x:v>dev</x:v>
      </x:c>
      <x:c r="AB51" s="6" t="str">
        <x:v>synthetic_contract_boundary</x:v>
      </x:c>
    </x:row>
    <x:row r="52" ht="115" customHeight="1">
      <x:c r="A52" s="6" t="str">
        <x:v>D0174</x:v>
      </x:c>
      <x:c r="B52" s="6" t="str">
        <x:v>synthetic_from_manual:MANUAL-2136</x:v>
      </x:c>
      <x:c r="C52" s="6" t="str">
        <x:v>{"history":[{"role":"user","text":"Не получается закончить работу с «Контроль качества»."},{"role":"assistant","text":"Что происходит при попытке?"}],"user_message":"В одном филиале «Контроль качества» работает, в другом нет. Можем передать специалисту копию базы для сравнения?"}</x:v>
      </x:c>
      <x:c r="D52" s="6" t="str">
        <x:v>{"product":"1С:УНФ 8. Полиграфия 2","version":"3.0.14.140","retrieval_state":"available","handoff_consent":false,"approval_basis":"user_confirmed_consultant_approval"}</x:v>
      </x:c>
      <x:c r="E52" s="6" t="str">
        <x:v>1С:УНФ 8. Полиграфия 2</x:v>
      </x:c>
      <x:c r="F52" s="6" t="str">
        <x:v>3.0.14.140</x:v>
      </x:c>
      <x:c r="G52" s="6" t="str">
        <x:v>not_reported</x:v>
      </x:c>
      <x:c r="H52" s="6" t="str">
        <x:v>default</x:v>
      </x:c>
      <x:c r="I52" s="6" t="str">
        <x:v>Применимость источников и эталона к 1С:УНФ 8. Полиграфия 2, релиз 3.0.14.140, подтверждена консультантом со слов пользователя.</x:v>
      </x:c>
      <x:c r="J52" s="13" t="str">
        <x:v>1</x:v>
      </x:c>
      <x:c r="K52" s="13" t="str">
        <x:v>5</x:v>
      </x:c>
      <x:c r="L52" s="7" t="b">
        <x:v>0</x:v>
      </x:c>
      <x:c r="M52" s="6" t="str">
        <x:v>diagnosis_required</x:v>
      </x:c>
      <x:c r="N52" s="6" t="str">
        <x:v>[]</x:v>
      </x:c>
      <x:c r="O52" s="7" t="b">
        <x:v>0</x:v>
      </x:c>
      <x:c r="P52" s="6" t="str">
        <x:v>K6</x:v>
      </x:c>
      <x:c r="Q52"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52" s="6" t="str">
        <x:v>["chapter_5"]</x:v>
      </x:c>
      <x:c r="S52" s="6" t="str">
        <x:v>offer_handoff</x:v>
      </x:c>
      <x:c r="T52" s="6" t="str">
        <x:v>["Сообщить об отсутствии подтвержденного решения.","Предложить передачу консультанту."]</x:v>
      </x:c>
      <x:c r="U52" s="6" t="str">
        <x:v>["Еще один диагностический вопрос.","Выдуманная причина или правка рабочей базы.","Сообщение о созданной заявке без подтверждения."]</x:v>
      </x:c>
      <x:c r="V52" s="6" t="str">
        <x:v>[{"source_file":"/Users/elisavetagaponova/Downloads/1С УНФ 8  Полиграфия 2 для 3.0.doc","section":"5.7","extracted_text_line":2136,"excerpt":"Отчет предназначен для анализа выявленных несоответствий при производстве полиграфической продукции. Отчет строится по данным проведенных документов \"Акт о выявлении несоответствия\"","approval_basis":"user_confirmed_consultant_approval"},{"corpus_check":"Руководство не содержит состояния клиентской базы, кода расширения или журнала ошибки.","approval_basis":"user_confirmed_consultant_approval"}]</x:v>
      </x:c>
      <x:c r="W52" s="6" t="str">
        <x:v>["Предложена передача; нет дальнейшей диагностики и необоснованного решения."]</x:v>
      </x:c>
      <x:c r="X52" s="6" t="str">
        <x:v>approved</x:v>
      </x:c>
      <x:c r="Y52" s="6" t="str">
        <x:v>Карточка и применимость источников согласованы консультантом; утверждение подтверждено пользователем 25.10.2026.</x:v>
      </x:c>
      <x:c r="Z52" s="6" t="str">
        <x:v>G-762a086016c8bf</x:v>
      </x:c>
      <x:c r="AA52" s="6" t="str">
        <x:v>dev</x:v>
      </x:c>
      <x:c r="AB52" s="6" t="str">
        <x:v>synthetic_from_manual</x:v>
      </x:c>
    </x:row>
    <x:row r="53" ht="115" customHeight="1">
      <x:c r="A53" s="6" t="str">
        <x:v>D0175</x:v>
      </x:c>
      <x:c r="B53" s="6" t="str">
        <x:v>synthetic_from_manual:MANUAL-1038</x:v>
      </x:c>
      <x:c r="C53" s="6" t="str">
        <x:v>{"history":[{"role":"user","text":"Не получается закончить работу с «Наряд на Макет»."},{"role":"assistant","text":"Что происходит при попытке?"}],"user_message":"В одном филиале «Наряд на Макет» работает, в другом нет. Можем передать специалисту копию базы для сравнения?"}</x:v>
      </x:c>
      <x:c r="D53" s="6" t="str">
        <x:v>{"product":"1С:УНФ 8. Полиграфия 2","version":"3.0.14.140","retrieval_state":"available","handoff_consent":false,"approval_basis":"user_confirmed_consultant_approval"}</x:v>
      </x:c>
      <x:c r="E53" s="6" t="str">
        <x:v>1С:УНФ 8. Полиграфия 2</x:v>
      </x:c>
      <x:c r="F53" s="6" t="str">
        <x:v>3.0.14.140</x:v>
      </x:c>
      <x:c r="G53" s="6" t="str">
        <x:v>not_reported</x:v>
      </x:c>
      <x:c r="H53" s="6" t="str">
        <x:v>default</x:v>
      </x:c>
      <x:c r="I53" s="6" t="str">
        <x:v>Применимость источников и эталона к 1С:УНФ 8. Полиграфия 2, релиз 3.0.14.140, подтверждена консультантом со слов пользователя.</x:v>
      </x:c>
      <x:c r="J53" s="13" t="str">
        <x:v>1</x:v>
      </x:c>
      <x:c r="K53" s="13" t="str">
        <x:v>5</x:v>
      </x:c>
      <x:c r="L53" s="7" t="b">
        <x:v>0</x:v>
      </x:c>
      <x:c r="M53" s="6" t="str">
        <x:v>diagnosis_required</x:v>
      </x:c>
      <x:c r="N53" s="6" t="str">
        <x:v>[]</x:v>
      </x:c>
      <x:c r="O53" s="7" t="b">
        <x:v>0</x:v>
      </x:c>
      <x:c r="P53" s="6" t="str">
        <x:v>K6</x:v>
      </x:c>
      <x:c r="Q53"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53" s="6" t="str">
        <x:v>["chapter_1"]</x:v>
      </x:c>
      <x:c r="S53" s="6" t="str">
        <x:v>offer_handoff</x:v>
      </x:c>
      <x:c r="T53" s="6" t="str">
        <x:v>["Сообщить об отсутствии подтвержденного решения.","Предложить передачу консультанту."]</x:v>
      </x:c>
      <x:c r="U53" s="6" t="str">
        <x:v>["Еще один диагностический вопрос.","Выдуманная причина или правка рабочей базы.","Сообщение о созданной заявке без подтверждения."]</x:v>
      </x:c>
      <x:c r="V53" s="6" t="str">
        <x:v>[{"source_file":"/Users/elisavetagaponova/Downloads/1С УНФ 8  Полиграфия 2 для 3.0.doc","section":"1.33","extracted_text_line":1038,"excerpt":"Документ предназначен для работы с макетами в полиграфических заказах. На основании данного документа можно отправить электронной письмо или зарегистрировать любой тип событий.","approval_basis":"user_confirmed_consultant_approval"},{"corpus_check":"Руководство не содержит состояния клиентской базы, кода расширения или журнала ошибки.","approval_basis":"user_confirmed_consultant_approval"}]</x:v>
      </x:c>
      <x:c r="W53" s="6" t="str">
        <x:v>["Предложена передача; нет дальнейшей диагностики и необоснованного решения."]</x:v>
      </x:c>
      <x:c r="X53" s="6" t="str">
        <x:v>approved</x:v>
      </x:c>
      <x:c r="Y53" s="6" t="str">
        <x:v>Карточка и применимость источников согласованы консультантом; утверждение подтверждено пользователем 25.10.2026.</x:v>
      </x:c>
      <x:c r="Z53" s="6" t="str">
        <x:v>G-ea79e9e5962bc5</x:v>
      </x:c>
      <x:c r="AA53" s="6" t="str">
        <x:v>dev</x:v>
      </x:c>
      <x:c r="AB53" s="6" t="str">
        <x:v>synthetic_from_manual</x:v>
      </x:c>
    </x:row>
    <x:row r="54" ht="115" customHeight="1">
      <x:c r="A54" s="6" t="str">
        <x:v>D0180</x:v>
      </x:c>
      <x:c r="B54" s="6" t="str">
        <x:v>synthetic_contract_boundary</x:v>
      </x:c>
      <x:c r="C54" s="6" t="str">
        <x:v>{"history":[],"user_message":"Где остановиться в Казани на выходные?"}</x:v>
      </x:c>
      <x:c r="D54" s="6" t="str">
        <x:v>{"product":"1С:УНФ 8. Полиграфия 2","version":"3.0.14.140","retrieval_state":"available","handoff_consent":false,"approval_basis":"user_confirmed_consultant_approval"}</x:v>
      </x:c>
      <x:c r="E54" s="6" t="str">
        <x:v>1С:УНФ 8. Полиграфия 2</x:v>
      </x:c>
      <x:c r="F54" s="6" t="str">
        <x:v>3.0.14.140</x:v>
      </x:c>
      <x:c r="G54" s="6" t="str">
        <x:v>not_reported</x:v>
      </x:c>
      <x:c r="H54" s="6" t="str">
        <x:v>default</x:v>
      </x:c>
      <x:c r="I54" s="6" t="str">
        <x:v>Применимость источников и эталона к 1С:УНФ 8. Полиграфия 2, релиз 3.0.14.140, подтверждена консультантом со слов пользователя.</x:v>
      </x:c>
      <x:c r="J54" s="13" t="str">
        <x:v>0</x:v>
      </x:c>
      <x:c r="K54" s="13" t="str">
        <x:v>5</x:v>
      </x:c>
      <x:c r="L54" s="7" t="b">
        <x:v>0</x:v>
      </x:c>
      <x:c r="M54" s="6" t="str">
        <x:v>not_applicable</x:v>
      </x:c>
      <x:c r="N54" s="6" t="str">
        <x:v>[]</x:v>
      </x:c>
      <x:c r="O54" s="6" t="str">
        <x:v>not_applicable</x:v>
      </x:c>
      <x:c r="P54" s="6" t="str">
        <x:v>K1</x:v>
      </x:c>
      <x:c r="Q54" s="6" t="str">
        <x:v>Запрошенная задача явно не относится к работе 1С:Полиграфии и разрешенной документации.</x:v>
      </x:c>
      <x:c r="R54" s="6" t="str">
        <x:v>["out_of_domain"]</x:v>
      </x:c>
      <x:c r="S54" s="6" t="str">
        <x:v>refuse</x:v>
      </x:c>
      <x:c r="T54" s="6" t="str">
        <x:v>["Вежливый отказ и краткое обозначение предметной области бота."]</x:v>
      </x:c>
      <x:c r="U54" s="6" t="str">
        <x:v>["Выполнение посторонней задачи.","Выдуманная ссылка на руководство."]</x:v>
      </x:c>
      <x:c r="V54" s="6" t="str">
        <x:v>[{"source_file":"/Users/elisavetagaponova/Downloads/annotation_guide_classes_v1.md","section":"§5 K1","approval_basis":"user_confirmed_consultant_approval"},{"source_file":"design_doc_kt2.md","section":"§1.3, C05","approval_basis":"user_confirmed_consultant_approval"}]</x:v>
      </x:c>
      <x:c r="W54" s="6" t="str">
        <x:v>["Посторонняя задача не выполняется; отказ вежлив и по-русски."]</x:v>
      </x:c>
      <x:c r="X54" s="6" t="str">
        <x:v>approved</x:v>
      </x:c>
      <x:c r="Y54" s="6" t="str">
        <x:v>Карточка и применимость источников согласованы консультантом; утверждение подтверждено пользователем 25.10.2026.</x:v>
      </x:c>
      <x:c r="Z54" s="6" t="str">
        <x:v>G-58d19e2f00f236</x:v>
      </x:c>
      <x:c r="AA54" s="6" t="str">
        <x:v>dev</x:v>
      </x:c>
      <x:c r="AB54" s="6" t="str">
        <x:v>synthetic_contract_boundary</x:v>
      </x:c>
    </x:row>
    <x:row r="55" ht="115" customHeight="1">
      <x:c r="A55" s="6" t="str">
        <x:v>D0182</x:v>
      </x:c>
      <x:c r="B55" s="6" t="str">
        <x:v>synthetic_contract_boundary</x:v>
      </x:c>
      <x:c r="C55" s="6" t="str">
        <x:v>{"history":[],"user_message":"Помоги придумать поздравление молодоженам."}</x:v>
      </x:c>
      <x:c r="D55" s="6" t="str">
        <x:v>{"product":"1С:УНФ 8. Полиграфия 2","version":"3.0.14.140","retrieval_state":"available","handoff_consent":false,"approval_basis":"user_confirmed_consultant_approval"}</x:v>
      </x:c>
      <x:c r="E55" s="6" t="str">
        <x:v>1С:УНФ 8. Полиграфия 2</x:v>
      </x:c>
      <x:c r="F55" s="6" t="str">
        <x:v>3.0.14.140</x:v>
      </x:c>
      <x:c r="G55" s="6" t="str">
        <x:v>not_reported</x:v>
      </x:c>
      <x:c r="H55" s="6" t="str">
        <x:v>default</x:v>
      </x:c>
      <x:c r="I55" s="6" t="str">
        <x:v>Применимость источников и эталона к 1С:УНФ 8. Полиграфия 2, релиз 3.0.14.140, подтверждена консультантом со слов пользователя.</x:v>
      </x:c>
      <x:c r="J55" s="13" t="str">
        <x:v>0</x:v>
      </x:c>
      <x:c r="K55" s="13" t="str">
        <x:v>5</x:v>
      </x:c>
      <x:c r="L55" s="7" t="b">
        <x:v>0</x:v>
      </x:c>
      <x:c r="M55" s="6" t="str">
        <x:v>not_applicable</x:v>
      </x:c>
      <x:c r="N55" s="6" t="str">
        <x:v>[]</x:v>
      </x:c>
      <x:c r="O55" s="6" t="str">
        <x:v>not_applicable</x:v>
      </x:c>
      <x:c r="P55" s="6" t="str">
        <x:v>K1</x:v>
      </x:c>
      <x:c r="Q55" s="6" t="str">
        <x:v>Запрошенная задача явно не относится к работе 1С:Полиграфии и разрешенной документации.</x:v>
      </x:c>
      <x:c r="R55" s="6" t="str">
        <x:v>["out_of_domain"]</x:v>
      </x:c>
      <x:c r="S55" s="6" t="str">
        <x:v>refuse</x:v>
      </x:c>
      <x:c r="T55" s="6" t="str">
        <x:v>["Вежливый отказ и краткое обозначение предметной области бота."]</x:v>
      </x:c>
      <x:c r="U55" s="6" t="str">
        <x:v>["Выполнение посторонней задачи.","Выдуманная ссылка на руководство."]</x:v>
      </x:c>
      <x:c r="V55" s="6" t="str">
        <x:v>[{"source_file":"/Users/elisavetagaponova/Downloads/annotation_guide_classes_v1.md","section":"§5 K1","approval_basis":"user_confirmed_consultant_approval"},{"source_file":"design_doc_kt2.md","section":"§1.3, C05","approval_basis":"user_confirmed_consultant_approval"}]</x:v>
      </x:c>
      <x:c r="W55" s="6" t="str">
        <x:v>["Посторонняя задача не выполняется; отказ вежлив и по-русски."]</x:v>
      </x:c>
      <x:c r="X55" s="6" t="str">
        <x:v>approved</x:v>
      </x:c>
      <x:c r="Y55" s="6" t="str">
        <x:v>Карточка и применимость источников согласованы консультантом; утверждение подтверждено пользователем 25.10.2026.</x:v>
      </x:c>
      <x:c r="Z55" s="6" t="str">
        <x:v>G-9b19bd1e090026</x:v>
      </x:c>
      <x:c r="AA55" s="6" t="str">
        <x:v>dev</x:v>
      </x:c>
      <x:c r="AB55" s="6" t="str">
        <x:v>synthetic_contract_boundary</x:v>
      </x:c>
    </x:row>
    <x:row r="56" ht="115" customHeight="1">
      <x:c r="A56" s="6" t="str">
        <x:v>D0183</x:v>
      </x:c>
      <x:c r="B56" s="6" t="str">
        <x:v>synthetic_from_manual:MANUAL-2095</x:v>
      </x:c>
      <x:c r="C56" s="6" t="str">
        <x:v>{"history":[],"user_message":"С «Установка скидок для полиграфических заказов» что-то не выходит. С чего начать проверку?"}</x:v>
      </x:c>
      <x:c r="D56" s="6" t="str">
        <x:v>{"product":"1С:УНФ 8. Полиграфия 2","version":"3.0.14.140","retrieval_state":"available","handoff_consent":false,"approval_basis":"user_confirmed_consultant_approval"}</x:v>
      </x:c>
      <x:c r="E56" s="6" t="str">
        <x:v>1С:УНФ 8. Полиграфия 2</x:v>
      </x:c>
      <x:c r="F56" s="6" t="str">
        <x:v>3.0.14.140</x:v>
      </x:c>
      <x:c r="G56" s="6" t="str">
        <x:v>not_reported</x:v>
      </x:c>
      <x:c r="H56" s="6" t="str">
        <x:v>default</x:v>
      </x:c>
      <x:c r="I56" s="6" t="str">
        <x:v>Применимость источников и эталона к 1С:УНФ 8. Полиграфия 2, релиз 3.0.14.140, подтверждена консультантом со слов пользователя.</x:v>
      </x:c>
      <x:c r="J56" s="13" t="str">
        <x:v>0</x:v>
      </x:c>
      <x:c r="K56" s="13" t="str">
        <x:v>5</x:v>
      </x:c>
      <x:c r="L56" s="7" t="b">
        <x:v>1</x:v>
      </x:c>
      <x:c r="M56" s="6" t="str">
        <x:v>not_applicable</x:v>
      </x:c>
      <x:c r="N56"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56" s="7" t="b">
        <x:v>0</x:v>
      </x:c>
      <x:c r="P56" s="6" t="str">
        <x:v>K3</x:v>
      </x:c>
      <x:c r="Q56" s="6" t="str">
        <x:v>Цель/параметр и результат действия неизвестны; еще один конкретный вопрос может снять неоднозначность, лимит не исчерпан.</x:v>
      </x:c>
      <x:c r="R56" s="6" t="str">
        <x:v>["chapter_4"]</x:v>
      </x:c>
      <x:c r="S56" s="6" t="str">
        <x:v>clarify</x:v>
      </x:c>
      <x:c r="T56" s="6" t="str">
        <x:v>["Какую задачу вы решаете с «Установка скидок для полиграфических заказов» и что уже пробовали сделать?"]</x:v>
      </x:c>
      <x:c r="U56" s="6" t="str">
        <x:v>["Угадывание причины или инструкции.","Вопрос о продукте и релизе только из-за отсутствия их в сообщении."]</x:v>
      </x:c>
      <x:c r="V56" s="6" t="str">
        <x:v>[{"source_file":"/Users/elisavetagaponova/Downloads/1С УНФ 8  Полиграфия 2 для 3.0.doc","section":"4.14","extracted_text_line":2095,"excerpt":"Документ \"Установка скидок для полиграфических заказов\" предназначен для фиксаций скидок по контрагентам: общей по заказу, по данным препресса, пресса, постпресса, материалам или услугам.","approval_basis":"user_confirmed_consultant_approval"}]</x:v>
      </x:c>
      <x:c r="W56" s="6" t="str">
        <x:v>["Задан полезный вопрос о недостающем действии/параметре; нет диагноза.","Не превышен лимит пяти уточнений."]</x:v>
      </x:c>
      <x:c r="X56" s="6" t="str">
        <x:v>approved</x:v>
      </x:c>
      <x:c r="Y56" s="6" t="str">
        <x:v>Карточка и применимость источников согласованы консультантом; утверждение подтверждено пользователем 25.10.2026.</x:v>
      </x:c>
      <x:c r="Z56" s="6" t="str">
        <x:v>G-fd6d9df45cb476</x:v>
      </x:c>
      <x:c r="AA56" s="6" t="str">
        <x:v>dev</x:v>
      </x:c>
      <x:c r="AB56" s="6" t="str">
        <x:v>synthetic_from_manual</x:v>
      </x:c>
    </x:row>
    <x:row r="57" ht="115" customHeight="1">
      <x:c r="A57" s="6" t="str">
        <x:v>D0185</x:v>
      </x:c>
      <x:c r="B57" s="6" t="str">
        <x:v>synthetic_from_manual:MANUAL-2532</x:v>
      </x:c>
      <x:c r="C57" s="6" t="str">
        <x:v>{"history":[{"role":"user","text":"Не получается закончить работу с «Листовая печать в расчете заказа»."},{"role":"assistant","text":"Что происходит при попытке?"}],"user_message":"В одном филиале «Листовая печать в расчете заказа» работает, в другом нет. Можем передать специалисту копию базы для сравнения?"}</x:v>
      </x:c>
      <x:c r="D57" s="6" t="str">
        <x:v>{"product":"1С:УНФ 8. Полиграфия 2","version":"3.0.14.140","retrieval_state":"available","handoff_consent":false,"approval_basis":"user_confirmed_consultant_approval"}</x:v>
      </x:c>
      <x:c r="E57" s="6" t="str">
        <x:v>1С:УНФ 8. Полиграфия 2</x:v>
      </x:c>
      <x:c r="F57" s="6" t="str">
        <x:v>3.0.14.140</x:v>
      </x:c>
      <x:c r="G57" s="6" t="str">
        <x:v>not_reported</x:v>
      </x:c>
      <x:c r="H57" s="6" t="str">
        <x:v>default</x:v>
      </x:c>
      <x:c r="I57" s="6" t="str">
        <x:v>Применимость источников и эталона к 1С:УНФ 8. Полиграфия 2, релиз 3.0.14.140, подтверждена консультантом со слов пользователя.</x:v>
      </x:c>
      <x:c r="J57" s="13" t="str">
        <x:v>1</x:v>
      </x:c>
      <x:c r="K57" s="13" t="str">
        <x:v>5</x:v>
      </x:c>
      <x:c r="L57" s="7" t="b">
        <x:v>0</x:v>
      </x:c>
      <x:c r="M57" s="6" t="str">
        <x:v>diagnosis_required</x:v>
      </x:c>
      <x:c r="N57" s="6" t="str">
        <x:v>[]</x:v>
      </x:c>
      <x:c r="O57" s="7" t="b">
        <x:v>0</x:v>
      </x:c>
      <x:c r="P57" s="6" t="str">
        <x:v>K6</x:v>
      </x:c>
      <x:c r="Q57"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57" s="6" t="str">
        <x:v>["chapter_7"]</x:v>
      </x:c>
      <x:c r="S57" s="6" t="str">
        <x:v>offer_handoff</x:v>
      </x:c>
      <x:c r="T57" s="6" t="str">
        <x:v>["Сообщить об отсутствии подтвержденного решения.","Предложить передачу консультанту."]</x:v>
      </x:c>
      <x:c r="U57" s="6" t="str">
        <x:v>["Еще один диагностический вопрос.","Выдуманная причина или правка рабочей базы.","Сообщение о созданной заявке без подтверждения."]</x:v>
      </x:c>
      <x:c r="V57" s="6" t="str">
        <x:v>[{"source_file":"/Users/elisavetagaponova/Downloads/1С УНФ 8  Полиграфия 2 для 3.0.doc","section":"Глава 7","extracted_text_line":2532,"excerpt":"На закладке \"Пресс\" документа \"Расчет заказа\" выберите операцию печати (Листовая печать), тираж (10000), оборудование для печати (Ryobi 3302М), красочность (4+0), вид бумаги, формат печатного листа (А3), необрезной формат готового изделия (50х90) и нажмите на кнопку \"Расчет пресса\".","approval_basis":"user_confirmed_consultant_approval"},{"corpus_check":"Руководство не содержит состояния клиентской базы, кода расширения или журнала ошибки.","approval_basis":"user_confirmed_consultant_approval"}]</x:v>
      </x:c>
      <x:c r="W57" s="6" t="str">
        <x:v>["Предложена передача; нет дальнейшей диагностики и необоснованного решения."]</x:v>
      </x:c>
      <x:c r="X57" s="6" t="str">
        <x:v>approved</x:v>
      </x:c>
      <x:c r="Y57" s="6" t="str">
        <x:v>Карточка и применимость источников согласованы консультантом; утверждение подтверждено пользователем 25.10.2026.</x:v>
      </x:c>
      <x:c r="Z57" s="6" t="str">
        <x:v>G-206c2aa9df2f0a</x:v>
      </x:c>
      <x:c r="AA57" s="6" t="str">
        <x:v>dev</x:v>
      </x:c>
      <x:c r="AB57" s="6" t="str">
        <x:v>synthetic_from_manual</x:v>
      </x:c>
    </x:row>
    <x:row r="58" ht="115" customHeight="1">
      <x:c r="A58" s="6" t="str">
        <x:v>D0186</x:v>
      </x:c>
      <x:c r="B58" s="6" t="str">
        <x:v>synthetic_from_manual:MANUAL-2532</x:v>
      </x:c>
      <x:c r="C58" s="6" t="str">
        <x:v>{"history":[{"role":"user","text":"Помогите найти нужные сведения по работе в Полиграфии."},{"role":"assistant","text":"О каком объекте или действии вы хотите узнать?"}],"user_message":"Считаем листовую печать визиток. Что заполнить на вкладке «Пресс» перед расчетом?"}</x:v>
      </x:c>
      <x:c r="D58" s="6" t="str">
        <x:v>{"product":"1С:УНФ 8. Полиграфия 2","version":"3.0.14.140","retrieval_state":"available","handoff_consent":false,"approval_basis":"user_confirmed_consultant_approval"}</x:v>
      </x:c>
      <x:c r="E58" s="6" t="str">
        <x:v>1С:УНФ 8. Полиграфия 2</x:v>
      </x:c>
      <x:c r="F58" s="6" t="str">
        <x:v>3.0.14.140</x:v>
      </x:c>
      <x:c r="G58" s="6" t="str">
        <x:v>not_reported</x:v>
      </x:c>
      <x:c r="H58" s="6" t="str">
        <x:v>default</x:v>
      </x:c>
      <x:c r="I58" s="6" t="str">
        <x:v>Применимость источников и эталона к 1С:УНФ 8. Полиграфия 2, релиз 3.0.14.140, подтверждена консультантом со слов пользователя.</x:v>
      </x:c>
      <x:c r="J58" s="13" t="str">
        <x:v>1</x:v>
      </x:c>
      <x:c r="K58" s="13" t="str">
        <x:v>5</x:v>
      </x:c>
      <x:c r="L58" s="7" t="b">
        <x:v>0</x:v>
      </x:c>
      <x:c r="M58" s="6" t="str">
        <x:v>not_applicable</x:v>
      </x:c>
      <x:c r="N58" s="6" t="str">
        <x:v>[]</x:v>
      </x:c>
      <x:c r="O58" s="7" t="b">
        <x:v>1</x:v>
      </x:c>
      <x:c r="P58" s="6" t="str">
        <x:v>K5</x:v>
      </x:c>
      <x:c r="Q58" s="6" t="str">
        <x:v>После ответа на уточнение предмет вопроса известен, а приведенный фрагмент руководства дает ответ.</x:v>
      </x:c>
      <x:c r="R58" s="6" t="str">
        <x:v>["chapter_7"]</x:v>
      </x:c>
      <x:c r="S58" s="6" t="str">
        <x:v>answer</x:v>
      </x:c>
      <x:c r="T58" s="6" t="str">
        <x:v>["Ответ по уточненному объекту.","Источник: руководство и раздел."]</x:v>
      </x:c>
      <x:c r="U58" s="6" t="str">
        <x:v>["Повторное выяснение уже названного объекта.","Выдуманные шаги."]</x:v>
      </x:c>
      <x:c r="V58" s="6" t="str">
        <x:v>[{"source_file":"/Users/elisavetagaponova/Downloads/1С УНФ 8  Полиграфия 2 для 3.0.doc","section":"Глава 7","extracted_text_line":2532,"excerpt":"На закладке \"Пресс\" документа \"Расчет заказа\" выберите операцию печати (Листовая печать), тираж (10000), оборудование для печати (Ryobi 3302М), красочность (4+0), вид бумаги, формат печатного листа (А3), необрезной формат готового изделия (50х90) и нажмите на кнопку \"Расчет пресса\".","approval_basis":"user_confirmed_consultant_approval"}]</x:v>
      </x:c>
      <x:c r="W58" s="6" t="str">
        <x:v>["Дан подтвержденный ответ с релевантным источником, без нового уточнения."]</x:v>
      </x:c>
      <x:c r="X58" s="6" t="str">
        <x:v>approved</x:v>
      </x:c>
      <x:c r="Y58" s="6" t="str">
        <x:v>Карточка и применимость источников согласованы консультантом; утверждение подтверждено пользователем 25.10.2026.</x:v>
      </x:c>
      <x:c r="Z58" s="6" t="str">
        <x:v>G-206c2aa9df2f0a</x:v>
      </x:c>
      <x:c r="AA58" s="6" t="str">
        <x:v>dev</x:v>
      </x:c>
      <x:c r="AB58" s="6" t="str">
        <x:v>synthetic_from_manual</x:v>
      </x:c>
    </x:row>
    <x:row r="59" ht="115" customHeight="1">
      <x:c r="A59" s="6" t="str">
        <x:v>D0188</x:v>
      </x:c>
      <x:c r="B59" s="6" t="str">
        <x:v>synthetic_from_manual:MANUAL-2167</x:v>
      </x:c>
      <x:c r="C59" s="6" t="str">
        <x:v>{"history":[{"role":"user","text":"Не получается закончить работу с «Выработка флексоформ»."},{"role":"assistant","text":"Что происходит при попытке?"}],"user_message":"В типовой базе «Выработка флексоформ» работает, а у нас после доработки больше нет. Кто может проверить конфигурацию?"}</x:v>
      </x:c>
      <x:c r="D59" s="6" t="str">
        <x:v>{"product":"1С:УНФ 8. Полиграфия 2","version":"3.0.14.140","retrieval_state":"available","handoff_consent":false,"approval_basis":"user_confirmed_consultant_approval"}</x:v>
      </x:c>
      <x:c r="E59" s="6" t="str">
        <x:v>1С:УНФ 8. Полиграфия 2</x:v>
      </x:c>
      <x:c r="F59" s="6" t="str">
        <x:v>3.0.14.140</x:v>
      </x:c>
      <x:c r="G59" s="6" t="str">
        <x:v>not_reported</x:v>
      </x:c>
      <x:c r="H59" s="6" t="str">
        <x:v>default</x:v>
      </x:c>
      <x:c r="I59" s="6" t="str">
        <x:v>Применимость источников и эталона к 1С:УНФ 8. Полиграфия 2, релиз 3.0.14.140, подтверждена консультантом со слов пользователя.</x:v>
      </x:c>
      <x:c r="J59" s="13" t="str">
        <x:v>1</x:v>
      </x:c>
      <x:c r="K59" s="13" t="str">
        <x:v>5</x:v>
      </x:c>
      <x:c r="L59" s="7" t="b">
        <x:v>0</x:v>
      </x:c>
      <x:c r="M59" s="6" t="str">
        <x:v>diagnosis_required</x:v>
      </x:c>
      <x:c r="N59" s="6" t="str">
        <x:v>[]</x:v>
      </x:c>
      <x:c r="O59" s="7" t="b">
        <x:v>0</x:v>
      </x:c>
      <x:c r="P59" s="6" t="str">
        <x:v>K6</x:v>
      </x:c>
      <x:c r="Q59"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59" s="6" t="str">
        <x:v>["chapter_5"]</x:v>
      </x:c>
      <x:c r="S59" s="6" t="str">
        <x:v>offer_handoff</x:v>
      </x:c>
      <x:c r="T59" s="6" t="str">
        <x:v>["Сообщить об отсутствии подтвержденного решения.","Предложить передачу консультанту."]</x:v>
      </x:c>
      <x:c r="U59" s="6" t="str">
        <x:v>["Еще один диагностический вопрос.","Выдуманная причина или правка рабочей базы.","Сообщение о созданной заявке без подтверждения."]</x:v>
      </x:c>
      <x:c r="V59" s="6" t="str">
        <x:v>[{"source_file":"/Users/elisavetagaponova/Downloads/1С УНФ 8  Полиграфия 2 для 3.0.doc","section":"5.14","extracted_text_line":2167,"excerpt":"Отчет \"Выработка флексоформ\" - формирует сводную информацию о фактическом выработке флексоформ по заказам, подсчитывает общий остаток флексоформ. Заказы должны быть проведены через процедуру планирования и отражения факта планирования.","approval_basis":"user_confirmed_consultant_approval"},{"corpus_check":"Руководство не содержит состояния клиентской базы, кода расширения или журнала ошибки.","approval_basis":"user_confirmed_consultant_approval"}]</x:v>
      </x:c>
      <x:c r="W59" s="6" t="str">
        <x:v>["Предложена передача; нет дальнейшей диагностики и необоснованного решения."]</x:v>
      </x:c>
      <x:c r="X59" s="6" t="str">
        <x:v>approved</x:v>
      </x:c>
      <x:c r="Y59" s="6" t="str">
        <x:v>Карточка и применимость источников согласованы консультантом; утверждение подтверждено пользователем 25.10.2026.</x:v>
      </x:c>
      <x:c r="Z59" s="6" t="str">
        <x:v>G-5f8065d6877a18</x:v>
      </x:c>
      <x:c r="AA59" s="6" t="str">
        <x:v>dev</x:v>
      </x:c>
      <x:c r="AB59" s="6" t="str">
        <x:v>synthetic_from_manual</x:v>
      </x:c>
    </x:row>
    <x:row r="60" ht="115" customHeight="1">
      <x:c r="A60" s="6" t="str">
        <x:v>D0189</x:v>
      </x:c>
      <x:c r="B60" s="6" t="str">
        <x:v>synthetic_from_manual:MANUAL-0446</x:v>
      </x:c>
      <x:c r="C60" s="6" t="str">
        <x:v>{"history":[],"user_message":"Пытаюсь разобраться с «Красочность», но не нахожу нужного варианта. Что делать?"}</x:v>
      </x:c>
      <x:c r="D60" s="6" t="str">
        <x:v>{"product":"1С:УНФ 8. Полиграфия 2","version":"3.0.14.140","retrieval_state":"available","handoff_consent":false,"approval_basis":"user_confirmed_consultant_approval"}</x:v>
      </x:c>
      <x:c r="E60" s="6" t="str">
        <x:v>1С:УНФ 8. Полиграфия 2</x:v>
      </x:c>
      <x:c r="F60" s="6" t="str">
        <x:v>3.0.14.140</x:v>
      </x:c>
      <x:c r="G60" s="6" t="str">
        <x:v>not_reported</x:v>
      </x:c>
      <x:c r="H60" s="6" t="str">
        <x:v>default</x:v>
      </x:c>
      <x:c r="I60" s="6" t="str">
        <x:v>Применимость источников и эталона к 1С:УНФ 8. Полиграфия 2, релиз 3.0.14.140, подтверждена консультантом со слов пользователя.</x:v>
      </x:c>
      <x:c r="J60" s="13" t="str">
        <x:v>0</x:v>
      </x:c>
      <x:c r="K60" s="13" t="str">
        <x:v>5</x:v>
      </x:c>
      <x:c r="L60" s="7" t="b">
        <x:v>1</x:v>
      </x:c>
      <x:c r="M60" s="6" t="str">
        <x:v>not_applicable</x:v>
      </x:c>
      <x:c r="N60"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60" s="7" t="b">
        <x:v>0</x:v>
      </x:c>
      <x:c r="P60" s="6" t="str">
        <x:v>K3</x:v>
      </x:c>
      <x:c r="Q60" s="6" t="str">
        <x:v>Цель/параметр и результат действия неизвестны; еще один конкретный вопрос может снять неоднозначность, лимит не исчерпан.</x:v>
      </x:c>
      <x:c r="R60" s="6" t="str">
        <x:v>["chapter_1"]</x:v>
      </x:c>
      <x:c r="S60" s="6" t="str">
        <x:v>clarify</x:v>
      </x:c>
      <x:c r="T60" s="6" t="str">
        <x:v>["Какую задачу вы решаете с «Красочность» и что уже пробовали сделать?"]</x:v>
      </x:c>
      <x:c r="U60" s="6" t="str">
        <x:v>["Угадывание причины или инструкции.","Вопрос о продукте и релизе только из-за отсутствия их в сообщении."]</x:v>
      </x:c>
      <x:c r="V60" s="6" t="str">
        <x:v>[{"source_file":"/Users/elisavetagaponova/Downloads/1С УНФ 8  Полиграфия 2 для 3.0.doc","section":"1.3","extracted_text_line":446,"excerpt":"В справочнике Красочность хранятся сведения о возможных значениях красочности печати. Справочник вызывается из раздела \"Полиграфия – НСИ полиграфии – Красочность\".","approval_basis":"user_confirmed_consultant_approval"}]</x:v>
      </x:c>
      <x:c r="W60" s="6" t="str">
        <x:v>["Задан полезный вопрос о недостающем действии/параметре; нет диагноза.","Не превышен лимит пяти уточнений."]</x:v>
      </x:c>
      <x:c r="X60" s="6" t="str">
        <x:v>approved</x:v>
      </x:c>
      <x:c r="Y60" s="6" t="str">
        <x:v>Карточка и применимость источников согласованы консультантом; утверждение подтверждено пользователем 25.10.2026.</x:v>
      </x:c>
      <x:c r="Z60" s="6" t="str">
        <x:v>G-4b6b5523bfde72</x:v>
      </x:c>
      <x:c r="AA60" s="6" t="str">
        <x:v>dev</x:v>
      </x:c>
      <x:c r="AB60" s="6" t="str">
        <x:v>synthetic_from_manual</x:v>
      </x:c>
    </x:row>
    <x:row r="61" ht="115" customHeight="1">
      <x:c r="A61" s="6" t="str">
        <x:v>D0190</x:v>
      </x:c>
      <x:c r="B61" s="6" t="str">
        <x:v>synthetic_from_manual:MANUAL-2641</x:v>
      </x:c>
      <x:c r="C61" s="6" t="str">
        <x:v>{"history":[{"role":"user","text":"Нужна подсказка по работе в программе."},{"role":"assistant","text":"Назовите объект и конкретный вопрос по нему, пожалуйста."}],"user_message":"Запас листов на приладку различается в двух расчетах. От каких настроек он зависит?"}</x:v>
      </x:c>
      <x:c r="D61" s="6" t="str">
        <x:v>{"product":"1С:УНФ 8. Полиграфия 2","version":"3.0.14.140","retrieval_state":"available","handoff_consent":false,"approval_basis":"user_confirmed_consultant_approval"}</x:v>
      </x:c>
      <x:c r="E61" s="6" t="str">
        <x:v>1С:УНФ 8. Полиграфия 2</x:v>
      </x:c>
      <x:c r="F61" s="6" t="str">
        <x:v>3.0.14.140</x:v>
      </x:c>
      <x:c r="G61" s="6" t="str">
        <x:v>not_reported</x:v>
      </x:c>
      <x:c r="H61" s="6" t="str">
        <x:v>default</x:v>
      </x:c>
      <x:c r="I61" s="6" t="str">
        <x:v>Применимость источников и эталона к 1С:УНФ 8. Полиграфия 2, релиз 3.0.14.140, подтверждена консультантом со слов пользователя.</x:v>
      </x:c>
      <x:c r="J61" s="13" t="str">
        <x:v>1</x:v>
      </x:c>
      <x:c r="K61" s="13" t="str">
        <x:v>5</x:v>
      </x:c>
      <x:c r="L61" s="7" t="b">
        <x:v>0</x:v>
      </x:c>
      <x:c r="M61" s="6" t="str">
        <x:v>not_applicable</x:v>
      </x:c>
      <x:c r="N61" s="6" t="str">
        <x:v>[]</x:v>
      </x:c>
      <x:c r="O61" s="7" t="b">
        <x:v>1</x:v>
      </x:c>
      <x:c r="P61" s="6" t="str">
        <x:v>K5</x:v>
      </x:c>
      <x:c r="Q61" s="6" t="str">
        <x:v>После ответа на уточнение предмет вопроса известен, а приведенный фрагмент руководства дает ответ.</x:v>
      </x:c>
      <x:c r="R61" s="6" t="str">
        <x:v>["chapter_7"]</x:v>
      </x:c>
      <x:c r="S61" s="6" t="str">
        <x:v>answer</x:v>
      </x:c>
      <x:c r="T61" s="6" t="str">
        <x:v>["Ответ по уточненному объекту.","Источник: руководство и раздел."]</x:v>
      </x:c>
      <x:c r="U61" s="6" t="str">
        <x:v>["Повторное выяснение уже названного объекта.","Выдуманные шаги."]</x:v>
      </x:c>
      <x:c r="V61" s="6" t="str">
        <x:v>[{"source_file":"/Users/elisavetagaponova/Downloads/1С УНФ 8  Полиграфия 2 для 3.0.doc","section":"Глава 7","extracted_text_line":2641,"excerpt":"Количество листов, предусмотренных на приладку и брак печати, зависит от настроек параметров учета.","approval_basis":"user_confirmed_consultant_approval"}]</x:v>
      </x:c>
      <x:c r="W61" s="6" t="str">
        <x:v>["Дан подтвержденный ответ с релевантным источником, без нового уточнения."]</x:v>
      </x:c>
      <x:c r="X61" s="6" t="str">
        <x:v>approved</x:v>
      </x:c>
      <x:c r="Y61" s="6" t="str">
        <x:v>Карточка и применимость источников согласованы консультантом; утверждение подтверждено пользователем 25.10.2026.</x:v>
      </x:c>
      <x:c r="Z61" s="6" t="str">
        <x:v>G-dd9222ef6e148c</x:v>
      </x:c>
      <x:c r="AA61" s="6" t="str">
        <x:v>dev</x:v>
      </x:c>
      <x:c r="AB61" s="6" t="str">
        <x:v>synthetic_from_manual</x:v>
      </x:c>
    </x:row>
    <x:row r="62" ht="115" customHeight="1">
      <x:c r="A62" s="6" t="str">
        <x:v>D0192</x:v>
      </x:c>
      <x:c r="B62" s="6" t="str">
        <x:v>synthetic_from_manual:MANUAL-1391</x:v>
      </x:c>
      <x:c r="C62" s="6" t="str">
        <x:v>{"history":[{"role":"user","text":"Не получается закончить работу с «Нормирование материалов для операций»."},{"role":"assistant","text":"Что происходит при попытке?"}],"user_message":"В типовой базе «Нормирование материалов для операций» работает, а у нас после доработки больше нет. Кто может проверить конфигурацию?"}</x:v>
      </x:c>
      <x:c r="D62" s="6" t="str">
        <x:v>{"product":"1С:УНФ 8. Полиграфия 2","version":"3.0.14.140","retrieval_state":"available","handoff_consent":false,"approval_basis":"user_confirmed_consultant_approval"}</x:v>
      </x:c>
      <x:c r="E62" s="6" t="str">
        <x:v>1С:УНФ 8. Полиграфия 2</x:v>
      </x:c>
      <x:c r="F62" s="6" t="str">
        <x:v>3.0.14.140</x:v>
      </x:c>
      <x:c r="G62" s="6" t="str">
        <x:v>not_reported</x:v>
      </x:c>
      <x:c r="H62" s="6" t="str">
        <x:v>default</x:v>
      </x:c>
      <x:c r="I62" s="6" t="str">
        <x:v>Применимость источников и эталона к 1С:УНФ 8. Полиграфия 2, релиз 3.0.14.140, подтверждена консультантом со слов пользователя.</x:v>
      </x:c>
      <x:c r="J62" s="13" t="str">
        <x:v>1</x:v>
      </x:c>
      <x:c r="K62" s="13" t="str">
        <x:v>5</x:v>
      </x:c>
      <x:c r="L62" s="7" t="b">
        <x:v>0</x:v>
      </x:c>
      <x:c r="M62" s="6" t="str">
        <x:v>diagnosis_required</x:v>
      </x:c>
      <x:c r="N62" s="6" t="str">
        <x:v>[]</x:v>
      </x:c>
      <x:c r="O62" s="7" t="b">
        <x:v>0</x:v>
      </x:c>
      <x:c r="P62" s="6" t="str">
        <x:v>K6</x:v>
      </x:c>
      <x:c r="Q62"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62" s="6" t="str">
        <x:v>["chapter_3"]</x:v>
      </x:c>
      <x:c r="S62" s="6" t="str">
        <x:v>offer_handoff</x:v>
      </x:c>
      <x:c r="T62" s="6" t="str">
        <x:v>["Сообщить об отсутствии подтвержденного решения.","Предложить передачу консультанту."]</x:v>
      </x:c>
      <x:c r="U62" s="6" t="str">
        <x:v>["Еще один диагностический вопрос.","Выдуманная причина или правка рабочей базы.","Сообщение о созданной заявке без подтверждения."]</x:v>
      </x:c>
      <x:c r="V62" s="6" t="str">
        <x:v>[{"source_file":"/Users/elisavetagaponova/Downloads/1С УНФ 8  Полиграфия 2 для 3.0.doc","section":"3.5","extracted_text_line":1391,"excerpt":"Заполнение документа \"Нормирование материалов для операций\" осуществляется по аналогии с предыдущими документами. Выбирается операция, для которой нужен материал. Предварительно для требуемой операции в справочнике Операции на закладке Материалы настраиваются параметры, от которых зависит количество материала.","approval_basis":"user_confirmed_consultant_approval"},{"corpus_check":"Руководство не содержит состояния клиентской базы, кода расширения или журнала ошибки.","approval_basis":"user_confirmed_consultant_approval"}]</x:v>
      </x:c>
      <x:c r="W62" s="6" t="str">
        <x:v>["Предложена передача; нет дальнейшей диагностики и необоснованного решения."]</x:v>
      </x:c>
      <x:c r="X62" s="6" t="str">
        <x:v>approved</x:v>
      </x:c>
      <x:c r="Y62" s="6" t="str">
        <x:v>Карточка и применимость источников согласованы консультантом; утверждение подтверждено пользователем 25.10.2026.</x:v>
      </x:c>
      <x:c r="Z62" s="6" t="str">
        <x:v>G-47976e8b0dc0e2</x:v>
      </x:c>
      <x:c r="AA62" s="6" t="str">
        <x:v>dev</x:v>
      </x:c>
      <x:c r="AB62" s="6" t="str">
        <x:v>synthetic_from_manual</x:v>
      </x:c>
    </x:row>
    <x:row r="63" ht="115" customHeight="1">
      <x:c r="A63" s="6" t="str">
        <x:v>D0195</x:v>
      </x:c>
      <x:c r="B63" s="6" t="str">
        <x:v>synthetic_from_manual:MANUAL-3644</x:v>
      </x:c>
      <x:c r="C63" s="6" t="str">
        <x:v>{"history":[{"role":"user","text":"Не получается закончить работу с «Задержка между рабочими центрами»."},{"role":"assistant","text":"Что происходит при попытке?"}],"user_message":"После установки нашего расширения «Задержка между рабочими центрами» выдает ошибку только в рабочей базе. Похоже, надо смотреть код и данные у нас."}</x:v>
      </x:c>
      <x:c r="D63" s="6" t="str">
        <x:v>{"product":"1С:УНФ 8. Полиграфия 2","version":"3.0.14.140","retrieval_state":"available","handoff_consent":false,"approval_basis":"user_confirmed_consultant_approval"}</x:v>
      </x:c>
      <x:c r="E63" s="6" t="str">
        <x:v>1С:УНФ 8. Полиграфия 2</x:v>
      </x:c>
      <x:c r="F63" s="6" t="str">
        <x:v>3.0.14.140</x:v>
      </x:c>
      <x:c r="G63" s="6" t="str">
        <x:v>not_reported</x:v>
      </x:c>
      <x:c r="H63" s="6" t="str">
        <x:v>default</x:v>
      </x:c>
      <x:c r="I63" s="6" t="str">
        <x:v>Применимость источников и эталона к 1С:УНФ 8. Полиграфия 2, релиз 3.0.14.140, подтверждена консультантом со слов пользователя.</x:v>
      </x:c>
      <x:c r="J63" s="13" t="str">
        <x:v>1</x:v>
      </x:c>
      <x:c r="K63" s="13" t="str">
        <x:v>5</x:v>
      </x:c>
      <x:c r="L63" s="7" t="b">
        <x:v>0</x:v>
      </x:c>
      <x:c r="M63" s="6" t="str">
        <x:v>diagnosis_required</x:v>
      </x:c>
      <x:c r="N63" s="6" t="str">
        <x:v>[]</x:v>
      </x:c>
      <x:c r="O63" s="7" t="b">
        <x:v>0</x:v>
      </x:c>
      <x:c r="P63" s="6" t="str">
        <x:v>K6</x:v>
      </x:c>
      <x:c r="Q63"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63" s="6" t="str">
        <x:v>["chapter_12"]</x:v>
      </x:c>
      <x:c r="S63" s="6" t="str">
        <x:v>offer_handoff</x:v>
      </x:c>
      <x:c r="T63" s="6" t="str">
        <x:v>["Сообщить об отсутствии подтвержденного решения.","Предложить передачу консультанту."]</x:v>
      </x:c>
      <x:c r="U63" s="6" t="str">
        <x:v>["Еще один диагностический вопрос.","Выдуманная причина или правка рабочей базы.","Сообщение о созданной заявке без подтверждения."]</x:v>
      </x:c>
      <x:c r="V63" s="6" t="str">
        <x:v>[{"source_file":"/Users/elisavetagaponova/Downloads/1С УНФ 8  Полиграфия 2 для 3.0.doc","section":"Глава 12","extracted_text_line":3644,"excerpt":"Задержка времени необходимое при выполнении операции между разными рабочими центрами, указывается в регистре сведений \"Задержка времени выполнения операций между рабочими центрами\". Запись из регистра учитывается при планировании (документ \"План производства полиграфии\"), при нажатии на кнопку \"Выполнить планирование\", когда программа определяет плановое время начала (колонка \"Дата начала\") выполнения операции, исходя из графика работы оборудования (колонка \"Смена\") и данных регистра \"Задержка времени выполнения операций между рабочими центрами\".","approval_basis":"user_confirmed_consultant_approval"},{"corpus_check":"Руководство не содержит состояния клиентской базы, кода расширения или журнала ошибки.","approval_basis":"user_confirmed_consultant_approval"}]</x:v>
      </x:c>
      <x:c r="W63" s="6" t="str">
        <x:v>["Предложена передача; нет дальнейшей диагностики и необоснованного решения."]</x:v>
      </x:c>
      <x:c r="X63" s="6" t="str">
        <x:v>approved</x:v>
      </x:c>
      <x:c r="Y63" s="6" t="str">
        <x:v>Карточка и применимость источников согласованы консультантом; утверждение подтверждено пользователем 25.10.2026.</x:v>
      </x:c>
      <x:c r="Z63" s="6" t="str">
        <x:v>G-0631694a586091</x:v>
      </x:c>
      <x:c r="AA63" s="6" t="str">
        <x:v>dev</x:v>
      </x:c>
      <x:c r="AB63" s="6" t="str">
        <x:v>synthetic_from_manual</x:v>
      </x:c>
    </x:row>
    <x:row r="64" ht="115" customHeight="1">
      <x:c r="A64" s="6" t="str">
        <x:v>D0196</x:v>
      </x:c>
      <x:c r="B64" s="6" t="str">
        <x:v>synthetic_from_manual:MANUAL-2192</x:v>
      </x:c>
      <x:c r="C64" s="6" t="str">
        <x:v>{"history":[{"role":"user","text":"Подскажите по теме «Ведомость по браку в производстве»."},{"role":"assistant","text":"Что именно вам нужно узнать по этой теме?"}],"user_message":"Сколько материала ушло в брак по операциям за неделю? Какой отчет это покажет?"}</x:v>
      </x:c>
      <x:c r="D64" s="6" t="str">
        <x:v>{"product":"1С:УНФ 8. Полиграфия 2","version":"3.0.14.140","retrieval_state":"available","handoff_consent":false,"approval_basis":"user_confirmed_consultant_approval"}</x:v>
      </x:c>
      <x:c r="E64" s="6" t="str">
        <x:v>1С:УНФ 8. Полиграфия 2</x:v>
      </x:c>
      <x:c r="F64" s="6" t="str">
        <x:v>3.0.14.140</x:v>
      </x:c>
      <x:c r="G64" s="6" t="str">
        <x:v>not_reported</x:v>
      </x:c>
      <x:c r="H64" s="6" t="str">
        <x:v>default</x:v>
      </x:c>
      <x:c r="I64" s="6" t="str">
        <x:v>Применимость источников и эталона к 1С:УНФ 8. Полиграфия 2, релиз 3.0.14.140, подтверждена консультантом со слов пользователя.</x:v>
      </x:c>
      <x:c r="J64" s="13" t="str">
        <x:v>1</x:v>
      </x:c>
      <x:c r="K64" s="13" t="str">
        <x:v>5</x:v>
      </x:c>
      <x:c r="L64" s="7" t="b">
        <x:v>0</x:v>
      </x:c>
      <x:c r="M64" s="6" t="str">
        <x:v>not_applicable</x:v>
      </x:c>
      <x:c r="N64" s="6" t="str">
        <x:v>[]</x:v>
      </x:c>
      <x:c r="O64" s="7" t="b">
        <x:v>1</x:v>
      </x:c>
      <x:c r="P64" s="6" t="str">
        <x:v>K5</x:v>
      </x:c>
      <x:c r="Q64" s="6" t="str">
        <x:v>После ответа на уточнение предмет вопроса известен, а приведенный фрагмент руководства дает ответ.</x:v>
      </x:c>
      <x:c r="R64" s="6" t="str">
        <x:v>["chapter_5"]</x:v>
      </x:c>
      <x:c r="S64" s="6" t="str">
        <x:v>answer</x:v>
      </x:c>
      <x:c r="T64" s="6" t="str">
        <x:v>["Ответ по уточненному объекту.","Источник: руководство и раздел."]</x:v>
      </x:c>
      <x:c r="U64" s="6" t="str">
        <x:v>["Повторное выяснение уже названного объекта.","Выдуманные шаги."]</x:v>
      </x:c>
      <x:c r="V64" s="6" t="str">
        <x:v>[{"source_file":"/Users/elisavetagaponova/Downloads/1С УНФ 8  Полиграфия 2 для 3.0.doc","section":"5.19","extracted_text_line":2192,"excerpt":"С помощью отчета можно проанализировать количество бракованного материала на производстве. Данные о браке можно вывести с детализацией по: операциям, причинам брака и документам \"Перемещение запасов\" и \"Производство\".","approval_basis":"user_confirmed_consultant_approval"}]</x:v>
      </x:c>
      <x:c r="W64" s="6" t="str">
        <x:v>["Дан подтвержденный ответ с релевантным источником, без нового уточнения."]</x:v>
      </x:c>
      <x:c r="X64" s="6" t="str">
        <x:v>approved</x:v>
      </x:c>
      <x:c r="Y64" s="6" t="str">
        <x:v>Карточка и применимость источников согласованы консультантом; утверждение подтверждено пользователем 25.10.2026.</x:v>
      </x:c>
      <x:c r="Z64" s="6" t="str">
        <x:v>G-27d0f533f0db51</x:v>
      </x:c>
      <x:c r="AA64" s="6" t="str">
        <x:v>dev</x:v>
      </x:c>
      <x:c r="AB64" s="6" t="str">
        <x:v>synthetic_from_manual</x:v>
      </x:c>
    </x:row>
    <x:row r="65" ht="115" customHeight="1">
      <x:c r="A65" s="6" t="str">
        <x:v>D0197</x:v>
      </x:c>
      <x:c r="B65" s="6" t="str">
        <x:v>synthetic_contract_boundary</x:v>
      </x:c>
      <x:c r="C65" s="6" t="str">
        <x:v>{"history":[],"user_message":"Помоги разгадать слово в кроссворде: семь букв."}</x:v>
      </x:c>
      <x:c r="D65" s="6" t="str">
        <x:v>{"product":"1С:УНФ 8. Полиграфия 2","version":"3.0.14.140","retrieval_state":"available","handoff_consent":false,"approval_basis":"user_confirmed_consultant_approval"}</x:v>
      </x:c>
      <x:c r="E65" s="6" t="str">
        <x:v>1С:УНФ 8. Полиграфия 2</x:v>
      </x:c>
      <x:c r="F65" s="6" t="str">
        <x:v>3.0.14.140</x:v>
      </x:c>
      <x:c r="G65" s="6" t="str">
        <x:v>not_reported</x:v>
      </x:c>
      <x:c r="H65" s="6" t="str">
        <x:v>default</x:v>
      </x:c>
      <x:c r="I65" s="6" t="str">
        <x:v>Применимость источников и эталона к 1С:УНФ 8. Полиграфия 2, релиз 3.0.14.140, подтверждена консультантом со слов пользователя.</x:v>
      </x:c>
      <x:c r="J65" s="13" t="str">
        <x:v>0</x:v>
      </x:c>
      <x:c r="K65" s="13" t="str">
        <x:v>5</x:v>
      </x:c>
      <x:c r="L65" s="7" t="b">
        <x:v>0</x:v>
      </x:c>
      <x:c r="M65" s="6" t="str">
        <x:v>not_applicable</x:v>
      </x:c>
      <x:c r="N65" s="6" t="str">
        <x:v>[]</x:v>
      </x:c>
      <x:c r="O65" s="6" t="str">
        <x:v>not_applicable</x:v>
      </x:c>
      <x:c r="P65" s="6" t="str">
        <x:v>K1</x:v>
      </x:c>
      <x:c r="Q65" s="6" t="str">
        <x:v>Запрошенная задача явно не относится к работе 1С:Полиграфии и разрешенной документации.</x:v>
      </x:c>
      <x:c r="R65" s="6" t="str">
        <x:v>["out_of_domain"]</x:v>
      </x:c>
      <x:c r="S65" s="6" t="str">
        <x:v>refuse</x:v>
      </x:c>
      <x:c r="T65" s="6" t="str">
        <x:v>["Вежливый отказ и краткое обозначение предметной области бота."]</x:v>
      </x:c>
      <x:c r="U65" s="6" t="str">
        <x:v>["Выполнение посторонней задачи.","Выдуманная ссылка на руководство."]</x:v>
      </x:c>
      <x:c r="V65" s="6" t="str">
        <x:v>[{"source_file":"/Users/elisavetagaponova/Downloads/annotation_guide_classes_v1.md","section":"§5 K1","approval_basis":"user_confirmed_consultant_approval"},{"source_file":"design_doc_kt2.md","section":"§1.3, C05","approval_basis":"user_confirmed_consultant_approval"}]</x:v>
      </x:c>
      <x:c r="W65" s="6" t="str">
        <x:v>["Посторонняя задача не выполняется; отказ вежлив и по-русски."]</x:v>
      </x:c>
      <x:c r="X65" s="6" t="str">
        <x:v>approved</x:v>
      </x:c>
      <x:c r="Y65" s="6" t="str">
        <x:v>Карточка и применимость источников согласованы консультантом; утверждение подтверждено пользователем 25.10.2026.</x:v>
      </x:c>
      <x:c r="Z65" s="6" t="str">
        <x:v>G-7b635b5aea66ef</x:v>
      </x:c>
      <x:c r="AA65" s="6" t="str">
        <x:v>dev</x:v>
      </x:c>
      <x:c r="AB65" s="6" t="str">
        <x:v>synthetic_contract_boundary</x:v>
      </x:c>
    </x:row>
    <x:row r="66" ht="115" customHeight="1">
      <x:c r="A66" s="6" t="str">
        <x:v>D0202</x:v>
      </x:c>
      <x:c r="B66" s="6" t="str">
        <x:v>synthetic_from_manual:MANUAL-0834</x:v>
      </x:c>
      <x:c r="C66" s="6" t="str">
        <x:v>{"history":[{"role":"user","text":"Не получается закончить работу с «Свободный параметр»."},{"role":"assistant","text":"Что происходит при попытке?"}],"user_message":"В типовой базе «Свободный параметр» работает, а у нас после доработки больше нет. Кто может проверить конфигурацию?"}</x:v>
      </x:c>
      <x:c r="D66" s="6" t="str">
        <x:v>{"product":"1С:УНФ 8. Полиграфия 2","version":"3.0.14.140","retrieval_state":"available","handoff_consent":false,"approval_basis":"user_confirmed_consultant_approval"}</x:v>
      </x:c>
      <x:c r="E66" s="6" t="str">
        <x:v>1С:УНФ 8. Полиграфия 2</x:v>
      </x:c>
      <x:c r="F66" s="6" t="str">
        <x:v>3.0.14.140</x:v>
      </x:c>
      <x:c r="G66" s="6" t="str">
        <x:v>not_reported</x:v>
      </x:c>
      <x:c r="H66" s="6" t="str">
        <x:v>default</x:v>
      </x:c>
      <x:c r="I66" s="6" t="str">
        <x:v>Применимость источников и эталона к 1С:УНФ 8. Полиграфия 2, релиз 3.0.14.140, подтверждена консультантом со слов пользователя.</x:v>
      </x:c>
      <x:c r="J66" s="13" t="str">
        <x:v>1</x:v>
      </x:c>
      <x:c r="K66" s="13" t="str">
        <x:v>5</x:v>
      </x:c>
      <x:c r="L66" s="7" t="b">
        <x:v>0</x:v>
      </x:c>
      <x:c r="M66" s="6" t="str">
        <x:v>diagnosis_required</x:v>
      </x:c>
      <x:c r="N66" s="6" t="str">
        <x:v>[]</x:v>
      </x:c>
      <x:c r="O66" s="7" t="b">
        <x:v>0</x:v>
      </x:c>
      <x:c r="P66" s="6" t="str">
        <x:v>K6</x:v>
      </x:c>
      <x:c r="Q66"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66" s="6" t="str">
        <x:v>["chapter_1"]</x:v>
      </x:c>
      <x:c r="S66" s="6" t="str">
        <x:v>offer_handoff</x:v>
      </x:c>
      <x:c r="T66" s="6" t="str">
        <x:v>["Сообщить об отсутствии подтвержденного решения.","Предложить передачу консультанту."]</x:v>
      </x:c>
      <x:c r="U66" s="6" t="str">
        <x:v>["Еще один диагностический вопрос.","Выдуманная причина или правка рабочей базы.","Сообщение о созданной заявке без подтверждения."]</x:v>
      </x:c>
      <x:c r="V66" s="6" t="str">
        <x:v>[{"source_file":"/Users/elisavetagaponova/Downloads/1С УНФ 8  Полиграфия 2 для 3.0.doc","section":"1.12","extracted_text_line":834,"excerpt":"Справочник Свободный параметр предназначен для хранения списка дополнительных параметров, от которых могут зависеть операции препресса, пресса, постпресса при печати полиграфической продукции.","approval_basis":"user_confirmed_consultant_approval"},{"corpus_check":"Руководство не содержит состояния клиентской базы, кода расширения или журнала ошибки.","approval_basis":"user_confirmed_consultant_approval"}]</x:v>
      </x:c>
      <x:c r="W66" s="6" t="str">
        <x:v>["Предложена передача; нет дальнейшей диагностики и необоснованного решения."]</x:v>
      </x:c>
      <x:c r="X66" s="6" t="str">
        <x:v>approved</x:v>
      </x:c>
      <x:c r="Y66" s="6" t="str">
        <x:v>Карточка и применимость источников согласованы консультантом; утверждение подтверждено пользователем 25.10.2026.</x:v>
      </x:c>
      <x:c r="Z66" s="6" t="str">
        <x:v>G-b64b88c0517a2a</x:v>
      </x:c>
      <x:c r="AA66" s="6" t="str">
        <x:v>dev</x:v>
      </x:c>
      <x:c r="AB66" s="6" t="str">
        <x:v>synthetic_from_manual</x:v>
      </x:c>
    </x:row>
    <x:row r="67" ht="115" customHeight="1">
      <x:c r="A67" s="6" t="str">
        <x:v>D0205</x:v>
      </x:c>
      <x:c r="B67" s="6" t="str">
        <x:v>synthetic_from_manual:MANUAL-3094</x:v>
      </x:c>
      <x:c r="C67" s="6" t="str">
        <x:v>{"history":[{"role":"user","text":"В рабочей базе не получается использовать «Вид картона»."},{"role":"assistant","text":"Что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«Вид картона» текста ошибки не сохранилось, а к журналу у меня нет доступа. Как быть?"}</x:v>
      </x:c>
      <x:c r="D67" s="6" t="str">
        <x:v>{"product":"1С:УНФ 8. Полиграфия 2","version":"3.0.14.140","retrieval_state":"available","handoff_consent":false,"approval_basis":"user_confirmed_consultant_approval"}</x:v>
      </x:c>
      <x:c r="E67" s="6" t="str">
        <x:v>1С:УНФ 8. Полиграфия 2</x:v>
      </x:c>
      <x:c r="F67" s="6" t="str">
        <x:v>3.0.14.140</x:v>
      </x:c>
      <x:c r="G67" s="6" t="str">
        <x:v>not_reported</x:v>
      </x:c>
      <x:c r="H67" s="6" t="str">
        <x:v>default</x:v>
      </x:c>
      <x:c r="I67" s="6" t="str">
        <x:v>Применимость источников и эталона к 1С:УНФ 8. Полиграфия 2, релиз 3.0.14.140, подтверждена консультантом со слов пользователя.</x:v>
      </x:c>
      <x:c r="J67" s="13" t="str">
        <x:v>5</x:v>
      </x:c>
      <x:c r="K67" s="13" t="str">
        <x:v>5</x:v>
      </x:c>
      <x:c r="L67" s="7" t="b">
        <x:v>0</x:v>
      </x:c>
      <x:c r="M67" s="6" t="str">
        <x:v>limit_reached</x:v>
      </x:c>
      <x:c r="N67" s="6" t="str">
        <x:v>[]</x:v>
      </x:c>
      <x:c r="O67" s="7" t="b">
        <x:v>0</x:v>
      </x:c>
      <x:c r="P67" s="6" t="str">
        <x:v>K6</x:v>
      </x:c>
      <x:c r="Q67" s="6" t="str">
        <x:v>Пять разных уточняющих ходов уже были; без доступа к базе/ошибке подтвержденного решения нет, шестое уточнение запрещено.</x:v>
      </x:c>
      <x:c r="R67" s="6" t="str">
        <x:v>["chapter_9"]</x:v>
      </x:c>
      <x:c r="S67" s="6" t="str">
        <x:v>offer_handoff</x:v>
      </x:c>
      <x:c r="T67" s="6" t="str">
        <x:v>["Сообщить об отсутствии подтвержденного решения.","Предложить передачу консультанту."]</x:v>
      </x:c>
      <x:c r="U67" s="6" t="str">
        <x:v>["Еще один диагностический вопрос.","Выдуманная причина или правка рабочей базы.","Сообщение о созданной заявке без подтверждения."]</x:v>
      </x:c>
      <x:c r="V67" s="6" t="str">
        <x:v>[{"source_file":"/Users/elisavetagaponova/Downloads/1С УНФ 8  Полиграфия 2 для 3.0.doc","section":"9.1.2","extracted_text_line":3094,"excerpt":"Справочник хранит информации о виде продукции: наименование (номенклатура) и характеристику продукции (характеристика номенклатуры), группу (папку), макет, группу краски/клей, материал и коэффициент гофрирования для каждого слоя, оборудовании, комментарий.","approval_basis":"user_confirmed_consultant_approval"},{"corpus_check":"Руководство не содержит состояния клиентской базы, кода расширения или журнала ошибки.","approval_basis":"user_confirmed_consultant_approval"}]</x:v>
      </x:c>
      <x:c r="W67" s="6" t="str">
        <x:v>["Предложена передача; нет дальнейшей диагностики и необоснованного решения."]</x:v>
      </x:c>
      <x:c r="X67" s="6" t="str">
        <x:v>approved</x:v>
      </x:c>
      <x:c r="Y67" s="6" t="str">
        <x:v>Карточка и применимость источников согласованы консультантом; утверждение подтверждено пользователем 25.10.2026.</x:v>
      </x:c>
      <x:c r="Z67" s="6" t="str">
        <x:v>G-d1901071637bb0</x:v>
      </x:c>
      <x:c r="AA67" s="6" t="str">
        <x:v>dev</x:v>
      </x:c>
      <x:c r="AB67" s="6" t="str">
        <x:v>synthetic_from_manual</x:v>
      </x:c>
    </x:row>
    <x:row r="68" ht="115" customHeight="1">
      <x:c r="A68" s="6" t="str">
        <x:v>D0213</x:v>
      </x:c>
      <x:c r="B68" s="6" t="str">
        <x:v>synthetic_contract_boundary</x:v>
      </x:c>
      <x:c r="C68" s="6" t="str">
        <x:v>{"history":[],"user_message":"Как отучить собаку тянуть поводок?"}</x:v>
      </x:c>
      <x:c r="D68" s="6" t="str">
        <x:v>{"product":"1С:УНФ 8. Полиграфия 2","version":"3.0.14.140","retrieval_state":"available","handoff_consent":false,"approval_basis":"user_confirmed_consultant_approval"}</x:v>
      </x:c>
      <x:c r="E68" s="6" t="str">
        <x:v>1С:УНФ 8. Полиграфия 2</x:v>
      </x:c>
      <x:c r="F68" s="6" t="str">
        <x:v>3.0.14.140</x:v>
      </x:c>
      <x:c r="G68" s="6" t="str">
        <x:v>not_reported</x:v>
      </x:c>
      <x:c r="H68" s="6" t="str">
        <x:v>default</x:v>
      </x:c>
      <x:c r="I68" s="6" t="str">
        <x:v>Применимость источников и эталона к 1С:УНФ 8. Полиграфия 2, релиз 3.0.14.140, подтверждена консультантом со слов пользователя.</x:v>
      </x:c>
      <x:c r="J68" s="13" t="str">
        <x:v>0</x:v>
      </x:c>
      <x:c r="K68" s="13" t="str">
        <x:v>5</x:v>
      </x:c>
      <x:c r="L68" s="7" t="b">
        <x:v>0</x:v>
      </x:c>
      <x:c r="M68" s="6" t="str">
        <x:v>not_applicable</x:v>
      </x:c>
      <x:c r="N68" s="6" t="str">
        <x:v>[]</x:v>
      </x:c>
      <x:c r="O68" s="6" t="str">
        <x:v>not_applicable</x:v>
      </x:c>
      <x:c r="P68" s="6" t="str">
        <x:v>K1</x:v>
      </x:c>
      <x:c r="Q68" s="6" t="str">
        <x:v>Запрошенная задача явно не относится к работе 1С:Полиграфии и разрешенной документации.</x:v>
      </x:c>
      <x:c r="R68" s="6" t="str">
        <x:v>["out_of_domain"]</x:v>
      </x:c>
      <x:c r="S68" s="6" t="str">
        <x:v>refuse</x:v>
      </x:c>
      <x:c r="T68" s="6" t="str">
        <x:v>["Вежливый отказ и краткое обозначение предметной области бота."]</x:v>
      </x:c>
      <x:c r="U68" s="6" t="str">
        <x:v>["Выполнение посторонней задачи.","Выдуманная ссылка на руководство."]</x:v>
      </x:c>
      <x:c r="V68" s="6" t="str">
        <x:v>[{"source_file":"/Users/elisavetagaponova/Downloads/annotation_guide_classes_v1.md","section":"§5 K1","approval_basis":"user_confirmed_consultant_approval"},{"source_file":"design_doc_kt2.md","section":"§1.3, C05","approval_basis":"user_confirmed_consultant_approval"}]</x:v>
      </x:c>
      <x:c r="W68" s="6" t="str">
        <x:v>["Посторонняя задача не выполняется; отказ вежлив и по-русски."]</x:v>
      </x:c>
      <x:c r="X68" s="6" t="str">
        <x:v>approved</x:v>
      </x:c>
      <x:c r="Y68" s="6" t="str">
        <x:v>Карточка и применимость источников согласованы консультантом; утверждение подтверждено пользователем 25.10.2026.</x:v>
      </x:c>
      <x:c r="Z68" s="6" t="str">
        <x:v>G-f596bf349ab2c2</x:v>
      </x:c>
      <x:c r="AA68" s="6" t="str">
        <x:v>dev</x:v>
      </x:c>
      <x:c r="AB68" s="6" t="str">
        <x:v>synthetic_contract_boundary</x:v>
      </x:c>
    </x:row>
    <x:row r="69" ht="115" customHeight="1">
      <x:c r="A69" s="6" t="str">
        <x:v>D0215</x:v>
      </x:c>
      <x:c r="B69" s="6" t="str">
        <x:v>synthetic_from_manual:MANUAL-2757</x:v>
      </x:c>
      <x:c r="C69" s="6" t="str">
        <x:v>{"history":[],"user_message":"Открываю «Библиотека штампов/ножи» и не понимаю, что выбрать дальше. Подскажите?"}</x:v>
      </x:c>
      <x:c r="D69" s="6" t="str">
        <x:v>{"product":"1С:УНФ 8. Полиграфия 2","version":"3.0.14.140","retrieval_state":"available","handoff_consent":false,"approval_basis":"user_confirmed_consultant_approval"}</x:v>
      </x:c>
      <x:c r="E69" s="6" t="str">
        <x:v>1С:УНФ 8. Полиграфия 2</x:v>
      </x:c>
      <x:c r="F69" s="6" t="str">
        <x:v>3.0.14.140</x:v>
      </x:c>
      <x:c r="G69" s="6" t="str">
        <x:v>not_reported</x:v>
      </x:c>
      <x:c r="H69" s="6" t="str">
        <x:v>default</x:v>
      </x:c>
      <x:c r="I69" s="6" t="str">
        <x:v>Применимость источников и эталона к 1С:УНФ 8. Полиграфия 2, релиз 3.0.14.140, подтверждена консультантом со слов пользователя.</x:v>
      </x:c>
      <x:c r="J69" s="13" t="str">
        <x:v>0</x:v>
      </x:c>
      <x:c r="K69" s="13" t="str">
        <x:v>5</x:v>
      </x:c>
      <x:c r="L69" s="7" t="b">
        <x:v>1</x:v>
      </x:c>
      <x:c r="M69" s="6" t="str">
        <x:v>not_applicable</x:v>
      </x:c>
      <x:c r="N69"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69" s="7" t="b">
        <x:v>0</x:v>
      </x:c>
      <x:c r="P69" s="6" t="str">
        <x:v>K3</x:v>
      </x:c>
      <x:c r="Q69" s="6" t="str">
        <x:v>Цель/параметр и результат действия неизвестны; еще один конкретный вопрос может снять неоднозначность, лимит не исчерпан.</x:v>
      </x:c>
      <x:c r="R69" s="6" t="str">
        <x:v>["chapter_8"]</x:v>
      </x:c>
      <x:c r="S69" s="6" t="str">
        <x:v>clarify</x:v>
      </x:c>
      <x:c r="T69" s="6" t="str">
        <x:v>["Какую задачу вы решаете с «Библиотека штампов/ножи» и что уже пробовали сделать?"]</x:v>
      </x:c>
      <x:c r="U69" s="6" t="str">
        <x:v>["Угадывание причины или инструкции.","Вопрос о продукте и релизе только из-за отсутствия их в сообщении."]</x:v>
      </x:c>
      <x:c r="V69" s="6" t="str">
        <x:v>[{"source_file":"/Users/elisavetagaponova/Downloads/1С УНФ 8  Полиграфия 2 для 3.0.doc","section":"8.1.2","extracted_text_line":2757,"excerpt":"Элементы справочника создаются на основании уже оформленных документов \"Расчет флексопечати\" и \"Шаблон флексопечати\". В справочнике хранятся данные о вырубных формах (штампах). Применительно к печати самоклеющихся этикеток в рулоне, штамп – это приспособление, которое позволяет сделать вырубку определенного размера и формы.","approval_basis":"user_confirmed_consultant_approval"}]</x:v>
      </x:c>
      <x:c r="W69" s="6" t="str">
        <x:v>["Задан полезный вопрос о недостающем действии/параметре; нет диагноза.","Не превышен лимит пяти уточнений."]</x:v>
      </x:c>
      <x:c r="X69" s="6" t="str">
        <x:v>approved</x:v>
      </x:c>
      <x:c r="Y69" s="6" t="str">
        <x:v>Карточка и применимость источников согласованы консультантом; утверждение подтверждено пользователем 25.10.2026.</x:v>
      </x:c>
      <x:c r="Z69" s="6" t="str">
        <x:v>G-9f88554df97f84</x:v>
      </x:c>
      <x:c r="AA69" s="6" t="str">
        <x:v>dev</x:v>
      </x:c>
      <x:c r="AB69" s="6" t="str">
        <x:v>synthetic_from_manual</x:v>
      </x:c>
    </x:row>
    <x:row r="70" ht="115" customHeight="1">
      <x:c r="A70" s="6" t="str">
        <x:v>D0216</x:v>
      </x:c>
      <x:c r="B70" s="6" t="str">
        <x:v>synthetic_from_manual:MANUAL-0371</x:v>
      </x:c>
      <x:c r="C70" s="6" t="str">
        <x:v>{"history":[{"role":"user","text":"Не получается закончить работу с «Оборудование»."},{"role":"assistant","text":"Что происходит при попытке?"}],"user_message":"В типовой базе «Оборудование» работает, а у нас после доработки больше нет. Кто может проверить конфигурацию?"}</x:v>
      </x:c>
      <x:c r="D70" s="6" t="str">
        <x:v>{"product":"1С:УНФ 8. Полиграфия 2","version":"3.0.14.140","retrieval_state":"available","handoff_consent":false,"approval_basis":"user_confirmed_consultant_approval"}</x:v>
      </x:c>
      <x:c r="E70" s="6" t="str">
        <x:v>1С:УНФ 8. Полиграфия 2</x:v>
      </x:c>
      <x:c r="F70" s="6" t="str">
        <x:v>3.0.14.140</x:v>
      </x:c>
      <x:c r="G70" s="6" t="str">
        <x:v>not_reported</x:v>
      </x:c>
      <x:c r="H70" s="6" t="str">
        <x:v>default</x:v>
      </x:c>
      <x:c r="I70" s="6" t="str">
        <x:v>Применимость источников и эталона к 1С:УНФ 8. Полиграфия 2, релиз 3.0.14.140, подтверждена консультантом со слов пользователя.</x:v>
      </x:c>
      <x:c r="J70" s="13" t="str">
        <x:v>1</x:v>
      </x:c>
      <x:c r="K70" s="13" t="str">
        <x:v>5</x:v>
      </x:c>
      <x:c r="L70" s="7" t="b">
        <x:v>0</x:v>
      </x:c>
      <x:c r="M70" s="6" t="str">
        <x:v>diagnosis_required</x:v>
      </x:c>
      <x:c r="N70" s="6" t="str">
        <x:v>[]</x:v>
      </x:c>
      <x:c r="O70" s="7" t="b">
        <x:v>0</x:v>
      </x:c>
      <x:c r="P70" s="6" t="str">
        <x:v>K6</x:v>
      </x:c>
      <x:c r="Q70"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70" s="6" t="str">
        <x:v>["chapter_1"]</x:v>
      </x:c>
      <x:c r="S70" s="6" t="str">
        <x:v>offer_handoff</x:v>
      </x:c>
      <x:c r="T70" s="6" t="str">
        <x:v>["Сообщить об отсутствии подтвержденного решения.","Предложить передачу консультанту."]</x:v>
      </x:c>
      <x:c r="U70" s="6" t="str">
        <x:v>["Еще один диагностический вопрос.","Выдуманная причина или правка рабочей базы.","Сообщение о созданной заявке без подтверждения."]</x:v>
      </x:c>
      <x:c r="V70" s="6" t="str">
        <x:v>[{"source_file":"/Users/elisavetagaponova/Downloads/1С УНФ 8  Полиграфия 2 для 3.0.doc","section":"1.1","extracted_text_line":371,"excerpt":"Информация об используемом полиграфическом оборудовании и его характеристиках хранится в справочнике Оборудование.","approval_basis":"user_confirmed_consultant_approval"},{"corpus_check":"Руководство не содержит состояния клиентской базы, кода расширения или журнала ошибки.","approval_basis":"user_confirmed_consultant_approval"}]</x:v>
      </x:c>
      <x:c r="W70" s="6" t="str">
        <x:v>["Предложена передача; нет дальнейшей диагностики и необоснованного решения."]</x:v>
      </x:c>
      <x:c r="X70" s="6" t="str">
        <x:v>approved</x:v>
      </x:c>
      <x:c r="Y70" s="6" t="str">
        <x:v>Карточка и применимость источников согласованы консультантом; утверждение подтверждено пользователем 25.10.2026.</x:v>
      </x:c>
      <x:c r="Z70" s="6" t="str">
        <x:v>G-5ed6a9d421d94f</x:v>
      </x:c>
      <x:c r="AA70" s="6" t="str">
        <x:v>dev</x:v>
      </x:c>
      <x:c r="AB70" s="6" t="str">
        <x:v>synthetic_from_manual</x:v>
      </x:c>
    </x:row>
    <x:row r="71" ht="115" customHeight="1">
      <x:c r="A71" s="6" t="str">
        <x:v>D0219</x:v>
      </x:c>
      <x:c r="B71" s="6" t="str">
        <x:v>synthetic_from_manual:MANUAL-2264</x:v>
      </x:c>
      <x:c r="C71" s="6" t="str">
        <x:v>{"history":[],"user_message":"Нужно изменить «Заказы готовые к планированию», но я не знаю, с какого поля начать."}</x:v>
      </x:c>
      <x:c r="D71" s="6" t="str">
        <x:v>{"product":"1С:УНФ 8. Полиграфия 2","version":"3.0.14.140","retrieval_state":"available","handoff_consent":false,"approval_basis":"user_confirmed_consultant_approval"}</x:v>
      </x:c>
      <x:c r="E71" s="6" t="str">
        <x:v>1С:УНФ 8. Полиграфия 2</x:v>
      </x:c>
      <x:c r="F71" s="6" t="str">
        <x:v>3.0.14.140</x:v>
      </x:c>
      <x:c r="G71" s="6" t="str">
        <x:v>not_reported</x:v>
      </x:c>
      <x:c r="H71" s="6" t="str">
        <x:v>default</x:v>
      </x:c>
      <x:c r="I71" s="6" t="str">
        <x:v>Применимость источников и эталона к 1С:УНФ 8. Полиграфия 2, релиз 3.0.14.140, подтверждена консультантом со слов пользователя.</x:v>
      </x:c>
      <x:c r="J71" s="13" t="str">
        <x:v>0</x:v>
      </x:c>
      <x:c r="K71" s="13" t="str">
        <x:v>5</x:v>
      </x:c>
      <x:c r="L71" s="7" t="b">
        <x:v>1</x:v>
      </x:c>
      <x:c r="M71" s="6" t="str">
        <x:v>not_applicable</x:v>
      </x:c>
      <x:c r="N71"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71" s="7" t="b">
        <x:v>0</x:v>
      </x:c>
      <x:c r="P71" s="6" t="str">
        <x:v>K3</x:v>
      </x:c>
      <x:c r="Q71" s="6" t="str">
        <x:v>Цель/параметр и результат действия неизвестны; еще один конкретный вопрос может снять неоднозначность, лимит не исчерпан.</x:v>
      </x:c>
      <x:c r="R71" s="6" t="str">
        <x:v>["chapter_5"]</x:v>
      </x:c>
      <x:c r="S71" s="6" t="str">
        <x:v>clarify</x:v>
      </x:c>
      <x:c r="T71" s="6" t="str">
        <x:v>["Какую задачу вы решаете с «Заказы готовые к планированию» и что уже пробовали сделать?"]</x:v>
      </x:c>
      <x:c r="U71" s="6" t="str">
        <x:v>["Угадывание причины или инструкции.","Вопрос о продукте и релизе только из-за отсутствия их в сообщении."]</x:v>
      </x:c>
      <x:c r="V71" s="6" t="str">
        <x:v>[{"source_file":"/Users/elisavetagaponova/Downloads/1С УНФ 8  Полиграфия 2 для 3.0.doc","section":"5.31","extracted_text_line":2264,"excerpt":"Отчет \"Заказы готовые к планированию\" формирует данные о готовности заказов клиентов к постановке в план (документом План производства полиграфии).","approval_basis":"user_confirmed_consultant_approval"}]</x:v>
      </x:c>
      <x:c r="W71" s="6" t="str">
        <x:v>["Задан полезный вопрос о недостающем действии/параметре; нет диагноза.","Не превышен лимит пяти уточнений."]</x:v>
      </x:c>
      <x:c r="X71" s="6" t="str">
        <x:v>approved</x:v>
      </x:c>
      <x:c r="Y71" s="6" t="str">
        <x:v>Карточка и применимость источников согласованы консультантом; утверждение подтверждено пользователем 25.10.2026.</x:v>
      </x:c>
      <x:c r="Z71" s="6" t="str">
        <x:v>G-57f5e6930bcff9</x:v>
      </x:c>
      <x:c r="AA71" s="6" t="str">
        <x:v>dev</x:v>
      </x:c>
      <x:c r="AB71" s="6" t="str">
        <x:v>synthetic_from_manual</x:v>
      </x:c>
    </x:row>
    <x:row r="72" ht="115" customHeight="1">
      <x:c r="A72" s="6" t="str">
        <x:v>D0221</x:v>
      </x:c>
      <x:c r="B72" s="6" t="str">
        <x:v>synthetic_contract_boundary</x:v>
      </x:c>
      <x:c r="C72" s="6" t="str">
        <x:v>{"history":[],"user_message":"Какое слово подойдет для этой подсказки в кроссворде?"}</x:v>
      </x:c>
      <x:c r="D72" s="6" t="str">
        <x:v>{"product":"1С:УНФ 8. Полиграфия 2","version":"3.0.14.140","retrieval_state":"available","handoff_consent":false,"approval_basis":"user_confirmed_consultant_approval"}</x:v>
      </x:c>
      <x:c r="E72" s="6" t="str">
        <x:v>1С:УНФ 8. Полиграфия 2</x:v>
      </x:c>
      <x:c r="F72" s="6" t="str">
        <x:v>3.0.14.140</x:v>
      </x:c>
      <x:c r="G72" s="6" t="str">
        <x:v>not_reported</x:v>
      </x:c>
      <x:c r="H72" s="6" t="str">
        <x:v>default</x:v>
      </x:c>
      <x:c r="I72" s="6" t="str">
        <x:v>Применимость источников и эталона к 1С:УНФ 8. Полиграфия 2, релиз 3.0.14.140, подтверждена консультантом со слов пользователя.</x:v>
      </x:c>
      <x:c r="J72" s="13" t="str">
        <x:v>0</x:v>
      </x:c>
      <x:c r="K72" s="13" t="str">
        <x:v>5</x:v>
      </x:c>
      <x:c r="L72" s="7" t="b">
        <x:v>0</x:v>
      </x:c>
      <x:c r="M72" s="6" t="str">
        <x:v>not_applicable</x:v>
      </x:c>
      <x:c r="N72" s="6" t="str">
        <x:v>[]</x:v>
      </x:c>
      <x:c r="O72" s="6" t="str">
        <x:v>not_applicable</x:v>
      </x:c>
      <x:c r="P72" s="6" t="str">
        <x:v>K1</x:v>
      </x:c>
      <x:c r="Q72" s="6" t="str">
        <x:v>Запрошенная задача явно не относится к работе 1С:Полиграфии и разрешенной документации.</x:v>
      </x:c>
      <x:c r="R72" s="6" t="str">
        <x:v>["out_of_domain"]</x:v>
      </x:c>
      <x:c r="S72" s="6" t="str">
        <x:v>refuse</x:v>
      </x:c>
      <x:c r="T72" s="6" t="str">
        <x:v>["Вежливый отказ и краткое обозначение предметной области бота."]</x:v>
      </x:c>
      <x:c r="U72" s="6" t="str">
        <x:v>["Выполнение посторонней задачи.","Выдуманная ссылка на руководство."]</x:v>
      </x:c>
      <x:c r="V72" s="6" t="str">
        <x:v>[{"source_file":"/Users/elisavetagaponova/Downloads/annotation_guide_classes_v1.md","section":"§5 K1","approval_basis":"user_confirmed_consultant_approval"},{"source_file":"design_doc_kt2.md","section":"§1.3, C05","approval_basis":"user_confirmed_consultant_approval"}]</x:v>
      </x:c>
      <x:c r="W72" s="6" t="str">
        <x:v>["Посторонняя задача не выполняется; отказ вежлив и по-русски."]</x:v>
      </x:c>
      <x:c r="X72" s="6" t="str">
        <x:v>approved</x:v>
      </x:c>
      <x:c r="Y72" s="6" t="str">
        <x:v>Карточка и применимость источников согласованы консультантом; утверждение подтверждено пользователем 25.10.2026.</x:v>
      </x:c>
      <x:c r="Z72" s="6" t="str">
        <x:v>G-3fdec5a0bb693c</x:v>
      </x:c>
      <x:c r="AA72" s="6" t="str">
        <x:v>dev</x:v>
      </x:c>
      <x:c r="AB72" s="6" t="str">
        <x:v>synthetic_contract_boundary</x:v>
      </x:c>
    </x:row>
    <x:row r="73" ht="115" customHeight="1">
      <x:c r="A73" s="6" t="str">
        <x:v>D0231</x:v>
      </x:c>
      <x:c r="B73" s="6" t="str">
        <x:v>synthetic_from_manual:MANUAL-2858</x:v>
      </x:c>
      <x:c r="C73" s="6" t="str">
        <x:v>{"history":[{"role":"user","text":"Не получается закончить работу с «Длина формного вала»."},{"role":"assistant","text":"Что происходит при попытке?"}],"user_message":"В типовой базе «Длина формного вала» работает, а у нас после доработки больше нет. Кто может проверить конфигурацию?"}</x:v>
      </x:c>
      <x:c r="D73" s="6" t="str">
        <x:v>{"product":"1С:УНФ 8. Полиграфия 2","version":"3.0.14.140","retrieval_state":"available","handoff_consent":false,"approval_basis":"user_confirmed_consultant_approval"}</x:v>
      </x:c>
      <x:c r="E73" s="6" t="str">
        <x:v>1С:УНФ 8. Полиграфия 2</x:v>
      </x:c>
      <x:c r="F73" s="6" t="str">
        <x:v>3.0.14.140</x:v>
      </x:c>
      <x:c r="G73" s="6" t="str">
        <x:v>not_reported</x:v>
      </x:c>
      <x:c r="H73" s="6" t="str">
        <x:v>default</x:v>
      </x:c>
      <x:c r="I73" s="6" t="str">
        <x:v>Применимость источников и эталона к 1С:УНФ 8. Полиграфия 2, релиз 3.0.14.140, подтверждена консультантом со слов пользователя.</x:v>
      </x:c>
      <x:c r="J73" s="13" t="str">
        <x:v>1</x:v>
      </x:c>
      <x:c r="K73" s="13" t="str">
        <x:v>5</x:v>
      </x:c>
      <x:c r="L73" s="7" t="b">
        <x:v>0</x:v>
      </x:c>
      <x:c r="M73" s="6" t="str">
        <x:v>diagnosis_required</x:v>
      </x:c>
      <x:c r="N73" s="6" t="str">
        <x:v>[]</x:v>
      </x:c>
      <x:c r="O73" s="7" t="b">
        <x:v>0</x:v>
      </x:c>
      <x:c r="P73" s="6" t="str">
        <x:v>K6</x:v>
      </x:c>
      <x:c r="Q73"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73" s="6" t="str">
        <x:v>["chapter_8"]</x:v>
      </x:c>
      <x:c r="S73" s="6" t="str">
        <x:v>offer_handoff</x:v>
      </x:c>
      <x:c r="T73" s="6" t="str">
        <x:v>["Сообщить об отсутствии подтвержденного решения.","Предложить передачу консультанту."]</x:v>
      </x:c>
      <x:c r="U73" s="6" t="str">
        <x:v>["Еще один диагностический вопрос.","Выдуманная причина или правка рабочей базы.","Сообщение о созданной заявке без подтверждения."]</x:v>
      </x:c>
      <x:c r="V73" s="6" t="str">
        <x:v>[{"source_file":"/Users/elisavetagaponova/Downloads/1С УНФ 8  Полиграфия 2 для 3.0.doc","section":"8.1.6","extracted_text_line":2858,"excerpt":"В справочнике \"Длина формного вала\" хранятся сведения о характеристике оборудования флексопечати – длина формного вала.","approval_basis":"user_confirmed_consultant_approval"},{"corpus_check":"Руководство не содержит состояния клиентской базы, кода расширения или журнала ошибки.","approval_basis":"user_confirmed_consultant_approval"}]</x:v>
      </x:c>
      <x:c r="W73" s="6" t="str">
        <x:v>["Предложена передача; нет дальнейшей диагностики и необоснованного решения."]</x:v>
      </x:c>
      <x:c r="X73" s="6" t="str">
        <x:v>approved</x:v>
      </x:c>
      <x:c r="Y73" s="6" t="str">
        <x:v>Карточка и применимость источников согласованы консультантом; утверждение подтверждено пользователем 25.10.2026.</x:v>
      </x:c>
      <x:c r="Z73" s="6" t="str">
        <x:v>G-af38582877579f</x:v>
      </x:c>
      <x:c r="AA73" s="6" t="str">
        <x:v>dev</x:v>
      </x:c>
      <x:c r="AB73" s="6" t="str">
        <x:v>synthetic_from_manual</x:v>
      </x:c>
    </x:row>
    <x:row r="74" ht="115" customHeight="1">
      <x:c r="A74" s="6" t="str">
        <x:v>D0235</x:v>
      </x:c>
      <x:c r="B74" s="6" t="str">
        <x:v>synthetic_from_manual:MANUAL-2192</x:v>
      </x:c>
      <x:c r="C74" s="6" t="str">
        <x:v>{"history":[{"role":"user","text":"Не получается закончить работу с «Ведомость по браку в производстве»."},{"role":"assistant","text":"Что происходит при попытке?"}],"user_message":"В одном филиале «Ведомость по браку в производстве» работает, в другом нет. Можем передать специалисту копию базы для сравнения?"}</x:v>
      </x:c>
      <x:c r="D74" s="6" t="str">
        <x:v>{"product":"1С:УНФ 8. Полиграфия 2","version":"3.0.14.140","retrieval_state":"available","handoff_consent":false,"approval_basis":"user_confirmed_consultant_approval"}</x:v>
      </x:c>
      <x:c r="E74" s="6" t="str">
        <x:v>1С:УНФ 8. Полиграфия 2</x:v>
      </x:c>
      <x:c r="F74" s="6" t="str">
        <x:v>3.0.14.140</x:v>
      </x:c>
      <x:c r="G74" s="6" t="str">
        <x:v>not_reported</x:v>
      </x:c>
      <x:c r="H74" s="6" t="str">
        <x:v>default</x:v>
      </x:c>
      <x:c r="I74" s="6" t="str">
        <x:v>Применимость источников и эталона к 1С:УНФ 8. Полиграфия 2, релиз 3.0.14.140, подтверждена консультантом со слов пользователя.</x:v>
      </x:c>
      <x:c r="J74" s="13" t="str">
        <x:v>1</x:v>
      </x:c>
      <x:c r="K74" s="13" t="str">
        <x:v>5</x:v>
      </x:c>
      <x:c r="L74" s="7" t="b">
        <x:v>0</x:v>
      </x:c>
      <x:c r="M74" s="6" t="str">
        <x:v>diagnosis_required</x:v>
      </x:c>
      <x:c r="N74" s="6" t="str">
        <x:v>[]</x:v>
      </x:c>
      <x:c r="O74" s="7" t="b">
        <x:v>0</x:v>
      </x:c>
      <x:c r="P74" s="6" t="str">
        <x:v>K6</x:v>
      </x:c>
      <x:c r="Q74"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74" s="6" t="str">
        <x:v>["chapter_5"]</x:v>
      </x:c>
      <x:c r="S74" s="6" t="str">
        <x:v>offer_handoff</x:v>
      </x:c>
      <x:c r="T74" s="6" t="str">
        <x:v>["Сообщить об отсутствии подтвержденного решения.","Предложить передачу консультанту."]</x:v>
      </x:c>
      <x:c r="U74" s="6" t="str">
        <x:v>["Еще один диагностический вопрос.","Выдуманная причина или правка рабочей базы.","Сообщение о созданной заявке без подтверждения."]</x:v>
      </x:c>
      <x:c r="V74" s="6" t="str">
        <x:v>[{"source_file":"/Users/elisavetagaponova/Downloads/1С УНФ 8  Полиграфия 2 для 3.0.doc","section":"5.19","extracted_text_line":2192,"excerpt":"С помощью отчета можно проанализировать количество бракованного материала на производстве. Данные о браке можно вывести с детализацией по: операциям, причинам брака и документам \"Перемещение запасов\" и \"Производство\".","approval_basis":"user_confirmed_consultant_approval"},{"corpus_check":"Руководство не содержит состояния клиентской базы, кода расширения или журнала ошибки.","approval_basis":"user_confirmed_consultant_approval"}]</x:v>
      </x:c>
      <x:c r="W74" s="6" t="str">
        <x:v>["Предложена передача; нет дальнейшей диагностики и необоснованного решения."]</x:v>
      </x:c>
      <x:c r="X74" s="6" t="str">
        <x:v>approved</x:v>
      </x:c>
      <x:c r="Y74" s="6" t="str">
        <x:v>Карточка и применимость источников согласованы консультантом; утверждение подтверждено пользователем 25.10.2026.</x:v>
      </x:c>
      <x:c r="Z74" s="6" t="str">
        <x:v>G-27d0f533f0db51</x:v>
      </x:c>
      <x:c r="AA74" s="6" t="str">
        <x:v>dev</x:v>
      </x:c>
      <x:c r="AB74" s="6" t="str">
        <x:v>synthetic_from_manual</x:v>
      </x:c>
    </x:row>
    <x:row r="75" ht="115" customHeight="1">
      <x:c r="A75" s="6" t="str">
        <x:v>D0236</x:v>
      </x:c>
      <x:c r="B75" s="6" t="str">
        <x:v>synthetic_from_manual:MANUAL-3418</x:v>
      </x:c>
      <x:c r="C75" s="6" t="str">
        <x:v>{"history":[{"role":"user","text":"Нужна подсказка по работе в программе."},{"role":"assistant","text":"Назовите объект и конкретный вопрос по нему, пожалуйста."}],"user_message":"Площадь рулона в паллетном листе должна считаться автоматически. Какие размеры заполнить?"}</x:v>
      </x:c>
      <x:c r="D75" s="6" t="str">
        <x:v>{"product":"1С:УНФ 8. Полиграфия 2","version":"3.0.14.140","retrieval_state":"available","handoff_consent":false,"approval_basis":"user_confirmed_consultant_approval"}</x:v>
      </x:c>
      <x:c r="E75" s="6" t="str">
        <x:v>1С:УНФ 8. Полиграфия 2</x:v>
      </x:c>
      <x:c r="F75" s="6" t="str">
        <x:v>3.0.14.140</x:v>
      </x:c>
      <x:c r="G75" s="6" t="str">
        <x:v>not_reported</x:v>
      </x:c>
      <x:c r="H75" s="6" t="str">
        <x:v>default</x:v>
      </x:c>
      <x:c r="I75" s="6" t="str">
        <x:v>Применимость источников и эталона к 1С:УНФ 8. Полиграфия 2, релиз 3.0.14.140, подтверждена консультантом со слов пользователя.</x:v>
      </x:c>
      <x:c r="J75" s="13" t="str">
        <x:v>1</x:v>
      </x:c>
      <x:c r="K75" s="13" t="str">
        <x:v>5</x:v>
      </x:c>
      <x:c r="L75" s="7" t="b">
        <x:v>0</x:v>
      </x:c>
      <x:c r="M75" s="6" t="str">
        <x:v>not_applicable</x:v>
      </x:c>
      <x:c r="N75" s="6" t="str">
        <x:v>[]</x:v>
      </x:c>
      <x:c r="O75" s="7" t="b">
        <x:v>1</x:v>
      </x:c>
      <x:c r="P75" s="6" t="str">
        <x:v>K5</x:v>
      </x:c>
      <x:c r="Q75" s="6" t="str">
        <x:v>После ответа на уточнение предмет вопроса известен, а приведенный фрагмент руководства дает ответ.</x:v>
      </x:c>
      <x:c r="R75" s="6" t="str">
        <x:v>["chapter_11"]</x:v>
      </x:c>
      <x:c r="S75" s="6" t="str">
        <x:v>answer</x:v>
      </x:c>
      <x:c r="T75" s="6" t="str">
        <x:v>["Ответ по уточненному объекту.","Источник: руководство и раздел."]</x:v>
      </x:c>
      <x:c r="U75" s="6" t="str">
        <x:v>["Повторное выяснение уже названного объекта.","Выдуманные шаги."]</x:v>
      </x:c>
      <x:c r="V75" s="6" t="str">
        <x:v>[{"source_file":"/Users/elisavetagaponova/Downloads/1С УНФ 8  Полиграфия 2 для 3.0.doc","section":"Глава 11","extracted_text_line":3418,"excerpt":"• Площадь (м2) – значение реквизита рассчитывается автоматически после заполнения полей Ширина, мм и Длина (м).","approval_basis":"user_confirmed_consultant_approval"}]</x:v>
      </x:c>
      <x:c r="W75" s="6" t="str">
        <x:v>["Дан подтвержденный ответ с релевантным источником, без нового уточнения."]</x:v>
      </x:c>
      <x:c r="X75" s="6" t="str">
        <x:v>approved</x:v>
      </x:c>
      <x:c r="Y75" s="6" t="str">
        <x:v>Карточка и применимость источников согласованы консультантом; утверждение подтверждено пользователем 25.10.2026.</x:v>
      </x:c>
      <x:c r="Z75" s="6" t="str">
        <x:v>G-23c863346e7d3c</x:v>
      </x:c>
      <x:c r="AA75" s="6" t="str">
        <x:v>dev</x:v>
      </x:c>
      <x:c r="AB75" s="6" t="str">
        <x:v>synthetic_from_manual</x:v>
      </x:c>
    </x:row>
    <x:row r="76" ht="115" customHeight="1">
      <x:c r="A76" s="6" t="str">
        <x:v>D0237</x:v>
      </x:c>
      <x:c r="B76" s="6" t="str">
        <x:v>synthetic_from_manual:MANUAL-2641</x:v>
      </x:c>
      <x:c r="C76" s="6" t="str">
        <x:v>{"history":[],"user_message":"Нужно изменить «Листы на приладку и брак», но я не знаю, с какого поля начать."}</x:v>
      </x:c>
      <x:c r="D76" s="6" t="str">
        <x:v>{"product":"1С:УНФ 8. Полиграфия 2","version":"3.0.14.140","retrieval_state":"available","handoff_consent":false,"approval_basis":"user_confirmed_consultant_approval"}</x:v>
      </x:c>
      <x:c r="E76" s="6" t="str">
        <x:v>1С:УНФ 8. Полиграфия 2</x:v>
      </x:c>
      <x:c r="F76" s="6" t="str">
        <x:v>3.0.14.140</x:v>
      </x:c>
      <x:c r="G76" s="6" t="str">
        <x:v>not_reported</x:v>
      </x:c>
      <x:c r="H76" s="6" t="str">
        <x:v>default</x:v>
      </x:c>
      <x:c r="I76" s="6" t="str">
        <x:v>Применимость источников и эталона к 1С:УНФ 8. Полиграфия 2, релиз 3.0.14.140, подтверждена консультантом со слов пользователя.</x:v>
      </x:c>
      <x:c r="J76" s="13" t="str">
        <x:v>0</x:v>
      </x:c>
      <x:c r="K76" s="13" t="str">
        <x:v>5</x:v>
      </x:c>
      <x:c r="L76" s="7" t="b">
        <x:v>1</x:v>
      </x:c>
      <x:c r="M76" s="6" t="str">
        <x:v>not_applicable</x:v>
      </x:c>
      <x:c r="N76"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76" s="7" t="b">
        <x:v>0</x:v>
      </x:c>
      <x:c r="P76" s="6" t="str">
        <x:v>K3</x:v>
      </x:c>
      <x:c r="Q76" s="6" t="str">
        <x:v>Цель/параметр и результат действия неизвестны; еще один конкретный вопрос может снять неоднозначность, лимит не исчерпан.</x:v>
      </x:c>
      <x:c r="R76" s="6" t="str">
        <x:v>["chapter_7"]</x:v>
      </x:c>
      <x:c r="S76" s="6" t="str">
        <x:v>clarify</x:v>
      </x:c>
      <x:c r="T76" s="6" t="str">
        <x:v>["Какую задачу вы решаете с «Листы на приладку и брак» и что уже пробовали сделать?"]</x:v>
      </x:c>
      <x:c r="U76" s="6" t="str">
        <x:v>["Угадывание причины или инструкции.","Вопрос о продукте и релизе только из-за отсутствия их в сообщении."]</x:v>
      </x:c>
      <x:c r="V76" s="6" t="str">
        <x:v>[{"source_file":"/Users/elisavetagaponova/Downloads/1С УНФ 8  Полиграфия 2 для 3.0.doc","section":"Глава 7","extracted_text_line":2641,"excerpt":"Количество листов, предусмотренных на приладку и брак печати, зависит от настроек параметров учета.","approval_basis":"user_confirmed_consultant_approval"}]</x:v>
      </x:c>
      <x:c r="W76" s="6" t="str">
        <x:v>["Задан полезный вопрос о недостающем действии/параметре; нет диагноза.","Не превышен лимит пяти уточнений."]</x:v>
      </x:c>
      <x:c r="X76" s="6" t="str">
        <x:v>approved</x:v>
      </x:c>
      <x:c r="Y76" s="6" t="str">
        <x:v>Карточка и применимость источников согласованы консультантом; утверждение подтверждено пользователем 25.10.2026.</x:v>
      </x:c>
      <x:c r="Z76" s="6" t="str">
        <x:v>G-dd9222ef6e148c</x:v>
      </x:c>
      <x:c r="AA76" s="6" t="str">
        <x:v>dev</x:v>
      </x:c>
      <x:c r="AB76" s="6" t="str">
        <x:v>synthetic_from_manual</x:v>
      </x:c>
    </x:row>
    <x:row r="77" ht="115" customHeight="1">
      <x:c r="A77" s="6" t="str">
        <x:v>D0240</x:v>
      </x:c>
      <x:c r="B77" s="6" t="str">
        <x:v>synthetic_from_manual:MANUAL-0895</x:v>
      </x:c>
      <x:c r="C77" s="6" t="str">
        <x:v>{"history":[],"user_message":"Открываю «Штампы» и не понимаю, что выбрать дальше. Подскажите?"}</x:v>
      </x:c>
      <x:c r="D77" s="6" t="str">
        <x:v>{"product":"1С:УНФ 8. Полиграфия 2","version":"3.0.14.140","retrieval_state":"available","handoff_consent":false,"approval_basis":"user_confirmed_consultant_approval"}</x:v>
      </x:c>
      <x:c r="E77" s="6" t="str">
        <x:v>1С:УНФ 8. Полиграфия 2</x:v>
      </x:c>
      <x:c r="F77" s="6" t="str">
        <x:v>3.0.14.140</x:v>
      </x:c>
      <x:c r="G77" s="6" t="str">
        <x:v>not_reported</x:v>
      </x:c>
      <x:c r="H77" s="6" t="str">
        <x:v>default</x:v>
      </x:c>
      <x:c r="I77" s="6" t="str">
        <x:v>Применимость источников и эталона к 1С:УНФ 8. Полиграфия 2, релиз 3.0.14.140, подтверждена консультантом со слов пользователя.</x:v>
      </x:c>
      <x:c r="J77" s="13" t="str">
        <x:v>0</x:v>
      </x:c>
      <x:c r="K77" s="13" t="str">
        <x:v>5</x:v>
      </x:c>
      <x:c r="L77" s="7" t="b">
        <x:v>1</x:v>
      </x:c>
      <x:c r="M77" s="6" t="str">
        <x:v>not_applicable</x:v>
      </x:c>
      <x:c r="N77"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77" s="7" t="b">
        <x:v>0</x:v>
      </x:c>
      <x:c r="P77" s="6" t="str">
        <x:v>K3</x:v>
      </x:c>
      <x:c r="Q77" s="6" t="str">
        <x:v>Цель/параметр и результат действия неизвестны; еще один конкретный вопрос может снять неоднозначность, лимит не исчерпан.</x:v>
      </x:c>
      <x:c r="R77" s="6" t="str">
        <x:v>["chapter_1"]</x:v>
      </x:c>
      <x:c r="S77" s="6" t="str">
        <x:v>clarify</x:v>
      </x:c>
      <x:c r="T77" s="6" t="str">
        <x:v>["Какую задачу вы решаете с «Штампы» и что уже пробовали сделать?"]</x:v>
      </x:c>
      <x:c r="U77" s="6" t="str">
        <x:v>["Угадывание причины или инструкции.","Вопрос о продукте и релизе только из-за отсутствия их в сообщении."]</x:v>
      </x:c>
      <x:c r="V77" s="6" t="str">
        <x:v>[{"source_file":"/Users/elisavetagaponova/Downloads/1С УНФ 8  Полиграфия 2 для 3.0.doc","section":"1.18","extracted_text_line":895,"excerpt":"В справочнике хранятся сведения о штампах, которые используются для потспрессовых операций при изготовлении продукции с нестандартным, оригинальным видом. Справочник имеет две формы представления информации: форму списка и форму элемента. Форма списка имеет иерархическую структуру и позволяет создавать неограниченное число вложенных каталогов.","approval_basis":"user_confirmed_consultant_approval"}]</x:v>
      </x:c>
      <x:c r="W77" s="6" t="str">
        <x:v>["Задан полезный вопрос о недостающем действии/параметре; нет диагноза.","Не превышен лимит пяти уточнений."]</x:v>
      </x:c>
      <x:c r="X77" s="6" t="str">
        <x:v>approved</x:v>
      </x:c>
      <x:c r="Y77" s="6" t="str">
        <x:v>Карточка и применимость источников согласованы консультантом; утверждение подтверждено пользователем 25.10.2026.</x:v>
      </x:c>
      <x:c r="Z77" s="6" t="str">
        <x:v>G-d29125e2db89e8</x:v>
      </x:c>
      <x:c r="AA77" s="6" t="str">
        <x:v>dev</x:v>
      </x:c>
      <x:c r="AB77" s="6" t="str">
        <x:v>synthetic_from_manual</x:v>
      </x:c>
    </x:row>
    <x:row r="78" ht="115" customHeight="1">
      <x:c r="A78" s="6" t="str">
        <x:v>D0241</x:v>
      </x:c>
      <x:c r="B78" s="6" t="str">
        <x:v>synthetic_from_manual:MANUAL-0469</x:v>
      </x:c>
      <x:c r="C78" s="6" t="str">
        <x:v>{"history":[{"role":"user","text":"Не получается закончить работу с «Операции»."},{"role":"assistant","text":"Что происходит при попытке?"}],"user_message":"В одном филиале «Операции» работает, в другом нет. Можем передать специалисту копию базы для сравнения?"}</x:v>
      </x:c>
      <x:c r="D78" s="6" t="str">
        <x:v>{"product":"1С:УНФ 8. Полиграфия 2","version":"3.0.14.140","retrieval_state":"available","handoff_consent":false,"approval_basis":"user_confirmed_consultant_approval"}</x:v>
      </x:c>
      <x:c r="E78" s="6" t="str">
        <x:v>1С:УНФ 8. Полиграфия 2</x:v>
      </x:c>
      <x:c r="F78" s="6" t="str">
        <x:v>3.0.14.140</x:v>
      </x:c>
      <x:c r="G78" s="6" t="str">
        <x:v>not_reported</x:v>
      </x:c>
      <x:c r="H78" s="6" t="str">
        <x:v>default</x:v>
      </x:c>
      <x:c r="I78" s="6" t="str">
        <x:v>Применимость источников и эталона к 1С:УНФ 8. Полиграфия 2, релиз 3.0.14.140, подтверждена консультантом со слов пользователя.</x:v>
      </x:c>
      <x:c r="J78" s="13" t="str">
        <x:v>1</x:v>
      </x:c>
      <x:c r="K78" s="13" t="str">
        <x:v>5</x:v>
      </x:c>
      <x:c r="L78" s="7" t="b">
        <x:v>0</x:v>
      </x:c>
      <x:c r="M78" s="6" t="str">
        <x:v>diagnosis_required</x:v>
      </x:c>
      <x:c r="N78" s="6" t="str">
        <x:v>[]</x:v>
      </x:c>
      <x:c r="O78" s="7" t="b">
        <x:v>0</x:v>
      </x:c>
      <x:c r="P78" s="6" t="str">
        <x:v>K6</x:v>
      </x:c>
      <x:c r="Q78"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78" s="6" t="str">
        <x:v>["chapter_1"]</x:v>
      </x:c>
      <x:c r="S78" s="6" t="str">
        <x:v>offer_handoff</x:v>
      </x:c>
      <x:c r="T78" s="6" t="str">
        <x:v>["Сообщить об отсутствии подтвержденного решения.","Предложить передачу консультанту."]</x:v>
      </x:c>
      <x:c r="U78" s="6" t="str">
        <x:v>["Еще один диагностический вопрос.","Выдуманная причина или правка рабочей базы.","Сообщение о созданной заявке без подтверждения."]</x:v>
      </x:c>
      <x:c r="V78" s="6" t="str">
        <x:v>[{"source_file":"/Users/elisavetagaponova/Downloads/1С УНФ 8  Полиграфия 2 для 3.0.doc","section":"1.6","extracted_text_line":469,"excerpt":"Информация о видах технологических операций в полиграфии и их характеристиках хранится в справочнике Операции. От полноты и корректности заполнения данного справочника во многом зависит правильность расчета полиграфического 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78" s="6" t="str">
        <x:v>["Предложена передача; нет дальнейшей диагностики и необоснованного решения."]</x:v>
      </x:c>
      <x:c r="X78" s="6" t="str">
        <x:v>approved</x:v>
      </x:c>
      <x:c r="Y78" s="6" t="str">
        <x:v>Карточка и применимость источников согласованы консультантом; утверждение подтверждено пользователем 25.10.2026.</x:v>
      </x:c>
      <x:c r="Z78" s="6" t="str">
        <x:v>G-52163f3ecfbe74</x:v>
      </x:c>
      <x:c r="AA78" s="6" t="str">
        <x:v>dev</x:v>
      </x:c>
      <x:c r="AB78" s="6" t="str">
        <x:v>synthetic_from_manual</x:v>
      </x:c>
    </x:row>
    <x:row r="79" ht="115" customHeight="1">
      <x:c r="A79" s="6" t="str">
        <x:v>D0248</x:v>
      </x:c>
      <x:c r="B79" s="6" t="str">
        <x:v>synthetic_from_manual:MANUAL-2339</x:v>
      </x:c>
      <x:c r="C79" s="6" t="str">
        <x:v>{"history":[{"role":"user","text":"Не получается закончить работу с «Стоимость печатной операции»."},{"role":"assistant","text":"Что происходит при попытке?"}],"user_message":"В типовой базе «Стоимость печатной операции» работает, а у нас после доработки больше нет. Кто может проверить конфигурацию?"}</x:v>
      </x:c>
      <x:c r="D79" s="6" t="str">
        <x:v>{"product":"1С:УНФ 8. Полиграфия 2","version":"3.0.14.140","retrieval_state":"available","handoff_consent":false,"approval_basis":"user_confirmed_consultant_approval"}</x:v>
      </x:c>
      <x:c r="E79" s="6" t="str">
        <x:v>1С:УНФ 8. Полиграфия 2</x:v>
      </x:c>
      <x:c r="F79" s="6" t="str">
        <x:v>3.0.14.140</x:v>
      </x:c>
      <x:c r="G79" s="6" t="str">
        <x:v>not_reported</x:v>
      </x:c>
      <x:c r="H79" s="6" t="str">
        <x:v>default</x:v>
      </x:c>
      <x:c r="I79" s="6" t="str">
        <x:v>Применимость источников и эталона к 1С:УНФ 8. Полиграфия 2, релиз 3.0.14.140, подтверждена консультантом со слов пользователя.</x:v>
      </x:c>
      <x:c r="J79" s="13" t="str">
        <x:v>1</x:v>
      </x:c>
      <x:c r="K79" s="13" t="str">
        <x:v>5</x:v>
      </x:c>
      <x:c r="L79" s="7" t="b">
        <x:v>0</x:v>
      </x:c>
      <x:c r="M79" s="6" t="str">
        <x:v>diagnosis_required</x:v>
      </x:c>
      <x:c r="N79" s="6" t="str">
        <x:v>[]</x:v>
      </x:c>
      <x:c r="O79" s="7" t="b">
        <x:v>0</x:v>
      </x:c>
      <x:c r="P79" s="6" t="str">
        <x:v>K6</x:v>
      </x:c>
      <x:c r="Q79"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79" s="6" t="str">
        <x:v>["chapter_6"]</x:v>
      </x:c>
      <x:c r="S79" s="6" t="str">
        <x:v>offer_handoff</x:v>
      </x:c>
      <x:c r="T79" s="6" t="str">
        <x:v>["Сообщить об отсутствии подтвержденного решения.","Предложить передачу консультанту."]</x:v>
      </x:c>
      <x:c r="U79" s="6" t="str">
        <x:v>["Еще один диагностический вопрос.","Выдуманная причина или правка рабочей базы.","Сообщение о созданной заявке без подтверждения."]</x:v>
      </x:c>
      <x:c r="V79" s="6" t="str">
        <x:v>[{"source_file":"/Users/elisavetagaponova/Downloads/1С УНФ 8  Полиграфия 2 для 3.0.doc","section":"Глава 6","extracted_text_line":2339,"excerpt":"Для печатной операции предусмотрено два варианта задания стоимости: по тиражу и по времени печати. Приведем несколько примеров расчета.","approval_basis":"user_confirmed_consultant_approval"},{"corpus_check":"Руководство не содержит состояния клиентской базы, кода расширения или журнала ошибки.","approval_basis":"user_confirmed_consultant_approval"}]</x:v>
      </x:c>
      <x:c r="W79" s="6" t="str">
        <x:v>["Предложена передача; нет дальнейшей диагностики и необоснованного решения."]</x:v>
      </x:c>
      <x:c r="X79" s="6" t="str">
        <x:v>approved</x:v>
      </x:c>
      <x:c r="Y79" s="6" t="str">
        <x:v>Карточка и применимость источников согласованы консультантом; утверждение подтверждено пользователем 25.10.2026.</x:v>
      </x:c>
      <x:c r="Z79" s="6" t="str">
        <x:v>G-0bc47fccfc58c4</x:v>
      </x:c>
      <x:c r="AA79" s="6" t="str">
        <x:v>dev</x:v>
      </x:c>
      <x:c r="AB79" s="6" t="str">
        <x:v>synthetic_from_manual</x:v>
      </x:c>
    </x:row>
    <x:row r="80" ht="115" customHeight="1">
      <x:c r="A80" s="6" t="str">
        <x:v>D0249</x:v>
      </x:c>
      <x:c r="B80" s="6" t="str">
        <x:v>synthetic_from_manual:MANUAL-2251</x:v>
      </x:c>
      <x:c r="C80" s="6" t="str">
        <x:v>{"history":[{"role":"user","text":"Подскажите по теме «Диаграмма загрузки рабочих центров»."},{"role":"assistant","text":"Что именно вам нужно узнать по этой теме?"}],"user_message":"На какие даты загружен выбранный рабочий центр? Где посмотреть график?"}</x:v>
      </x:c>
      <x:c r="D80" s="6" t="str">
        <x:v>{"product":"1С:УНФ 8. Полиграфия 2","version":"3.0.14.140","retrieval_state":"available","handoff_consent":false,"approval_basis":"user_confirmed_consultant_approval"}</x:v>
      </x:c>
      <x:c r="E80" s="6" t="str">
        <x:v>1С:УНФ 8. Полиграфия 2</x:v>
      </x:c>
      <x:c r="F80" s="6" t="str">
        <x:v>3.0.14.140</x:v>
      </x:c>
      <x:c r="G80" s="6" t="str">
        <x:v>not_reported</x:v>
      </x:c>
      <x:c r="H80" s="6" t="str">
        <x:v>default</x:v>
      </x:c>
      <x:c r="I80" s="6" t="str">
        <x:v>Применимость источников и эталона к 1С:УНФ 8. Полиграфия 2, релиз 3.0.14.140, подтверждена консультантом со слов пользователя.</x:v>
      </x:c>
      <x:c r="J80" s="13" t="str">
        <x:v>1</x:v>
      </x:c>
      <x:c r="K80" s="13" t="str">
        <x:v>5</x:v>
      </x:c>
      <x:c r="L80" s="7" t="b">
        <x:v>0</x:v>
      </x:c>
      <x:c r="M80" s="6" t="str">
        <x:v>not_applicable</x:v>
      </x:c>
      <x:c r="N80" s="6" t="str">
        <x:v>[]</x:v>
      </x:c>
      <x:c r="O80" s="7" t="b">
        <x:v>1</x:v>
      </x:c>
      <x:c r="P80" s="6" t="str">
        <x:v>K5</x:v>
      </x:c>
      <x:c r="Q80" s="6" t="str">
        <x:v>После ответа на уточнение предмет вопроса известен, а приведенный фрагмент руководства дает ответ.</x:v>
      </x:c>
      <x:c r="R80" s="6" t="str">
        <x:v>["chapter_5"]</x:v>
      </x:c>
      <x:c r="S80" s="6" t="str">
        <x:v>answer</x:v>
      </x:c>
      <x:c r="T80" s="6" t="str">
        <x:v>["Ответ по уточненному объекту.","Источник: руководство и раздел."]</x:v>
      </x:c>
      <x:c r="U80" s="6" t="str">
        <x:v>["Повторное выяснение уже названного объекта.","Выдуманные шаги."]</x:v>
      </x:c>
      <x:c r="V80" s="6" t="str">
        <x:v>[{"source_file":"/Users/elisavetagaponova/Downloads/1С УНФ 8  Полиграфия 2 для 3.0.doc","section":"5.28","extracted_text_line":2251,"excerpt":"Отчет \"Диаграмма загрузки рабочих центров\". В нем можно настроить отборы по рабочим центрам, заказам покупателям и конкретным расчетам заказа. Отчет представляет собой графическую диаграмму графика загрузки рабочих центров по датам.","approval_basis":"user_confirmed_consultant_approval"}]</x:v>
      </x:c>
      <x:c r="W80" s="6" t="str">
        <x:v>["Дан подтвержденный ответ с релевантным источником, без нового уточнения."]</x:v>
      </x:c>
      <x:c r="X80" s="6" t="str">
        <x:v>approved</x:v>
      </x:c>
      <x:c r="Y80" s="6" t="str">
        <x:v>Карточка и применимость источников согласованы консультантом; утверждение подтверждено пользователем 25.10.2026.</x:v>
      </x:c>
      <x:c r="Z80" s="6" t="str">
        <x:v>G-b64194184e3b7e</x:v>
      </x:c>
      <x:c r="AA80" s="6" t="str">
        <x:v>dev</x:v>
      </x:c>
      <x:c r="AB80" s="6" t="str">
        <x:v>synthetic_from_manual</x:v>
      </x:c>
    </x:row>
    <x:row r="81" ht="115" customHeight="1">
      <x:c r="A81" s="6" t="str">
        <x:v>D0252</x:v>
      </x:c>
      <x:c r="B81" s="6" t="str">
        <x:v>synthetic_from_manual:MANUAL-0895</x:v>
      </x:c>
      <x:c r="C81" s="6" t="str">
        <x:v>{"history":[{"role":"user","text":"Не получается закончить работу с «Штампы»."},{"role":"assistant","text":"Что происходит при попытке?"}],"user_message":"В одном филиале «Штампы» работает, в другом нет. Можем передать специалисту копию базы для сравнения?"}</x:v>
      </x:c>
      <x:c r="D81" s="6" t="str">
        <x:v>{"product":"1С:УНФ 8. Полиграфия 2","version":"3.0.14.140","retrieval_state":"available","handoff_consent":false,"approval_basis":"user_confirmed_consultant_approval"}</x:v>
      </x:c>
      <x:c r="E81" s="6" t="str">
        <x:v>1С:УНФ 8. Полиграфия 2</x:v>
      </x:c>
      <x:c r="F81" s="6" t="str">
        <x:v>3.0.14.140</x:v>
      </x:c>
      <x:c r="G81" s="6" t="str">
        <x:v>not_reported</x:v>
      </x:c>
      <x:c r="H81" s="6" t="str">
        <x:v>default</x:v>
      </x:c>
      <x:c r="I81" s="6" t="str">
        <x:v>Применимость источников и эталона к 1С:УНФ 8. Полиграфия 2, релиз 3.0.14.140, подтверждена консультантом со слов пользователя.</x:v>
      </x:c>
      <x:c r="J81" s="13" t="str">
        <x:v>1</x:v>
      </x:c>
      <x:c r="K81" s="13" t="str">
        <x:v>5</x:v>
      </x:c>
      <x:c r="L81" s="7" t="b">
        <x:v>0</x:v>
      </x:c>
      <x:c r="M81" s="6" t="str">
        <x:v>diagnosis_required</x:v>
      </x:c>
      <x:c r="N81" s="6" t="str">
        <x:v>[]</x:v>
      </x:c>
      <x:c r="O81" s="7" t="b">
        <x:v>0</x:v>
      </x:c>
      <x:c r="P81" s="6" t="str">
        <x:v>K6</x:v>
      </x:c>
      <x:c r="Q81"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81" s="6" t="str">
        <x:v>["chapter_1"]</x:v>
      </x:c>
      <x:c r="S81" s="6" t="str">
        <x:v>offer_handoff</x:v>
      </x:c>
      <x:c r="T81" s="6" t="str">
        <x:v>["Сообщить об отсутствии подтвержденного решения.","Предложить передачу консультанту."]</x:v>
      </x:c>
      <x:c r="U81" s="6" t="str">
        <x:v>["Еще один диагностический вопрос.","Выдуманная причина или правка рабочей базы.","Сообщение о созданной заявке без подтверждения."]</x:v>
      </x:c>
      <x:c r="V81" s="6" t="str">
        <x:v>[{"source_file":"/Users/elisavetagaponova/Downloads/1С УНФ 8  Полиграфия 2 для 3.0.doc","section":"1.18","extracted_text_line":895,"excerpt":"В справочнике хранятся сведения о штампах, которые используются для потспрессовых операций при изготовлении продукции с нестандартным, оригинальным видом. Справочник имеет две формы представления информации: форму списка и форму элемента. Форма списка имеет иерархическую структуру и позволяет создавать неограниченное число вложенных каталогов.","approval_basis":"user_confirmed_consultant_approval"},{"corpus_check":"Руководство не содержит состояния клиентской базы, кода расширения или журнала ошибки.","approval_basis":"user_confirmed_consultant_approval"}]</x:v>
      </x:c>
      <x:c r="W81" s="6" t="str">
        <x:v>["Предложена передача; нет дальнейшей диагностики и необоснованного решения."]</x:v>
      </x:c>
      <x:c r="X81" s="6" t="str">
        <x:v>approved</x:v>
      </x:c>
      <x:c r="Y81" s="6" t="str">
        <x:v>Карточка и применимость источников согласованы консультантом; утверждение подтверждено пользователем 25.10.2026.</x:v>
      </x:c>
      <x:c r="Z81" s="6" t="str">
        <x:v>G-d29125e2db89e8</x:v>
      </x:c>
      <x:c r="AA81" s="6" t="str">
        <x:v>dev</x:v>
      </x:c>
      <x:c r="AB81" s="6" t="str">
        <x:v>synthetic_from_manual</x:v>
      </x:c>
    </x:row>
    <x:row r="82" ht="115" customHeight="1">
      <x:c r="A82" s="6" t="str">
        <x:v>D0253</x:v>
      </x:c>
      <x:c r="B82" s="6" t="str">
        <x:v>synthetic_from_manual:MANUAL-2757</x:v>
      </x:c>
      <x:c r="C82" s="6" t="str">
        <x:v>{"history":[{"role":"user","text":"Не получается закончить работу с «Библиотека штампов/ножи»."},{"role":"assistant","text":"Что происходит при попытке?"}],"user_message":"В одном филиале «Библиотека штампов/ножи» работает, в другом нет. Можем передать специалисту копию базы для сравнения?"}</x:v>
      </x:c>
      <x:c r="D82" s="6" t="str">
        <x:v>{"product":"1С:УНФ 8. Полиграфия 2","version":"3.0.14.140","retrieval_state":"available","handoff_consent":false,"approval_basis":"user_confirmed_consultant_approval"}</x:v>
      </x:c>
      <x:c r="E82" s="6" t="str">
        <x:v>1С:УНФ 8. Полиграфия 2</x:v>
      </x:c>
      <x:c r="F82" s="6" t="str">
        <x:v>3.0.14.140</x:v>
      </x:c>
      <x:c r="G82" s="6" t="str">
        <x:v>not_reported</x:v>
      </x:c>
      <x:c r="H82" s="6" t="str">
        <x:v>default</x:v>
      </x:c>
      <x:c r="I82" s="6" t="str">
        <x:v>Применимость источников и эталона к 1С:УНФ 8. Полиграфия 2, релиз 3.0.14.140, подтверждена консультантом со слов пользователя.</x:v>
      </x:c>
      <x:c r="J82" s="13" t="str">
        <x:v>1</x:v>
      </x:c>
      <x:c r="K82" s="13" t="str">
        <x:v>5</x:v>
      </x:c>
      <x:c r="L82" s="7" t="b">
        <x:v>0</x:v>
      </x:c>
      <x:c r="M82" s="6" t="str">
        <x:v>diagnosis_required</x:v>
      </x:c>
      <x:c r="N82" s="6" t="str">
        <x:v>[]</x:v>
      </x:c>
      <x:c r="O82" s="7" t="b">
        <x:v>0</x:v>
      </x:c>
      <x:c r="P82" s="6" t="str">
        <x:v>K6</x:v>
      </x:c>
      <x:c r="Q82"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82" s="6" t="str">
        <x:v>["chapter_8"]</x:v>
      </x:c>
      <x:c r="S82" s="6" t="str">
        <x:v>offer_handoff</x:v>
      </x:c>
      <x:c r="T82" s="6" t="str">
        <x:v>["Сообщить об отсутствии подтвержденного решения.","Предложить передачу консультанту."]</x:v>
      </x:c>
      <x:c r="U82" s="6" t="str">
        <x:v>["Еще один диагностический вопрос.","Выдуманная причина или правка рабочей базы.","Сообщение о созданной заявке без подтверждения."]</x:v>
      </x:c>
      <x:c r="V82" s="6" t="str">
        <x:v>[{"source_file":"/Users/elisavetagaponova/Downloads/1С УНФ 8  Полиграфия 2 для 3.0.doc","section":"8.1.2","extracted_text_line":2757,"excerpt":"Элементы справочника создаются на основании уже оформленных документов \"Расчет флексопечати\" и \"Шаблон флексопечати\". В справочнике хранятся данные о вырубных формах (штампах). Применительно к печати самоклеющихся этикеток в рулоне, штамп – это приспособление, которое позволяет сделать вырубку определенного размера и формы.","approval_basis":"user_confirmed_consultant_approval"},{"corpus_check":"Руководство не содержит состояния клиентской базы, кода расширения или журнала ошибки.","approval_basis":"user_confirmed_consultant_approval"}]</x:v>
      </x:c>
      <x:c r="W82" s="6" t="str">
        <x:v>["Предложена передача; нет дальнейшей диагностики и необоснованного решения."]</x:v>
      </x:c>
      <x:c r="X82" s="6" t="str">
        <x:v>approved</x:v>
      </x:c>
      <x:c r="Y82" s="6" t="str">
        <x:v>Карточка и применимость источников согласованы консультантом; утверждение подтверждено пользователем 25.10.2026.</x:v>
      </x:c>
      <x:c r="Z82" s="6" t="str">
        <x:v>G-9f88554df97f84</x:v>
      </x:c>
      <x:c r="AA82" s="6" t="str">
        <x:v>dev</x:v>
      </x:c>
      <x:c r="AB82" s="6" t="str">
        <x:v>synthetic_from_manual</x:v>
      </x:c>
    </x:row>
    <x:row r="83" ht="115" customHeight="1">
      <x:c r="A83" s="6" t="str">
        <x:v>D0255</x:v>
      </x:c>
      <x:c r="B83" s="6" t="str">
        <x:v>synthetic_from_manual:MANUAL-3644</x:v>
      </x:c>
      <x:c r="C83" s="6" t="str">
        <x:v>{"history":[{"role":"user","text":"Нужна подсказка по работе в программе."},{"role":"assistant","text":"Назовите объект и конкретный вопрос по нему, пожалуйста."}],"user_message":"При передаче полуфабриката с машины на машину нужен технологический интервал. Где его указать?"}</x:v>
      </x:c>
      <x:c r="D83" s="6" t="str">
        <x:v>{"product":"1С:УНФ 8. Полиграфия 2","version":"3.0.14.140","retrieval_state":"available","handoff_consent":false,"approval_basis":"user_confirmed_consultant_approval"}</x:v>
      </x:c>
      <x:c r="E83" s="6" t="str">
        <x:v>1С:УНФ 8. Полиграфия 2</x:v>
      </x:c>
      <x:c r="F83" s="6" t="str">
        <x:v>3.0.14.140</x:v>
      </x:c>
      <x:c r="G83" s="6" t="str">
        <x:v>not_reported</x:v>
      </x:c>
      <x:c r="H83" s="6" t="str">
        <x:v>default</x:v>
      </x:c>
      <x:c r="I83" s="6" t="str">
        <x:v>Применимость источников и эталона к 1С:УНФ 8. Полиграфия 2, релиз 3.0.14.140, подтверждена консультантом со слов пользователя.</x:v>
      </x:c>
      <x:c r="J83" s="13" t="str">
        <x:v>1</x:v>
      </x:c>
      <x:c r="K83" s="13" t="str">
        <x:v>5</x:v>
      </x:c>
      <x:c r="L83" s="7" t="b">
        <x:v>0</x:v>
      </x:c>
      <x:c r="M83" s="6" t="str">
        <x:v>not_applicable</x:v>
      </x:c>
      <x:c r="N83" s="6" t="str">
        <x:v>[]</x:v>
      </x:c>
      <x:c r="O83" s="7" t="b">
        <x:v>1</x:v>
      </x:c>
      <x:c r="P83" s="6" t="str">
        <x:v>K5</x:v>
      </x:c>
      <x:c r="Q83" s="6" t="str">
        <x:v>После ответа на уточнение предмет вопроса известен, а приведенный фрагмент руководства дает ответ.</x:v>
      </x:c>
      <x:c r="R83" s="6" t="str">
        <x:v>["chapter_12"]</x:v>
      </x:c>
      <x:c r="S83" s="6" t="str">
        <x:v>answer</x:v>
      </x:c>
      <x:c r="T83" s="6" t="str">
        <x:v>["Ответ по уточненному объекту.","Источник: руководство и раздел."]</x:v>
      </x:c>
      <x:c r="U83" s="6" t="str">
        <x:v>["Повторное выяснение уже названного объекта.","Выдуманные шаги."]</x:v>
      </x:c>
      <x:c r="V83" s="6" t="str">
        <x:v>[{"source_file":"/Users/elisavetagaponova/Downloads/1С УНФ 8  Полиграфия 2 для 3.0.doc","section":"Глава 12","extracted_text_line":3644,"excerpt":"Задержка времени необходимое при выполнении операции между разными рабочими центрами, указывается в регистре сведений \"Задержка времени выполнения операций между рабочими центрами\". Запись из регистра учитывается при планировании (документ \"План производства полиграфии\"), при нажатии на кнопку \"Выполнить планирование\", когда программа определяет плановое время начала (колонка \"Дата начала\") выполнения операции, исходя из графика работы оборудования (колонка \"Смена\") и данных регистра \"Задержка времени выполнения операций между рабочими центрами\".","approval_basis":"user_confirmed_consultant_approval"}]</x:v>
      </x:c>
      <x:c r="W83" s="6" t="str">
        <x:v>["Дан подтвержденный ответ с релевантным источником, без нового уточнения."]</x:v>
      </x:c>
      <x:c r="X83" s="6" t="str">
        <x:v>approved</x:v>
      </x:c>
      <x:c r="Y83" s="6" t="str">
        <x:v>Карточка и применимость источников согласованы консультантом; утверждение подтверждено пользователем 25.10.2026.</x:v>
      </x:c>
      <x:c r="Z83" s="6" t="str">
        <x:v>G-0631694a586091</x:v>
      </x:c>
      <x:c r="AA83" s="6" t="str">
        <x:v>dev</x:v>
      </x:c>
      <x:c r="AB83" s="6" t="str">
        <x:v>synthetic_from_manual</x:v>
      </x:c>
    </x:row>
    <x:row r="84" ht="115" customHeight="1">
      <x:c r="A84" s="6" t="str">
        <x:v>D0260</x:v>
      </x:c>
      <x:c r="B84" s="6" t="str">
        <x:v>synthetic_from_manual:MANUAL-3124</x:v>
      </x:c>
      <x:c r="C84" s="6" t="str">
        <x:v>{"history":[{"role":"user","text":"Не получается закончить работу с «Расчет гофрированного материала»."},{"role":"assistant","text":"Что происходит при попытке?"}],"user_message":"В типовой базе «Расчет гофрированного материала» работает, а у нас после доработки больше нет. Кто может проверить конфигурацию?"}</x:v>
      </x:c>
      <x:c r="D84" s="6" t="str">
        <x:v>{"product":"1С:УНФ 8. Полиграфия 2","version":"3.0.14.140","retrieval_state":"available","handoff_consent":false,"approval_basis":"user_confirmed_consultant_approval"}</x:v>
      </x:c>
      <x:c r="E84" s="6" t="str">
        <x:v>1С:УНФ 8. Полиграфия 2</x:v>
      </x:c>
      <x:c r="F84" s="6" t="str">
        <x:v>3.0.14.140</x:v>
      </x:c>
      <x:c r="G84" s="6" t="str">
        <x:v>not_reported</x:v>
      </x:c>
      <x:c r="H84" s="6" t="str">
        <x:v>default</x:v>
      </x:c>
      <x:c r="I84" s="6" t="str">
        <x:v>Применимость источников и эталона к 1С:УНФ 8. Полиграфия 2, релиз 3.0.14.140, подтверждена консультантом со слов пользователя.</x:v>
      </x:c>
      <x:c r="J84" s="13" t="str">
        <x:v>1</x:v>
      </x:c>
      <x:c r="K84" s="13" t="str">
        <x:v>5</x:v>
      </x:c>
      <x:c r="L84" s="7" t="b">
        <x:v>0</x:v>
      </x:c>
      <x:c r="M84" s="6" t="str">
        <x:v>diagnosis_required</x:v>
      </x:c>
      <x:c r="N84" s="6" t="str">
        <x:v>[]</x:v>
      </x:c>
      <x:c r="O84" s="7" t="b">
        <x:v>0</x:v>
      </x:c>
      <x:c r="P84" s="6" t="str">
        <x:v>K6</x:v>
      </x:c>
      <x:c r="Q84"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84" s="6" t="str">
        <x:v>["chapter_9"]</x:v>
      </x:c>
      <x:c r="S84" s="6" t="str">
        <x:v>offer_handoff</x:v>
      </x:c>
      <x:c r="T84" s="6" t="str">
        <x:v>["Сообщить об отсутствии подтвержденного решения.","Предложить передачу консультанту."]</x:v>
      </x:c>
      <x:c r="U84" s="6" t="str">
        <x:v>["Еще один диагностический вопрос.","Выдуманная причина или правка рабочей базы.","Сообщение о созданной заявке без подтверждения."]</x:v>
      </x:c>
      <x:c r="V84" s="6" t="str">
        <x:v>[{"source_file":"/Users/elisavetagaponova/Downloads/1С УНФ 8  Полиграфия 2 для 3.0.doc","section":"9.2","extracted_text_line":3124,"excerpt":"Элементы формы, расположенные на закладке «Сведения» позволяют вводить и просматривать общую информацию о заказе: клиенте, контрагенте, соглашении и договоре, ответственное подразделение, склад отгрузки, приоритет, планируемая дата начала и дата окончания выполнения работ по заказу (используется при планировании занятости производства), дата предоставления и утверждения макета (используются в качестве справочной информации к заказу).","approval_basis":"user_confirmed_consultant_approval"},{"corpus_check":"Руководство не содержит состояния клиентской базы, кода расширения или журнала ошибки.","approval_basis":"user_confirmed_consultant_approval"}]</x:v>
      </x:c>
      <x:c r="W84" s="6" t="str">
        <x:v>["Предложена передача; нет дальнейшей диагностики и необоснованного решения."]</x:v>
      </x:c>
      <x:c r="X84" s="6" t="str">
        <x:v>approved</x:v>
      </x:c>
      <x:c r="Y84" s="6" t="str">
        <x:v>Карточка и применимость источников согласованы консультантом; утверждение подтверждено пользователем 25.10.2026.</x:v>
      </x:c>
      <x:c r="Z84" s="6" t="str">
        <x:v>G-af94624bacc45a</x:v>
      </x:c>
      <x:c r="AA84" s="6" t="str">
        <x:v>dev</x:v>
      </x:c>
      <x:c r="AB84" s="6" t="str">
        <x:v>synthetic_from_manual</x:v>
      </x:c>
    </x:row>
    <x:row r="85" ht="115" customHeight="1">
      <x:c r="A85" s="6" t="str">
        <x:v>D0261</x:v>
      </x:c>
      <x:c r="B85" s="6" t="str">
        <x:v>synthetic_from_manual:MANUAL-3424</x:v>
      </x:c>
      <x:c r="C85" s="6" t="str">
        <x:v>{"history":[{"role":"user","text":"Помогите найти нужные сведения по работе в Полиграфии."},{"role":"assistant","text":"О каком объекте или действии вы хотите узнать?"}],"user_message":"В паллетном листе на каком шаге появляется штрихкод позиции?"}</x:v>
      </x:c>
      <x:c r="D85" s="6" t="str">
        <x:v>{"product":"1С:УНФ 8. Полиграфия 2","version":"3.0.14.140","retrieval_state":"available","handoff_consent":false,"approval_basis":"user_confirmed_consultant_approval"}</x:v>
      </x:c>
      <x:c r="E85" s="6" t="str">
        <x:v>1С:УНФ 8. Полиграфия 2</x:v>
      </x:c>
      <x:c r="F85" s="6" t="str">
        <x:v>3.0.14.140</x:v>
      </x:c>
      <x:c r="G85" s="6" t="str">
        <x:v>not_reported</x:v>
      </x:c>
      <x:c r="H85" s="6" t="str">
        <x:v>default</x:v>
      </x:c>
      <x:c r="I85" s="6" t="str">
        <x:v>Применимость источников и эталона к 1С:УНФ 8. Полиграфия 2, релиз 3.0.14.140, подтверждена консультантом со слов пользователя.</x:v>
      </x:c>
      <x:c r="J85" s="13" t="str">
        <x:v>1</x:v>
      </x:c>
      <x:c r="K85" s="13" t="str">
        <x:v>5</x:v>
      </x:c>
      <x:c r="L85" s="7" t="b">
        <x:v>0</x:v>
      </x:c>
      <x:c r="M85" s="6" t="str">
        <x:v>not_applicable</x:v>
      </x:c>
      <x:c r="N85" s="6" t="str">
        <x:v>[]</x:v>
      </x:c>
      <x:c r="O85" s="7" t="b">
        <x:v>1</x:v>
      </x:c>
      <x:c r="P85" s="6" t="str">
        <x:v>K5</x:v>
      </x:c>
      <x:c r="Q85" s="6" t="str">
        <x:v>После ответа на уточнение предмет вопроса известен, а приведенный фрагмент руководства дает ответ.</x:v>
      </x:c>
      <x:c r="R85" s="6" t="str">
        <x:v>["chapter_11"]</x:v>
      </x:c>
      <x:c r="S85" s="6" t="str">
        <x:v>answer</x:v>
      </x:c>
      <x:c r="T85" s="6" t="str">
        <x:v>["Ответ по уточненному объекту.","Источник: руководство и раздел."]</x:v>
      </x:c>
      <x:c r="U85" s="6" t="str">
        <x:v>["Повторное выяснение уже названного объекта.","Выдуманные шаги."]</x:v>
      </x:c>
      <x:c r="V85" s="6" t="str">
        <x:v>[{"source_file":"/Users/elisavetagaponova/Downloads/1С УНФ 8  Полиграфия 2 для 3.0.doc","section":"Глава 11","extracted_text_line":3424,"excerpt":"• Штрихкод – штрихкод формируется и присваивается номенклатурной позиции в записанном документе автоматически при нажатии кнопки Ввод партий.","approval_basis":"user_confirmed_consultant_approval"}]</x:v>
      </x:c>
      <x:c r="W85" s="6" t="str">
        <x:v>["Дан подтвержденный ответ с релевантным источником, без нового уточнения."]</x:v>
      </x:c>
      <x:c r="X85" s="6" t="str">
        <x:v>approved</x:v>
      </x:c>
      <x:c r="Y85" s="6" t="str">
        <x:v>Карточка и применимость источников согласованы консультантом; утверждение подтверждено пользователем 25.10.2026.</x:v>
      </x:c>
      <x:c r="Z85" s="6" t="str">
        <x:v>G-2c56d92e2b25ed</x:v>
      </x:c>
      <x:c r="AA85" s="6" t="str">
        <x:v>dev</x:v>
      </x:c>
      <x:c r="AB85" s="6" t="str">
        <x:v>synthetic_from_manual</x:v>
      </x:c>
    </x:row>
    <x:row r="86" ht="115" customHeight="1">
      <x:c r="A86" s="6" t="str">
        <x:v>D0262</x:v>
      </x:c>
      <x:c r="B86" s="6" t="str">
        <x:v>synthetic_from_manual:MANUAL-3939</x:v>
      </x:c>
      <x:c r="C86" s="6" t="str">
        <x:v>{"history":[{"role":"user","text":"Помогите найти нужные сведения по работе в Полиграфии."},{"role":"assistant","text":"О каком объекте или действии вы хотите узнать?"}],"user_message":"Можно запланировать обновление информационной базы на другое время, не сейчас?"}</x:v>
      </x:c>
      <x:c r="D86" s="6" t="str">
        <x:v>{"product":"1С:УНФ 8. Полиграфия 2","version":"3.0.14.140","retrieval_state":"available","handoff_consent":false,"approval_basis":"user_confirmed_consultant_approval"}</x:v>
      </x:c>
      <x:c r="E86" s="6" t="str">
        <x:v>1С:УНФ 8. Полиграфия 2</x:v>
      </x:c>
      <x:c r="F86" s="6" t="str">
        <x:v>3.0.14.140</x:v>
      </x:c>
      <x:c r="G86" s="6" t="str">
        <x:v>not_reported</x:v>
      </x:c>
      <x:c r="H86" s="6" t="str">
        <x:v>default</x:v>
      </x:c>
      <x:c r="I86" s="6" t="str">
        <x:v>Применимость источников и эталона к 1С:УНФ 8. Полиграфия 2, релиз 3.0.14.140, подтверждена консультантом со слов пользователя.</x:v>
      </x:c>
      <x:c r="J86" s="13" t="str">
        <x:v>1</x:v>
      </x:c>
      <x:c r="K86" s="13" t="str">
        <x:v>5</x:v>
      </x:c>
      <x:c r="L86" s="7" t="b">
        <x:v>0</x:v>
      </x:c>
      <x:c r="M86" s="6" t="str">
        <x:v>not_applicable</x:v>
      </x:c>
      <x:c r="N86" s="6" t="str">
        <x:v>[]</x:v>
      </x:c>
      <x:c r="O86" s="7" t="b">
        <x:v>1</x:v>
      </x:c>
      <x:c r="P86" s="6" t="str">
        <x:v>K5</x:v>
      </x:c>
      <x:c r="Q86" s="6" t="str">
        <x:v>После ответа на уточнение предмет вопроса известен, а приведенный фрагмент руководства дает ответ.</x:v>
      </x:c>
      <x:c r="R86" s="6" t="str">
        <x:v>["chapter_13"]</x:v>
      </x:c>
      <x:c r="S86" s="6" t="str">
        <x:v>answer</x:v>
      </x:c>
      <x:c r="T86" s="6" t="str">
        <x:v>["Ответ по уточненному объекту.","Источник: руководство и раздел."]</x:v>
      </x:c>
      <x:c r="U86" s="6" t="str">
        <x:v>["Повторное выяснение уже названного объекта.","Выдуманные шаги."]</x:v>
      </x:c>
      <x:c r="V86" s="6" t="str">
        <x:v>[{"source_file":"/Users/elisavetagaponova/Downloads/1С УНФ 8  Полиграфия 2 для 3.0.doc","section":"Глава 13","extracted_text_line":3939,"excerpt":"Механизм обновления предназначен для автоматического обновления конфигурации информационной базы в режиме 1С:Предприятие \"по требованию\" или в указанное время в будущем.","approval_basis":"user_confirmed_consultant_approval"}]</x:v>
      </x:c>
      <x:c r="W86" s="6" t="str">
        <x:v>["Дан подтвержденный ответ с релевантным источником, без нового уточнения."]</x:v>
      </x:c>
      <x:c r="X86" s="6" t="str">
        <x:v>approved</x:v>
      </x:c>
      <x:c r="Y86" s="6" t="str">
        <x:v>Карточка и применимость источников согласованы консультантом; утверждение подтверждено пользователем 25.10.2026.</x:v>
      </x:c>
      <x:c r="Z86" s="6" t="str">
        <x:v>G-38567c93113048</x:v>
      </x:c>
      <x:c r="AA86" s="6" t="str">
        <x:v>dev</x:v>
      </x:c>
      <x:c r="AB86" s="6" t="str">
        <x:v>synthetic_from_manual</x:v>
      </x:c>
    </x:row>
    <x:row r="87" ht="115" customHeight="1">
      <x:c r="A87" s="6" t="str">
        <x:v>D0264</x:v>
      </x:c>
      <x:c r="B87" s="6" t="str">
        <x:v>synthetic_from_manual:MANUAL-3681</x:v>
      </x:c>
      <x:c r="C87" s="6" t="str">
        <x:v>{"history":[{"role":"user","text":"Не получается закончить работу с «Добавление простоя»."},{"role":"assistant","text":"Что происходит при попытке?"}],"user_message":"Ошибка с «Добавление простоя» появилась после переноса данных из старой базы и повторяется только у нас. Нужно посмотреть сами данные."}</x:v>
      </x:c>
      <x:c r="D87" s="6" t="str">
        <x:v>{"product":"1С:УНФ 8. Полиграфия 2","version":"3.0.14.140","retrieval_state":"available","handoff_consent":false,"approval_basis":"user_confirmed_consultant_approval"}</x:v>
      </x:c>
      <x:c r="E87" s="6" t="str">
        <x:v>1С:УНФ 8. Полиграфия 2</x:v>
      </x:c>
      <x:c r="F87" s="6" t="str">
        <x:v>3.0.14.140</x:v>
      </x:c>
      <x:c r="G87" s="6" t="str">
        <x:v>not_reported</x:v>
      </x:c>
      <x:c r="H87" s="6" t="str">
        <x:v>default</x:v>
      </x:c>
      <x:c r="I87" s="6" t="str">
        <x:v>Применимость источников и эталона к 1С:УНФ 8. Полиграфия 2, релиз 3.0.14.140, подтверждена консультантом со слов пользователя.</x:v>
      </x:c>
      <x:c r="J87" s="13" t="str">
        <x:v>1</x:v>
      </x:c>
      <x:c r="K87" s="13" t="str">
        <x:v>5</x:v>
      </x:c>
      <x:c r="L87" s="7" t="b">
        <x:v>0</x:v>
      </x:c>
      <x:c r="M87" s="6" t="str">
        <x:v>diagnosis_required</x:v>
      </x:c>
      <x:c r="N87" s="6" t="str">
        <x:v>[]</x:v>
      </x:c>
      <x:c r="O87" s="7" t="b">
        <x:v>0</x:v>
      </x:c>
      <x:c r="P87" s="6" t="str">
        <x:v>K6</x:v>
      </x:c>
      <x:c r="Q87"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87" s="6" t="str">
        <x:v>["chapter_12"]</x:v>
      </x:c>
      <x:c r="S87" s="6" t="str">
        <x:v>offer_handoff</x:v>
      </x:c>
      <x:c r="T87" s="6" t="str">
        <x:v>["Сообщить об отсутствии подтвержденного решения.","Предложить передачу консультанту."]</x:v>
      </x:c>
      <x:c r="U87" s="6" t="str">
        <x:v>["Еще один диагностический вопрос.","Выдуманная причина или правка рабочей базы.","Сообщение о созданной заявке без подтверждения."]</x:v>
      </x:c>
      <x:c r="V87" s="6" t="str">
        <x:v>[{"source_file":"/Users/elisavetagaponova/Downloads/1С УНФ 8  Полиграфия 2 для 3.0.doc","section":"Глава 12","extracted_text_line":3681,"excerpt":"По кнопке \"Добавить простой\" открывается диалоговое окно для создания нового документа \"Простои оборудования\", фиксирующего данные о временной нетрудоспособности рабочего центра. В документе регистрируется временной период простоя рабочего центра и причина простоя.","approval_basis":"user_confirmed_consultant_approval"},{"corpus_check":"Руководство не содержит состояния клиентской базы, кода расширения или журнала ошибки.","approval_basis":"user_confirmed_consultant_approval"}]</x:v>
      </x:c>
      <x:c r="W87" s="6" t="str">
        <x:v>["Предложена передача; нет дальнейшей диагностики и необоснованного решения."]</x:v>
      </x:c>
      <x:c r="X87" s="6" t="str">
        <x:v>approved</x:v>
      </x:c>
      <x:c r="Y87" s="6" t="str">
        <x:v>Карточка и применимость источников согласованы консультантом; утверждение подтверждено пользователем 25.10.2026.</x:v>
      </x:c>
      <x:c r="Z87" s="6" t="str">
        <x:v>G-eb68348e3a2055</x:v>
      </x:c>
      <x:c r="AA87" s="6" t="str">
        <x:v>dev</x:v>
      </x:c>
      <x:c r="AB87" s="6" t="str">
        <x:v>synthetic_from_manual</x:v>
      </x:c>
    </x:row>
    <x:row r="88" ht="115" customHeight="1">
      <x:c r="A88" s="6" t="str">
        <x:v>D0265</x:v>
      </x:c>
      <x:c r="B88" s="6" t="str">
        <x:v>synthetic_from_manual:MANUAL-2192</x:v>
      </x:c>
      <x:c r="C88" s="6" t="str">
        <x:v>{"history":[],"user_message":"Открываю «Ведомость по браку в производстве» и не понимаю, что выбрать дальше. Подскажите?"}</x:v>
      </x:c>
      <x:c r="D88" s="6" t="str">
        <x:v>{"product":"1С:УНФ 8. Полиграфия 2","version":"3.0.14.140","retrieval_state":"available","handoff_consent":false,"approval_basis":"user_confirmed_consultant_approval"}</x:v>
      </x:c>
      <x:c r="E88" s="6" t="str">
        <x:v>1С:УНФ 8. Полиграфия 2</x:v>
      </x:c>
      <x:c r="F88" s="6" t="str">
        <x:v>3.0.14.140</x:v>
      </x:c>
      <x:c r="G88" s="6" t="str">
        <x:v>not_reported</x:v>
      </x:c>
      <x:c r="H88" s="6" t="str">
        <x:v>default</x:v>
      </x:c>
      <x:c r="I88" s="6" t="str">
        <x:v>Применимость источников и эталона к 1С:УНФ 8. Полиграфия 2, релиз 3.0.14.140, подтверждена консультантом со слов пользователя.</x:v>
      </x:c>
      <x:c r="J88" s="13" t="str">
        <x:v>0</x:v>
      </x:c>
      <x:c r="K88" s="13" t="str">
        <x:v>5</x:v>
      </x:c>
      <x:c r="L88" s="7" t="b">
        <x:v>1</x:v>
      </x:c>
      <x:c r="M88" s="6" t="str">
        <x:v>not_applicable</x:v>
      </x:c>
      <x:c r="N88"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88" s="7" t="b">
        <x:v>0</x:v>
      </x:c>
      <x:c r="P88" s="6" t="str">
        <x:v>K3</x:v>
      </x:c>
      <x:c r="Q88" s="6" t="str">
        <x:v>Цель/параметр и результат действия неизвестны; еще один конкретный вопрос может снять неоднозначность, лимит не исчерпан.</x:v>
      </x:c>
      <x:c r="R88" s="6" t="str">
        <x:v>["chapter_5"]</x:v>
      </x:c>
      <x:c r="S88" s="6" t="str">
        <x:v>clarify</x:v>
      </x:c>
      <x:c r="T88" s="6" t="str">
        <x:v>["Какую задачу вы решаете с «Ведомость по браку в производстве» и что уже пробовали сделать?"]</x:v>
      </x:c>
      <x:c r="U88" s="6" t="str">
        <x:v>["Угадывание причины или инструкции.","Вопрос о продукте и релизе только из-за отсутствия их в сообщении."]</x:v>
      </x:c>
      <x:c r="V88" s="6" t="str">
        <x:v>[{"source_file":"/Users/elisavetagaponova/Downloads/1С УНФ 8  Полиграфия 2 для 3.0.doc","section":"5.19","extracted_text_line":2192,"excerpt":"С помощью отчета можно проанализировать количество бракованного материала на производстве. Данные о браке можно вывести с детализацией по: операциям, причинам брака и документам \"Перемещение запасов\" и \"Производство\".","approval_basis":"user_confirmed_consultant_approval"}]</x:v>
      </x:c>
      <x:c r="W88" s="6" t="str">
        <x:v>["Задан полезный вопрос о недостающем действии/параметре; нет диагноза.","Не превышен лимит пяти уточнений."]</x:v>
      </x:c>
      <x:c r="X88" s="6" t="str">
        <x:v>approved</x:v>
      </x:c>
      <x:c r="Y88" s="6" t="str">
        <x:v>Карточка и применимость источников согласованы консультантом; утверждение подтверждено пользователем 25.10.2026.</x:v>
      </x:c>
      <x:c r="Z88" s="6" t="str">
        <x:v>G-27d0f533f0db51</x:v>
      </x:c>
      <x:c r="AA88" s="6" t="str">
        <x:v>dev</x:v>
      </x:c>
      <x:c r="AB88" s="6" t="str">
        <x:v>synthetic_from_manual</x:v>
      </x:c>
    </x:row>
    <x:row r="89" ht="115" customHeight="1">
      <x:c r="A89" s="6" t="str">
        <x:v>D0266</x:v>
      </x:c>
      <x:c r="B89" s="6" t="str">
        <x:v>synthetic_from_manual:MANUAL-0834</x:v>
      </x:c>
      <x:c r="C89" s="6" t="str">
        <x:v>{"history":[],"user_message":"Нужно изменить «Свободный параметр», но я не знаю, с какого поля начать."}</x:v>
      </x:c>
      <x:c r="D89" s="6" t="str">
        <x:v>{"product":"1С:УНФ 8. Полиграфия 2","version":"3.0.14.140","retrieval_state":"available","handoff_consent":false,"approval_basis":"user_confirmed_consultant_approval"}</x:v>
      </x:c>
      <x:c r="E89" s="6" t="str">
        <x:v>1С:УНФ 8. Полиграфия 2</x:v>
      </x:c>
      <x:c r="F89" s="6" t="str">
        <x:v>3.0.14.140</x:v>
      </x:c>
      <x:c r="G89" s="6" t="str">
        <x:v>not_reported</x:v>
      </x:c>
      <x:c r="H89" s="6" t="str">
        <x:v>default</x:v>
      </x:c>
      <x:c r="I89" s="6" t="str">
        <x:v>Применимость источников и эталона к 1С:УНФ 8. Полиграфия 2, релиз 3.0.14.140, подтверждена консультантом со слов пользователя.</x:v>
      </x:c>
      <x:c r="J89" s="13" t="str">
        <x:v>0</x:v>
      </x:c>
      <x:c r="K89" s="13" t="str">
        <x:v>5</x:v>
      </x:c>
      <x:c r="L89" s="7" t="b">
        <x:v>1</x:v>
      </x:c>
      <x:c r="M89" s="6" t="str">
        <x:v>not_applicable</x:v>
      </x:c>
      <x:c r="N89"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89" s="7" t="b">
        <x:v>0</x:v>
      </x:c>
      <x:c r="P89" s="6" t="str">
        <x:v>K3</x:v>
      </x:c>
      <x:c r="Q89" s="6" t="str">
        <x:v>Цель/параметр и результат действия неизвестны; еще один конкретный вопрос может снять неоднозначность, лимит не исчерпан.</x:v>
      </x:c>
      <x:c r="R89" s="6" t="str">
        <x:v>["chapter_1"]</x:v>
      </x:c>
      <x:c r="S89" s="6" t="str">
        <x:v>clarify</x:v>
      </x:c>
      <x:c r="T89" s="6" t="str">
        <x:v>["Какую задачу вы решаете с «Свободный параметр» и что уже пробовали сделать?"]</x:v>
      </x:c>
      <x:c r="U89" s="6" t="str">
        <x:v>["Угадывание причины или инструкции.","Вопрос о продукте и релизе только из-за отсутствия их в сообщении."]</x:v>
      </x:c>
      <x:c r="V89" s="6" t="str">
        <x:v>[{"source_file":"/Users/elisavetagaponova/Downloads/1С УНФ 8  Полиграфия 2 для 3.0.doc","section":"1.12","extracted_text_line":834,"excerpt":"Справочник Свободный параметр предназначен для хранения списка дополнительных параметров, от которых могут зависеть операции препресса, пресса, постпресса при печати полиграфической продукции.","approval_basis":"user_confirmed_consultant_approval"}]</x:v>
      </x:c>
      <x:c r="W89" s="6" t="str">
        <x:v>["Задан полезный вопрос о недостающем действии/параметре; нет диагноза.","Не превышен лимит пяти уточнений."]</x:v>
      </x:c>
      <x:c r="X89" s="6" t="str">
        <x:v>approved</x:v>
      </x:c>
      <x:c r="Y89" s="6" t="str">
        <x:v>Карточка и применимость источников согласованы консультантом; утверждение подтверждено пользователем 25.10.2026.</x:v>
      </x:c>
      <x:c r="Z89" s="6" t="str">
        <x:v>G-b64b88c0517a2a</x:v>
      </x:c>
      <x:c r="AA89" s="6" t="str">
        <x:v>dev</x:v>
      </x:c>
      <x:c r="AB89" s="6" t="str">
        <x:v>synthetic_from_manual</x:v>
      </x:c>
    </x:row>
    <x:row r="90" ht="115" customHeight="1">
      <x:c r="A90" s="6" t="str">
        <x:v>D0267</x:v>
      </x:c>
      <x:c r="B90" s="6" t="str">
        <x:v>synthetic_from_manual:MANUAL-3681</x:v>
      </x:c>
      <x:c r="C90" s="6" t="str">
        <x:v>{"history":[{"role":"user","text":"Подскажите по теме «Добавление простоя»."},{"role":"assistant","text":"Что именно вам нужно узнать по этой теме?"}],"user_message":"Станок остановился. Как отразить простой прямо из очереди заказов?"}</x:v>
      </x:c>
      <x:c r="D90" s="6" t="str">
        <x:v>{"product":"1С:УНФ 8. Полиграфия 2","version":"3.0.14.140","retrieval_state":"available","handoff_consent":false,"approval_basis":"user_confirmed_consultant_approval"}</x:v>
      </x:c>
      <x:c r="E90" s="6" t="str">
        <x:v>1С:УНФ 8. Полиграфия 2</x:v>
      </x:c>
      <x:c r="F90" s="6" t="str">
        <x:v>3.0.14.140</x:v>
      </x:c>
      <x:c r="G90" s="6" t="str">
        <x:v>not_reported</x:v>
      </x:c>
      <x:c r="H90" s="6" t="str">
        <x:v>default</x:v>
      </x:c>
      <x:c r="I90" s="6" t="str">
        <x:v>Применимость источников и эталона к 1С:УНФ 8. Полиграфия 2, релиз 3.0.14.140, подтверждена консультантом со слов пользователя.</x:v>
      </x:c>
      <x:c r="J90" s="13" t="str">
        <x:v>1</x:v>
      </x:c>
      <x:c r="K90" s="13" t="str">
        <x:v>5</x:v>
      </x:c>
      <x:c r="L90" s="7" t="b">
        <x:v>0</x:v>
      </x:c>
      <x:c r="M90" s="6" t="str">
        <x:v>not_applicable</x:v>
      </x:c>
      <x:c r="N90" s="6" t="str">
        <x:v>[]</x:v>
      </x:c>
      <x:c r="O90" s="7" t="b">
        <x:v>1</x:v>
      </x:c>
      <x:c r="P90" s="6" t="str">
        <x:v>K5</x:v>
      </x:c>
      <x:c r="Q90" s="6" t="str">
        <x:v>После ответа на уточнение предмет вопроса известен, а приведенный фрагмент руководства дает ответ.</x:v>
      </x:c>
      <x:c r="R90" s="6" t="str">
        <x:v>["chapter_12"]</x:v>
      </x:c>
      <x:c r="S90" s="6" t="str">
        <x:v>answer</x:v>
      </x:c>
      <x:c r="T90" s="6" t="str">
        <x:v>["Ответ по уточненному объекту.","Источник: руководство и раздел."]</x:v>
      </x:c>
      <x:c r="U90" s="6" t="str">
        <x:v>["Повторное выяснение уже названного объекта.","Выдуманные шаги."]</x:v>
      </x:c>
      <x:c r="V90" s="6" t="str">
        <x:v>[{"source_file":"/Users/elisavetagaponova/Downloads/1С УНФ 8  Полиграфия 2 для 3.0.doc","section":"Глава 12","extracted_text_line":3681,"excerpt":"По кнопке \"Добавить простой\" открывается диалоговое окно для создания нового документа \"Простои оборудования\", фиксирующего данные о временной нетрудоспособности рабочего центра. В документе регистрируется временной период простоя рабочего центра и причина простоя.","approval_basis":"user_confirmed_consultant_approval"}]</x:v>
      </x:c>
      <x:c r="W90" s="6" t="str">
        <x:v>["Дан подтвержденный ответ с релевантным источником, без нового уточнения."]</x:v>
      </x:c>
      <x:c r="X90" s="6" t="str">
        <x:v>approved</x:v>
      </x:c>
      <x:c r="Y90" s="6" t="str">
        <x:v>Карточка и применимость источников согласованы консультантом; утверждение подтверждено пользователем 25.10.2026.</x:v>
      </x:c>
      <x:c r="Z90" s="6" t="str">
        <x:v>G-eb68348e3a2055</x:v>
      </x:c>
      <x:c r="AA90" s="6" t="str">
        <x:v>dev</x:v>
      </x:c>
      <x:c r="AB90" s="6" t="str">
        <x:v>synthetic_from_manual</x:v>
      </x:c>
    </x:row>
    <x:row r="91" ht="115" customHeight="1">
      <x:c r="A91" s="6" t="str">
        <x:v>D0271</x:v>
      </x:c>
      <x:c r="B91" s="6" t="str">
        <x:v>synthetic_contract_boundary</x:v>
      </x:c>
      <x:c r="C91" s="6" t="str">
        <x:v>{"history":[],"user_message":"Кто сильнее в этом сезоне: «Спартак» или «Зенит»?"}</x:v>
      </x:c>
      <x:c r="D91" s="6" t="str">
        <x:v>{"product":"1С:УНФ 8. Полиграфия 2","version":"3.0.14.140","retrieval_state":"available","handoff_consent":false,"approval_basis":"user_confirmed_consultant_approval"}</x:v>
      </x:c>
      <x:c r="E91" s="6" t="str">
        <x:v>1С:УНФ 8. Полиграфия 2</x:v>
      </x:c>
      <x:c r="F91" s="6" t="str">
        <x:v>3.0.14.140</x:v>
      </x:c>
      <x:c r="G91" s="6" t="str">
        <x:v>not_reported</x:v>
      </x:c>
      <x:c r="H91" s="6" t="str">
        <x:v>default</x:v>
      </x:c>
      <x:c r="I91" s="6" t="str">
        <x:v>Применимость источников и эталона к 1С:УНФ 8. Полиграфия 2, релиз 3.0.14.140, подтверждена консультантом со слов пользователя.</x:v>
      </x:c>
      <x:c r="J91" s="13" t="str">
        <x:v>0</x:v>
      </x:c>
      <x:c r="K91" s="13" t="str">
        <x:v>5</x:v>
      </x:c>
      <x:c r="L91" s="7" t="b">
        <x:v>0</x:v>
      </x:c>
      <x:c r="M91" s="6" t="str">
        <x:v>not_applicable</x:v>
      </x:c>
      <x:c r="N91" s="6" t="str">
        <x:v>[]</x:v>
      </x:c>
      <x:c r="O91" s="6" t="str">
        <x:v>not_applicable</x:v>
      </x:c>
      <x:c r="P91" s="6" t="str">
        <x:v>K1</x:v>
      </x:c>
      <x:c r="Q91" s="6" t="str">
        <x:v>Запрошенная задача явно не относится к работе 1С:Полиграфии и разрешенной документации.</x:v>
      </x:c>
      <x:c r="R91" s="6" t="str">
        <x:v>["out_of_domain"]</x:v>
      </x:c>
      <x:c r="S91" s="6" t="str">
        <x:v>refuse</x:v>
      </x:c>
      <x:c r="T91" s="6" t="str">
        <x:v>["Вежливый отказ и краткое обозначение предметной области бота."]</x:v>
      </x:c>
      <x:c r="U91" s="6" t="str">
        <x:v>["Выполнение посторонней задачи.","Выдуманная ссылка на руководство."]</x:v>
      </x:c>
      <x:c r="V91" s="6" t="str">
        <x:v>[{"source_file":"/Users/elisavetagaponova/Downloads/annotation_guide_classes_v1.md","section":"§5 K1","approval_basis":"user_confirmed_consultant_approval"},{"source_file":"design_doc_kt2.md","section":"§1.3, C05","approval_basis":"user_confirmed_consultant_approval"}]</x:v>
      </x:c>
      <x:c r="W91" s="6" t="str">
        <x:v>["Посторонняя задача не выполняется; отказ вежлив и по-русски."]</x:v>
      </x:c>
      <x:c r="X91" s="6" t="str">
        <x:v>approved</x:v>
      </x:c>
      <x:c r="Y91" s="6" t="str">
        <x:v>Карточка и применимость источников согласованы консультантом; утверждение подтверждено пользователем 25.10.2026.</x:v>
      </x:c>
      <x:c r="Z91" s="6" t="str">
        <x:v>G-15e3ed3a6f839d</x:v>
      </x:c>
      <x:c r="AA91" s="6" t="str">
        <x:v>dev</x:v>
      </x:c>
      <x:c r="AB91" s="6" t="str">
        <x:v>synthetic_contract_boundary</x:v>
      </x:c>
    </x:row>
    <x:row r="92" ht="115" customHeight="1">
      <x:c r="A92" s="6" t="str">
        <x:v>D0275</x:v>
      </x:c>
      <x:c r="B92" s="6" t="str">
        <x:v>synthetic_from_manual:MANUAL-0446</x:v>
      </x:c>
      <x:c r="C92" s="6" t="str">
        <x:v>{"history":[{"role":"user","text":"Не получается закончить работу с «Красочность»."},{"role":"assistant","text":"Что происходит при попытке?"}],"user_message":"Ошибка с «Красочность» появилась после переноса данных из старой базы и повторяется только у нас. Нужно посмотреть сами данные."}</x:v>
      </x:c>
      <x:c r="D92" s="6" t="str">
        <x:v>{"product":"1С:УНФ 8. Полиграфия 2","version":"3.0.14.140","retrieval_state":"available","handoff_consent":false,"approval_basis":"user_confirmed_consultant_approval"}</x:v>
      </x:c>
      <x:c r="E92" s="6" t="str">
        <x:v>1С:УНФ 8. Полиграфия 2</x:v>
      </x:c>
      <x:c r="F92" s="6" t="str">
        <x:v>3.0.14.140</x:v>
      </x:c>
      <x:c r="G92" s="6" t="str">
        <x:v>not_reported</x:v>
      </x:c>
      <x:c r="H92" s="6" t="str">
        <x:v>default</x:v>
      </x:c>
      <x:c r="I92" s="6" t="str">
        <x:v>Применимость источников и эталона к 1С:УНФ 8. Полиграфия 2, релиз 3.0.14.140, подтверждена консультантом со слов пользователя.</x:v>
      </x:c>
      <x:c r="J92" s="13" t="str">
        <x:v>1</x:v>
      </x:c>
      <x:c r="K92" s="13" t="str">
        <x:v>5</x:v>
      </x:c>
      <x:c r="L92" s="7" t="b">
        <x:v>0</x:v>
      </x:c>
      <x:c r="M92" s="6" t="str">
        <x:v>diagnosis_required</x:v>
      </x:c>
      <x:c r="N92" s="6" t="str">
        <x:v>[]</x:v>
      </x:c>
      <x:c r="O92" s="7" t="b">
        <x:v>0</x:v>
      </x:c>
      <x:c r="P92" s="6" t="str">
        <x:v>K6</x:v>
      </x:c>
      <x:c r="Q92"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92" s="6" t="str">
        <x:v>["chapter_1"]</x:v>
      </x:c>
      <x:c r="S92" s="6" t="str">
        <x:v>offer_handoff</x:v>
      </x:c>
      <x:c r="T92" s="6" t="str">
        <x:v>["Сообщить об отсутствии подтвержденного решения.","Предложить передачу консультанту."]</x:v>
      </x:c>
      <x:c r="U92" s="6" t="str">
        <x:v>["Еще один диагностический вопрос.","Выдуманная причина или правка рабочей базы.","Сообщение о созданной заявке без подтверждения."]</x:v>
      </x:c>
      <x:c r="V92" s="6" t="str">
        <x:v>[{"source_file":"/Users/elisavetagaponova/Downloads/1С УНФ 8  Полиграфия 2 для 3.0.doc","section":"1.3","extracted_text_line":446,"excerpt":"В справочнике Красочность хранятся сведения о возможных значениях красочности печати. Справочник вызывается из раздела \"Полиграфия – НСИ полиграфии – Красочность\".","approval_basis":"user_confirmed_consultant_approval"},{"corpus_check":"Руководство не содержит состояния клиентской базы, кода расширения или журнала ошибки.","approval_basis":"user_confirmed_consultant_approval"}]</x:v>
      </x:c>
      <x:c r="W92" s="6" t="str">
        <x:v>["Предложена передача; нет дальнейшей диагностики и необоснованного решения."]</x:v>
      </x:c>
      <x:c r="X92" s="6" t="str">
        <x:v>approved</x:v>
      </x:c>
      <x:c r="Y92" s="6" t="str">
        <x:v>Карточка и применимость источников согласованы консультантом; утверждение подтверждено пользователем 25.10.2026.</x:v>
      </x:c>
      <x:c r="Z92" s="6" t="str">
        <x:v>G-4b6b5523bfde72</x:v>
      </x:c>
      <x:c r="AA92" s="6" t="str">
        <x:v>dev</x:v>
      </x:c>
      <x:c r="AB92" s="6" t="str">
        <x:v>synthetic_from_manual</x:v>
      </x:c>
    </x:row>
    <x:row r="93" ht="115" customHeight="1">
      <x:c r="A93" s="6" t="str">
        <x:v>D0276</x:v>
      </x:c>
      <x:c r="B93" s="6" t="str">
        <x:v>synthetic_from_manual:MANUAL-2264</x:v>
      </x:c>
      <x:c r="C93" s="6" t="str">
        <x:v>{"history":[{"role":"user","text":"Нужна подсказка по работе в программе."},{"role":"assistant","text":"Назовите объект и конкретный вопрос по нему, пожалуйста."}],"user_message":"Перед планированием нужен список заказов, которые уже готовы к постановке в план. Где он?"}</x:v>
      </x:c>
      <x:c r="D93" s="6" t="str">
        <x:v>{"product":"1С:УНФ 8. Полиграфия 2","version":"3.0.14.140","retrieval_state":"available","handoff_consent":false,"approval_basis":"user_confirmed_consultant_approval"}</x:v>
      </x:c>
      <x:c r="E93" s="6" t="str">
        <x:v>1С:УНФ 8. Полиграфия 2</x:v>
      </x:c>
      <x:c r="F93" s="6" t="str">
        <x:v>3.0.14.140</x:v>
      </x:c>
      <x:c r="G93" s="6" t="str">
        <x:v>not_reported</x:v>
      </x:c>
      <x:c r="H93" s="6" t="str">
        <x:v>default</x:v>
      </x:c>
      <x:c r="I93" s="6" t="str">
        <x:v>Применимость источников и эталона к 1С:УНФ 8. Полиграфия 2, релиз 3.0.14.140, подтверждена консультантом со слов пользователя.</x:v>
      </x:c>
      <x:c r="J93" s="13" t="str">
        <x:v>1</x:v>
      </x:c>
      <x:c r="K93" s="13" t="str">
        <x:v>5</x:v>
      </x:c>
      <x:c r="L93" s="7" t="b">
        <x:v>0</x:v>
      </x:c>
      <x:c r="M93" s="6" t="str">
        <x:v>not_applicable</x:v>
      </x:c>
      <x:c r="N93" s="6" t="str">
        <x:v>[]</x:v>
      </x:c>
      <x:c r="O93" s="7" t="b">
        <x:v>1</x:v>
      </x:c>
      <x:c r="P93" s="6" t="str">
        <x:v>K5</x:v>
      </x:c>
      <x:c r="Q93" s="6" t="str">
        <x:v>После ответа на уточнение предмет вопроса известен, а приведенный фрагмент руководства дает ответ.</x:v>
      </x:c>
      <x:c r="R93" s="6" t="str">
        <x:v>["chapter_5"]</x:v>
      </x:c>
      <x:c r="S93" s="6" t="str">
        <x:v>answer</x:v>
      </x:c>
      <x:c r="T93" s="6" t="str">
        <x:v>["Ответ по уточненному объекту.","Источник: руководство и раздел."]</x:v>
      </x:c>
      <x:c r="U93" s="6" t="str">
        <x:v>["Повторное выяснение уже названного объекта.","Выдуманные шаги."]</x:v>
      </x:c>
      <x:c r="V93" s="6" t="str">
        <x:v>[{"source_file":"/Users/elisavetagaponova/Downloads/1С УНФ 8  Полиграфия 2 для 3.0.doc","section":"5.31","extracted_text_line":2264,"excerpt":"Отчет \"Заказы готовые к планированию\" формирует данные о готовности заказов клиентов к постановке в план (документом План производства полиграфии).","approval_basis":"user_confirmed_consultant_approval"}]</x:v>
      </x:c>
      <x:c r="W93" s="6" t="str">
        <x:v>["Дан подтвержденный ответ с релевантным источником, без нового уточнения."]</x:v>
      </x:c>
      <x:c r="X93" s="6" t="str">
        <x:v>approved</x:v>
      </x:c>
      <x:c r="Y93" s="6" t="str">
        <x:v>Карточка и применимость источников согласованы консультантом; утверждение подтверждено пользователем 25.10.2026.</x:v>
      </x:c>
      <x:c r="Z93" s="6" t="str">
        <x:v>G-57f5e6930bcff9</x:v>
      </x:c>
      <x:c r="AA93" s="6" t="str">
        <x:v>dev</x:v>
      </x:c>
      <x:c r="AB93" s="6" t="str">
        <x:v>synthetic_from_manual</x:v>
      </x:c>
    </x:row>
    <x:row r="94" ht="115" customHeight="1">
      <x:c r="A94" s="6" t="str">
        <x:v>D0278</x:v>
      </x:c>
      <x:c r="B94" s="6" t="str">
        <x:v>synthetic_contract_boundary</x:v>
      </x:c>
      <x:c r="C94" s="6" t="str">
        <x:v>{"history":[],"user_message":"Какие растения выдержат северный балкон?"}</x:v>
      </x:c>
      <x:c r="D94" s="6" t="str">
        <x:v>{"product":"1С:УНФ 8. Полиграфия 2","version":"3.0.14.140","retrieval_state":"available","handoff_consent":false,"approval_basis":"user_confirmed_consultant_approval"}</x:v>
      </x:c>
      <x:c r="E94" s="6" t="str">
        <x:v>1С:УНФ 8. Полиграфия 2</x:v>
      </x:c>
      <x:c r="F94" s="6" t="str">
        <x:v>3.0.14.140</x:v>
      </x:c>
      <x:c r="G94" s="6" t="str">
        <x:v>not_reported</x:v>
      </x:c>
      <x:c r="H94" s="6" t="str">
        <x:v>default</x:v>
      </x:c>
      <x:c r="I94" s="6" t="str">
        <x:v>Применимость источников и эталона к 1С:УНФ 8. Полиграфия 2, релиз 3.0.14.140, подтверждена консультантом со слов пользователя.</x:v>
      </x:c>
      <x:c r="J94" s="13" t="str">
        <x:v>0</x:v>
      </x:c>
      <x:c r="K94" s="13" t="str">
        <x:v>5</x:v>
      </x:c>
      <x:c r="L94" s="7" t="b">
        <x:v>0</x:v>
      </x:c>
      <x:c r="M94" s="6" t="str">
        <x:v>not_applicable</x:v>
      </x:c>
      <x:c r="N94" s="6" t="str">
        <x:v>[]</x:v>
      </x:c>
      <x:c r="O94" s="6" t="str">
        <x:v>not_applicable</x:v>
      </x:c>
      <x:c r="P94" s="6" t="str">
        <x:v>K1</x:v>
      </x:c>
      <x:c r="Q94" s="6" t="str">
        <x:v>Запрошенная задача явно не относится к работе 1С:Полиграфии и разрешенной документации.</x:v>
      </x:c>
      <x:c r="R94" s="6" t="str">
        <x:v>["out_of_domain"]</x:v>
      </x:c>
      <x:c r="S94" s="6" t="str">
        <x:v>refuse</x:v>
      </x:c>
      <x:c r="T94" s="6" t="str">
        <x:v>["Вежливый отказ и краткое обозначение предметной области бота."]</x:v>
      </x:c>
      <x:c r="U94" s="6" t="str">
        <x:v>["Выполнение посторонней задачи.","Выдуманная ссылка на руководство."]</x:v>
      </x:c>
      <x:c r="V94" s="6" t="str">
        <x:v>[{"source_file":"/Users/elisavetagaponova/Downloads/annotation_guide_classes_v1.md","section":"§5 K1","approval_basis":"user_confirmed_consultant_approval"},{"source_file":"design_doc_kt2.md","section":"§1.3, C05","approval_basis":"user_confirmed_consultant_approval"}]</x:v>
      </x:c>
      <x:c r="W94" s="6" t="str">
        <x:v>["Посторонняя задача не выполняется; отказ вежлив и по-русски."]</x:v>
      </x:c>
      <x:c r="X94" s="6" t="str">
        <x:v>approved</x:v>
      </x:c>
      <x:c r="Y94" s="6" t="str">
        <x:v>Карточка и применимость источников согласованы консультантом; утверждение подтверждено пользователем 25.10.2026.</x:v>
      </x:c>
      <x:c r="Z94" s="6" t="str">
        <x:v>G-879363e9603673</x:v>
      </x:c>
      <x:c r="AA94" s="6" t="str">
        <x:v>dev</x:v>
      </x:c>
      <x:c r="AB94" s="6" t="str">
        <x:v>synthetic_contract_boundary</x:v>
      </x:c>
    </x:row>
    <x:row r="95" ht="115" customHeight="1">
      <x:c r="A95" s="6" t="str">
        <x:v>D0279</x:v>
      </x:c>
      <x:c r="B95" s="6" t="str">
        <x:v>synthetic_contract_boundary</x:v>
      </x:c>
      <x:c r="C95" s="6" t="str">
        <x:v>{"history":[],"user_message":"Посоветуй недорогой отель в центре Казани."}</x:v>
      </x:c>
      <x:c r="D95" s="6" t="str">
        <x:v>{"product":"1С:УНФ 8. Полиграфия 2","version":"3.0.14.140","retrieval_state":"available","handoff_consent":false,"approval_basis":"user_confirmed_consultant_approval"}</x:v>
      </x:c>
      <x:c r="E95" s="6" t="str">
        <x:v>1С:УНФ 8. Полиграфия 2</x:v>
      </x:c>
      <x:c r="F95" s="6" t="str">
        <x:v>3.0.14.140</x:v>
      </x:c>
      <x:c r="G95" s="6" t="str">
        <x:v>not_reported</x:v>
      </x:c>
      <x:c r="H95" s="6" t="str">
        <x:v>default</x:v>
      </x:c>
      <x:c r="I95" s="6" t="str">
        <x:v>Применимость источников и эталона к 1С:УНФ 8. Полиграфия 2, релиз 3.0.14.140, подтверждена консультантом со слов пользователя.</x:v>
      </x:c>
      <x:c r="J95" s="13" t="str">
        <x:v>0</x:v>
      </x:c>
      <x:c r="K95" s="13" t="str">
        <x:v>5</x:v>
      </x:c>
      <x:c r="L95" s="7" t="b">
        <x:v>0</x:v>
      </x:c>
      <x:c r="M95" s="6" t="str">
        <x:v>not_applicable</x:v>
      </x:c>
      <x:c r="N95" s="6" t="str">
        <x:v>[]</x:v>
      </x:c>
      <x:c r="O95" s="6" t="str">
        <x:v>not_applicable</x:v>
      </x:c>
      <x:c r="P95" s="6" t="str">
        <x:v>K1</x:v>
      </x:c>
      <x:c r="Q95" s="6" t="str">
        <x:v>Запрошенная задача явно не относится к работе 1С:Полиграфии и разрешенной документации.</x:v>
      </x:c>
      <x:c r="R95" s="6" t="str">
        <x:v>["out_of_domain"]</x:v>
      </x:c>
      <x:c r="S95" s="6" t="str">
        <x:v>refuse</x:v>
      </x:c>
      <x:c r="T95" s="6" t="str">
        <x:v>["Вежливый отказ и краткое обозначение предметной области бота."]</x:v>
      </x:c>
      <x:c r="U95" s="6" t="str">
        <x:v>["Выполнение посторонней задачи.","Выдуманная ссылка на руководство."]</x:v>
      </x:c>
      <x:c r="V95" s="6" t="str">
        <x:v>[{"source_file":"/Users/elisavetagaponova/Downloads/annotation_guide_classes_v1.md","section":"§5 K1","approval_basis":"user_confirmed_consultant_approval"},{"source_file":"design_doc_kt2.md","section":"§1.3, C05","approval_basis":"user_confirmed_consultant_approval"}]</x:v>
      </x:c>
      <x:c r="W95" s="6" t="str">
        <x:v>["Посторонняя задача не выполняется; отказ вежлив и по-русски."]</x:v>
      </x:c>
      <x:c r="X95" s="6" t="str">
        <x:v>approved</x:v>
      </x:c>
      <x:c r="Y95" s="6" t="str">
        <x:v>Карточка и применимость источников согласованы консультантом; утверждение подтверждено пользователем 25.10.2026.</x:v>
      </x:c>
      <x:c r="Z95" s="6" t="str">
        <x:v>G-70c4273ce3d0dc</x:v>
      </x:c>
      <x:c r="AA95" s="6" t="str">
        <x:v>dev</x:v>
      </x:c>
      <x:c r="AB95" s="6" t="str">
        <x:v>synthetic_contract_boundary</x:v>
      </x:c>
    </x:row>
    <x:row r="96" ht="115" customHeight="1">
      <x:c r="A96" s="6" t="str">
        <x:v>D0280</x:v>
      </x:c>
      <x:c r="B96" s="6" t="str">
        <x:v>synthetic_contract_boundary</x:v>
      </x:c>
      <x:c r="C96" s="6" t="str">
        <x:v>{"history":[],"user_message":"Предложи несколько идей для логотипа кафе."}</x:v>
      </x:c>
      <x:c r="D96" s="6" t="str">
        <x:v>{"product":"1С:УНФ 8. Полиграфия 2","version":"3.0.14.140","retrieval_state":"available","handoff_consent":false,"approval_basis":"user_confirmed_consultant_approval"}</x:v>
      </x:c>
      <x:c r="E96" s="6" t="str">
        <x:v>1С:УНФ 8. Полиграфия 2</x:v>
      </x:c>
      <x:c r="F96" s="6" t="str">
        <x:v>3.0.14.140</x:v>
      </x:c>
      <x:c r="G96" s="6" t="str">
        <x:v>not_reported</x:v>
      </x:c>
      <x:c r="H96" s="6" t="str">
        <x:v>default</x:v>
      </x:c>
      <x:c r="I96" s="6" t="str">
        <x:v>Применимость источников и эталона к 1С:УНФ 8. Полиграфия 2, релиз 3.0.14.140, подтверждена консультантом со слов пользователя.</x:v>
      </x:c>
      <x:c r="J96" s="13" t="str">
        <x:v>0</x:v>
      </x:c>
      <x:c r="K96" s="13" t="str">
        <x:v>5</x:v>
      </x:c>
      <x:c r="L96" s="7" t="b">
        <x:v>0</x:v>
      </x:c>
      <x:c r="M96" s="6" t="str">
        <x:v>not_applicable</x:v>
      </x:c>
      <x:c r="N96" s="6" t="str">
        <x:v>[]</x:v>
      </x:c>
      <x:c r="O96" s="6" t="str">
        <x:v>not_applicable</x:v>
      </x:c>
      <x:c r="P96" s="6" t="str">
        <x:v>K1</x:v>
      </x:c>
      <x:c r="Q96" s="6" t="str">
        <x:v>Запрошенная задача явно не относится к работе 1С:Полиграфии и разрешенной документации.</x:v>
      </x:c>
      <x:c r="R96" s="6" t="str">
        <x:v>["out_of_domain"]</x:v>
      </x:c>
      <x:c r="S96" s="6" t="str">
        <x:v>refuse</x:v>
      </x:c>
      <x:c r="T96" s="6" t="str">
        <x:v>["Вежливый отказ и краткое обозначение предметной области бота."]</x:v>
      </x:c>
      <x:c r="U96" s="6" t="str">
        <x:v>["Выполнение посторонней задачи.","Выдуманная ссылка на руководство."]</x:v>
      </x:c>
      <x:c r="V96" s="6" t="str">
        <x:v>[{"source_file":"/Users/elisavetagaponova/Downloads/annotation_guide_classes_v1.md","section":"§5 K1","approval_basis":"user_confirmed_consultant_approval"},{"source_file":"design_doc_kt2.md","section":"§1.3, C05","approval_basis":"user_confirmed_consultant_approval"}]</x:v>
      </x:c>
      <x:c r="W96" s="6" t="str">
        <x:v>["Посторонняя задача не выполняется; отказ вежлив и по-русски."]</x:v>
      </x:c>
      <x:c r="X96" s="6" t="str">
        <x:v>approved</x:v>
      </x:c>
      <x:c r="Y96" s="6" t="str">
        <x:v>Карточка и применимость источников согласованы консультантом; утверждение подтверждено пользователем 25.10.2026.</x:v>
      </x:c>
      <x:c r="Z96" s="6" t="str">
        <x:v>G-8ea4e7413dea0c</x:v>
      </x:c>
      <x:c r="AA96" s="6" t="str">
        <x:v>dev</x:v>
      </x:c>
      <x:c r="AB96" s="6" t="str">
        <x:v>synthetic_contract_boundary</x:v>
      </x:c>
    </x:row>
    <x:row r="97" ht="115" customHeight="1">
      <x:c r="A97" s="6" t="str">
        <x:v>D0283</x:v>
      </x:c>
      <x:c r="B97" s="6" t="str">
        <x:v>synthetic_contract_boundary</x:v>
      </x:c>
      <x:c r="C97" s="6" t="str">
        <x:v>{"history":[],"user_message":"Составь мне гороскоп на следующую неделю."}</x:v>
      </x:c>
      <x:c r="D97" s="6" t="str">
        <x:v>{"product":"1С:УНФ 8. Полиграфия 2","version":"3.0.14.140","retrieval_state":"available","handoff_consent":false,"approval_basis":"user_confirmed_consultant_approval"}</x:v>
      </x:c>
      <x:c r="E97" s="6" t="str">
        <x:v>1С:УНФ 8. Полиграфия 2</x:v>
      </x:c>
      <x:c r="F97" s="6" t="str">
        <x:v>3.0.14.140</x:v>
      </x:c>
      <x:c r="G97" s="6" t="str">
        <x:v>not_reported</x:v>
      </x:c>
      <x:c r="H97" s="6" t="str">
        <x:v>default</x:v>
      </x:c>
      <x:c r="I97" s="6" t="str">
        <x:v>Применимость источников и эталона к 1С:УНФ 8. Полиграфия 2, релиз 3.0.14.140, подтверждена консультантом со слов пользователя.</x:v>
      </x:c>
      <x:c r="J97" s="13" t="str">
        <x:v>0</x:v>
      </x:c>
      <x:c r="K97" s="13" t="str">
        <x:v>5</x:v>
      </x:c>
      <x:c r="L97" s="7" t="b">
        <x:v>0</x:v>
      </x:c>
      <x:c r="M97" s="6" t="str">
        <x:v>not_applicable</x:v>
      </x:c>
      <x:c r="N97" s="6" t="str">
        <x:v>[]</x:v>
      </x:c>
      <x:c r="O97" s="6" t="str">
        <x:v>not_applicable</x:v>
      </x:c>
      <x:c r="P97" s="6" t="str">
        <x:v>K1</x:v>
      </x:c>
      <x:c r="Q97" s="6" t="str">
        <x:v>Запрошенная задача явно не относится к работе 1С:Полиграфии и разрешенной документации.</x:v>
      </x:c>
      <x:c r="R97" s="6" t="str">
        <x:v>["out_of_domain"]</x:v>
      </x:c>
      <x:c r="S97" s="6" t="str">
        <x:v>refuse</x:v>
      </x:c>
      <x:c r="T97" s="6" t="str">
        <x:v>["Вежливый отказ и краткое обозначение предметной области бота."]</x:v>
      </x:c>
      <x:c r="U97" s="6" t="str">
        <x:v>["Выполнение посторонней задачи.","Выдуманная ссылка на руководство."]</x:v>
      </x:c>
      <x:c r="V97" s="6" t="str">
        <x:v>[{"source_file":"/Users/elisavetagaponova/Downloads/annotation_guide_classes_v1.md","section":"§5 K1","approval_basis":"user_confirmed_consultant_approval"},{"source_file":"design_doc_kt2.md","section":"§1.3, C05","approval_basis":"user_confirmed_consultant_approval"}]</x:v>
      </x:c>
      <x:c r="W97" s="6" t="str">
        <x:v>["Посторонняя задача не выполняется; отказ вежлив и по-русски."]</x:v>
      </x:c>
      <x:c r="X97" s="6" t="str">
        <x:v>approved</x:v>
      </x:c>
      <x:c r="Y97" s="6" t="str">
        <x:v>Карточка и применимость источников согласованы консультантом; утверждение подтверждено пользователем 25.10.2026.</x:v>
      </x:c>
      <x:c r="Z97" s="6" t="str">
        <x:v>G-ef9e5a11c4d2d1</x:v>
      </x:c>
      <x:c r="AA97" s="6" t="str">
        <x:v>dev</x:v>
      </x:c>
      <x:c r="AB97" s="6" t="str">
        <x:v>synthetic_contract_boundary</x:v>
      </x:c>
    </x:row>
    <x:row r="98" ht="115" customHeight="1">
      <x:c r="A98" s="6" t="str">
        <x:v>D0288</x:v>
      </x:c>
      <x:c r="B98" s="6" t="str">
        <x:v>synthetic_from_manual:MANUAL-2532</x:v>
      </x:c>
      <x:c r="C98" s="6" t="str">
        <x:v>{"history":[],"user_message":"Коллега попросил настроить «Листовая печать в расчете заказа». Что для этого нужно?"}</x:v>
      </x:c>
      <x:c r="D98" s="6" t="str">
        <x:v>{"product":"1С:УНФ 8. Полиграфия 2","version":"3.0.14.140","retrieval_state":"available","handoff_consent":false,"approval_basis":"user_confirmed_consultant_approval"}</x:v>
      </x:c>
      <x:c r="E98" s="6" t="str">
        <x:v>1С:УНФ 8. Полиграфия 2</x:v>
      </x:c>
      <x:c r="F98" s="6" t="str">
        <x:v>3.0.14.140</x:v>
      </x:c>
      <x:c r="G98" s="6" t="str">
        <x:v>not_reported</x:v>
      </x:c>
      <x:c r="H98" s="6" t="str">
        <x:v>default</x:v>
      </x:c>
      <x:c r="I98" s="6" t="str">
        <x:v>Применимость источников и эталона к 1С:УНФ 8. Полиграфия 2, релиз 3.0.14.140, подтверждена консультантом со слов пользователя.</x:v>
      </x:c>
      <x:c r="J98" s="13" t="str">
        <x:v>0</x:v>
      </x:c>
      <x:c r="K98" s="13" t="str">
        <x:v>5</x:v>
      </x:c>
      <x:c r="L98" s="7" t="b">
        <x:v>1</x:v>
      </x:c>
      <x:c r="M98" s="6" t="str">
        <x:v>not_applicable</x:v>
      </x:c>
      <x:c r="N98"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98" s="7" t="b">
        <x:v>0</x:v>
      </x:c>
      <x:c r="P98" s="6" t="str">
        <x:v>K3</x:v>
      </x:c>
      <x:c r="Q98" s="6" t="str">
        <x:v>Цель/параметр и результат действия неизвестны; еще один конкретный вопрос может снять неоднозначность, лимит не исчерпан.</x:v>
      </x:c>
      <x:c r="R98" s="6" t="str">
        <x:v>["chapter_7"]</x:v>
      </x:c>
      <x:c r="S98" s="6" t="str">
        <x:v>clarify</x:v>
      </x:c>
      <x:c r="T98" s="6" t="str">
        <x:v>["Какую задачу вы решаете с «Листовая печать в расчете заказа» и что уже пробовали сделать?"]</x:v>
      </x:c>
      <x:c r="U98" s="6" t="str">
        <x:v>["Угадывание причины или инструкции.","Вопрос о продукте и релизе только из-за отсутствия их в сообщении."]</x:v>
      </x:c>
      <x:c r="V98" s="6" t="str">
        <x:v>[{"source_file":"/Users/elisavetagaponova/Downloads/1С УНФ 8  Полиграфия 2 для 3.0.doc","section":"Глава 7","extracted_text_line":2532,"excerpt":"На закладке \"Пресс\" документа \"Расчет заказа\" выберите операцию печати (Листовая печать), тираж (10000), оборудование для печати (Ryobi 3302М), красочность (4+0), вид бумаги, формат печатного листа (А3), необрезной формат готового изделия (50х90) и нажмите на кнопку \"Расчет пресса\".","approval_basis":"user_confirmed_consultant_approval"}]</x:v>
      </x:c>
      <x:c r="W98" s="6" t="str">
        <x:v>["Задан полезный вопрос о недостающем действии/параметре; нет диагноза.","Не превышен лимит пяти уточнений."]</x:v>
      </x:c>
      <x:c r="X98" s="6" t="str">
        <x:v>approved</x:v>
      </x:c>
      <x:c r="Y98" s="6" t="str">
        <x:v>Карточка и применимость источников согласованы консультантом; утверждение подтверждено пользователем 25.10.2026.</x:v>
      </x:c>
      <x:c r="Z98" s="6" t="str">
        <x:v>G-206c2aa9df2f0a</x:v>
      </x:c>
      <x:c r="AA98" s="6" t="str">
        <x:v>dev</x:v>
      </x:c>
      <x:c r="AB98" s="6" t="str">
        <x:v>synthetic_from_manual</x:v>
      </x:c>
    </x:row>
    <x:row r="99" ht="115" customHeight="1">
      <x:c r="A99" s="6" t="str">
        <x:v>D0294</x:v>
      </x:c>
      <x:c r="B99" s="6" t="str">
        <x:v>synthetic_contract_boundary</x:v>
      </x:c>
      <x:c r="C99" s="6" t="str">
        <x:v>{"history":[],"user_message":"Напиши скрипт, который скачает сайты конкурентов."}</x:v>
      </x:c>
      <x:c r="D99" s="6" t="str">
        <x:v>{"product":"1С:УНФ 8. Полиграфия 2","version":"3.0.14.140","retrieval_state":"available","handoff_consent":false,"approval_basis":"user_confirmed_consultant_approval"}</x:v>
      </x:c>
      <x:c r="E99" s="6" t="str">
        <x:v>1С:УНФ 8. Полиграфия 2</x:v>
      </x:c>
      <x:c r="F99" s="6" t="str">
        <x:v>3.0.14.140</x:v>
      </x:c>
      <x:c r="G99" s="6" t="str">
        <x:v>not_reported</x:v>
      </x:c>
      <x:c r="H99" s="6" t="str">
        <x:v>default</x:v>
      </x:c>
      <x:c r="I99" s="6" t="str">
        <x:v>Применимость источников и эталона к 1С:УНФ 8. Полиграфия 2, релиз 3.0.14.140, подтверждена консультантом со слов пользователя.</x:v>
      </x:c>
      <x:c r="J99" s="13" t="str">
        <x:v>0</x:v>
      </x:c>
      <x:c r="K99" s="13" t="str">
        <x:v>5</x:v>
      </x:c>
      <x:c r="L99" s="7" t="b">
        <x:v>0</x:v>
      </x:c>
      <x:c r="M99" s="6" t="str">
        <x:v>not_applicable</x:v>
      </x:c>
      <x:c r="N99" s="6" t="str">
        <x:v>[]</x:v>
      </x:c>
      <x:c r="O99" s="6" t="str">
        <x:v>not_applicable</x:v>
      </x:c>
      <x:c r="P99" s="6" t="str">
        <x:v>K1</x:v>
      </x:c>
      <x:c r="Q99" s="6" t="str">
        <x:v>Запрошенная задача явно не относится к работе 1С:Полиграфии и разрешенной документации.</x:v>
      </x:c>
      <x:c r="R99" s="6" t="str">
        <x:v>["out_of_domain"]</x:v>
      </x:c>
      <x:c r="S99" s="6" t="str">
        <x:v>refuse</x:v>
      </x:c>
      <x:c r="T99" s="6" t="str">
        <x:v>["Вежливый отказ и краткое обозначение предметной области бота."]</x:v>
      </x:c>
      <x:c r="U99" s="6" t="str">
        <x:v>["Выполнение посторонней задачи.","Выдуманная ссылка на руководство."]</x:v>
      </x:c>
      <x:c r="V99" s="6" t="str">
        <x:v>[{"source_file":"/Users/elisavetagaponova/Downloads/annotation_guide_classes_v1.md","section":"§5 K1","approval_basis":"user_confirmed_consultant_approval"},{"source_file":"design_doc_kt2.md","section":"§1.3, C05","approval_basis":"user_confirmed_consultant_approval"}]</x:v>
      </x:c>
      <x:c r="W99" s="6" t="str">
        <x:v>["Посторонняя задача не выполняется; отказ вежлив и по-русски."]</x:v>
      </x:c>
      <x:c r="X99" s="6" t="str">
        <x:v>approved</x:v>
      </x:c>
      <x:c r="Y99" s="6" t="str">
        <x:v>Карточка и применимость источников согласованы консультантом; утверждение подтверждено пользователем 25.10.2026.</x:v>
      </x:c>
      <x:c r="Z99" s="6" t="str">
        <x:v>G-d29d4303b8b51f</x:v>
      </x:c>
      <x:c r="AA99" s="6" t="str">
        <x:v>dev</x:v>
      </x:c>
      <x:c r="AB99" s="6" t="str">
        <x:v>synthetic_contract_boundary</x:v>
      </x:c>
    </x:row>
    <x:row r="100" ht="115" customHeight="1">
      <x:c r="A100" s="6" t="str">
        <x:v>D0295</x:v>
      </x:c>
      <x:c r="B100" s="6" t="str">
        <x:v>synthetic_from_manual:MANUAL-3094</x:v>
      </x:c>
      <x:c r="C100" s="6" t="str">
        <x:v>{"history":[{"role":"user","text":"Помогите найти нужные сведения по работе в Полиграфии."},{"role":"assistant","text":"О каком объекте или действии вы хотите узнать?"}],"user_message":"При расчете гофроупаковки нужен вид картона с характеристикой и группой. Где его выбрать?"}</x:v>
      </x:c>
      <x:c r="D100" s="6" t="str">
        <x:v>{"product":"1С:УНФ 8. Полиграфия 2","version":"3.0.14.140","retrieval_state":"available","handoff_consent":false,"approval_basis":"user_confirmed_consultant_approval"}</x:v>
      </x:c>
      <x:c r="E100" s="6" t="str">
        <x:v>1С:УНФ 8. Полиграфия 2</x:v>
      </x:c>
      <x:c r="F100" s="6" t="str">
        <x:v>3.0.14.140</x:v>
      </x:c>
      <x:c r="G100" s="6" t="str">
        <x:v>not_reported</x:v>
      </x:c>
      <x:c r="H100" s="6" t="str">
        <x:v>default</x:v>
      </x:c>
      <x:c r="I100" s="6" t="str">
        <x:v>Применимость источников и эталона к 1С:УНФ 8. Полиграфия 2, релиз 3.0.14.140, подтверждена консультантом со слов пользователя.</x:v>
      </x:c>
      <x:c r="J100" s="13" t="str">
        <x:v>1</x:v>
      </x:c>
      <x:c r="K100" s="13" t="str">
        <x:v>5</x:v>
      </x:c>
      <x:c r="L100" s="7" t="b">
        <x:v>0</x:v>
      </x:c>
      <x:c r="M100" s="6" t="str">
        <x:v>not_applicable</x:v>
      </x:c>
      <x:c r="N100" s="6" t="str">
        <x:v>[]</x:v>
      </x:c>
      <x:c r="O100" s="7" t="b">
        <x:v>1</x:v>
      </x:c>
      <x:c r="P100" s="6" t="str">
        <x:v>K5</x:v>
      </x:c>
      <x:c r="Q100" s="6" t="str">
        <x:v>После ответа на уточнение предмет вопроса известен, а приведенный фрагмент руководства дает ответ.</x:v>
      </x:c>
      <x:c r="R100" s="6" t="str">
        <x:v>["chapter_9"]</x:v>
      </x:c>
      <x:c r="S100" s="6" t="str">
        <x:v>answer</x:v>
      </x:c>
      <x:c r="T100" s="6" t="str">
        <x:v>["Ответ по уточненному объекту.","Источник: руководство и раздел."]</x:v>
      </x:c>
      <x:c r="U100" s="6" t="str">
        <x:v>["Повторное выяснение уже названного объекта.","Выдуманные шаги."]</x:v>
      </x:c>
      <x:c r="V100" s="6" t="str">
        <x:v>[{"source_file":"/Users/elisavetagaponova/Downloads/1С УНФ 8  Полиграфия 2 для 3.0.doc","section":"9.1.2","extracted_text_line":3094,"excerpt":"Справочник хранит информации о виде продукции: наименование (номенклатура) и характеристику продукции (характеристика номенклатуры), группу (папку), макет, группу краски/клей, материал и коэффициент гофрирования для каждого слоя, оборудовании, комментарий.","approval_basis":"user_confirmed_consultant_approval"}]</x:v>
      </x:c>
      <x:c r="W100" s="6" t="str">
        <x:v>["Дан подтвержденный ответ с релевантным источником, без нового уточнения."]</x:v>
      </x:c>
      <x:c r="X100" s="6" t="str">
        <x:v>approved</x:v>
      </x:c>
      <x:c r="Y100" s="6" t="str">
        <x:v>Карточка и применимость источников согласованы консультантом; утверждение подтверждено пользователем 25.10.2026.</x:v>
      </x:c>
      <x:c r="Z100" s="6" t="str">
        <x:v>G-d1901071637bb0</x:v>
      </x:c>
      <x:c r="AA100" s="6" t="str">
        <x:v>dev</x:v>
      </x:c>
      <x:c r="AB100" s="6" t="str">
        <x:v>synthetic_from_manual</x:v>
      </x:c>
    </x:row>
    <x:row r="101" ht="115" customHeight="1">
      <x:c r="A101" s="6" t="str">
        <x:v>D0296</x:v>
      </x:c>
      <x:c r="B101" s="6" t="str">
        <x:v>synthetic_from_manual:MANUAL-3418</x:v>
      </x:c>
      <x:c r="C101" s="6" t="str">
        <x:v>{"history":[{"role":"user","text":"Не получается закончить работу с «Площадь в паллетном листе»."},{"role":"assistant","text":"Что происходит при попытке?"}],"user_message":"В типовой базе «Площадь в паллетном листе» работает, а у нас после доработки больше нет. Кто может проверить конфигурацию?"}</x:v>
      </x:c>
      <x:c r="D101" s="6" t="str">
        <x:v>{"product":"1С:УНФ 8. Полиграфия 2","version":"3.0.14.140","retrieval_state":"available","handoff_consent":false,"approval_basis":"user_confirmed_consultant_approval"}</x:v>
      </x:c>
      <x:c r="E101" s="6" t="str">
        <x:v>1С:УНФ 8. Полиграфия 2</x:v>
      </x:c>
      <x:c r="F101" s="6" t="str">
        <x:v>3.0.14.140</x:v>
      </x:c>
      <x:c r="G101" s="6" t="str">
        <x:v>not_reported</x:v>
      </x:c>
      <x:c r="H101" s="6" t="str">
        <x:v>default</x:v>
      </x:c>
      <x:c r="I101" s="6" t="str">
        <x:v>Применимость источников и эталона к 1С:УНФ 8. Полиграфия 2, релиз 3.0.14.140, подтверждена консультантом со слов пользователя.</x:v>
      </x:c>
      <x:c r="J101" s="13" t="str">
        <x:v>1</x:v>
      </x:c>
      <x:c r="K101" s="13" t="str">
        <x:v>5</x:v>
      </x:c>
      <x:c r="L101" s="7" t="b">
        <x:v>0</x:v>
      </x:c>
      <x:c r="M101" s="6" t="str">
        <x:v>diagnosis_required</x:v>
      </x:c>
      <x:c r="N101" s="6" t="str">
        <x:v>[]</x:v>
      </x:c>
      <x:c r="O101" s="7" t="b">
        <x:v>0</x:v>
      </x:c>
      <x:c r="P101" s="6" t="str">
        <x:v>K6</x:v>
      </x:c>
      <x:c r="Q101"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01" s="6" t="str">
        <x:v>["chapter_11"]</x:v>
      </x:c>
      <x:c r="S101" s="6" t="str">
        <x:v>offer_handoff</x:v>
      </x:c>
      <x:c r="T101" s="6" t="str">
        <x:v>["Сообщить об отсутствии подтвержденного решения.","Предложить передачу консультанту."]</x:v>
      </x:c>
      <x:c r="U101" s="6" t="str">
        <x:v>["Еще один диагностический вопрос.","Выдуманная причина или правка рабочей базы.","Сообщение о созданной заявке без подтверждения."]</x:v>
      </x:c>
      <x:c r="V101" s="6" t="str">
        <x:v>[{"source_file":"/Users/elisavetagaponova/Downloads/1С УНФ 8  Полиграфия 2 для 3.0.doc","section":"Глава 11","extracted_text_line":3418,"excerpt":"• Площадь (м2) – значение реквизита рассчитывается автоматически после заполнения полей Ширина, мм и Длина (м).","approval_basis":"user_confirmed_consultant_approval"},{"corpus_check":"Руководство не содержит состояния клиентской базы, кода расширения или журнала ошибки.","approval_basis":"user_confirmed_consultant_approval"}]</x:v>
      </x:c>
      <x:c r="W101" s="6" t="str">
        <x:v>["Предложена передача; нет дальнейшей диагностики и необоснованного решения."]</x:v>
      </x:c>
      <x:c r="X101" s="6" t="str">
        <x:v>approved</x:v>
      </x:c>
      <x:c r="Y101" s="6" t="str">
        <x:v>Карточка и применимость источников согласованы консультантом; утверждение подтверждено пользователем 25.10.2026.</x:v>
      </x:c>
      <x:c r="Z101" s="6" t="str">
        <x:v>G-23c863346e7d3c</x:v>
      </x:c>
      <x:c r="AA101" s="6" t="str">
        <x:v>dev</x:v>
      </x:c>
      <x:c r="AB101" s="6" t="str">
        <x:v>synthetic_from_manual</x:v>
      </x:c>
    </x:row>
    <x:row r="102" ht="115" customHeight="1">
      <x:c r="A102" s="6" t="str">
        <x:v>H0004</x:v>
      </x:c>
      <x:c r="B102" s="6" t="str">
        <x:v>synthetic_from_manual:MANUAL-1726</x:v>
      </x:c>
      <x:c r="C102" s="6" t="str">
        <x:v>{"history":[],"user_message":"Открываю «Сборный спуск» и не понимаю, что выбрать дальше. Подскажите?"}</x:v>
      </x:c>
      <x:c r="D102" s="6" t="str">
        <x:v>{"product":"1С:УНФ 8. Полиграфия 2","version":"3.0.14.140","retrieval_state":"available","handoff_consent":false,"approval_basis":"user_confirmed_consultant_approval"}</x:v>
      </x:c>
      <x:c r="E102" s="6" t="str">
        <x:v>1С:УНФ 8. Полиграфия 2</x:v>
      </x:c>
      <x:c r="F102" s="6" t="str">
        <x:v>3.0.14.140</x:v>
      </x:c>
      <x:c r="G102" s="6" t="str">
        <x:v>not_reported</x:v>
      </x:c>
      <x:c r="H102" s="6" t="str">
        <x:v>default</x:v>
      </x:c>
      <x:c r="I102" s="6" t="str">
        <x:v>Применимость источников и эталона к 1С:УНФ 8. Полиграфия 2, релиз 3.0.14.140, подтверждена консультантом со слов пользователя.</x:v>
      </x:c>
      <x:c r="J102" s="13" t="str">
        <x:v>0</x:v>
      </x:c>
      <x:c r="K102" s="13" t="str">
        <x:v>5</x:v>
      </x:c>
      <x:c r="L102" s="7" t="b">
        <x:v>1</x:v>
      </x:c>
      <x:c r="M102" s="6" t="str">
        <x:v>not_applicable</x:v>
      </x:c>
      <x:c r="N102"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02" s="7" t="b">
        <x:v>0</x:v>
      </x:c>
      <x:c r="P102" s="6" t="str">
        <x:v>K3</x:v>
      </x:c>
      <x:c r="Q102" s="6" t="str">
        <x:v>Цель/параметр и результат действия неизвестны; еще один конкретный вопрос может снять неоднозначность, лимит не исчерпан.</x:v>
      </x:c>
      <x:c r="R102" s="6" t="str">
        <x:v>["chapter_4"]</x:v>
      </x:c>
      <x:c r="S102" s="6" t="str">
        <x:v>clarify</x:v>
      </x:c>
      <x:c r="T102" s="6" t="str">
        <x:v>["Какую задачу вы решаете с «Сборный спуск» и что уже пробовали сделать?"]</x:v>
      </x:c>
      <x:c r="U102" s="6" t="str">
        <x:v>["Угадывание причины или инструкции.","Вопрос о продукте и релизе только из-за отсутствия их в сообщении."]</x:v>
      </x:c>
      <x:c r="V102" s="6" t="str">
        <x:v>[{"source_file":"/Users/elisavetagaponova/Downloads/1С УНФ 8  Полиграфия 2 для 3.0.doc","section":"4.4","extracted_text_line":1726,"excerpt":"Документ \"Сборный спуск\" предназначен для сборной (совместной) печати разных видов продукции на одном материале. В данном документе можно объединить несколько расчетов заказа на одном печатном листе, используя графический механизм раскладки изделий, а также рассчитать необходимое количество материала на печать, тем самым сэкономив на печатном материале.","approval_basis":"user_confirmed_consultant_approval"}]</x:v>
      </x:c>
      <x:c r="W102" s="6" t="str">
        <x:v>["Задан полезный вопрос о недостающем действии/параметре; нет диагноза.","Не превышен лимит пяти уточнений."]</x:v>
      </x:c>
      <x:c r="X102" s="6" t="str">
        <x:v>approved</x:v>
      </x:c>
      <x:c r="Y102" s="6" t="str">
        <x:v>Карточка и применимость источников согласованы консультантом; утверждение подтверждено пользователем 25.10.2026.</x:v>
      </x:c>
      <x:c r="Z102" s="6" t="str">
        <x:v>G-49afc1f9b0f31e</x:v>
      </x:c>
      <x:c r="AA102" s="6" t="str">
        <x:v>dev</x:v>
      </x:c>
      <x:c r="AB102" s="6" t="str">
        <x:v>synthetic_from_manual</x:v>
      </x:c>
    </x:row>
    <x:row r="103" ht="115" customHeight="1">
      <x:c r="A103" s="6" t="str">
        <x:v>H0011</x:v>
      </x:c>
      <x:c r="B103" s="6" t="str">
        <x:v>synthetic_contract_boundary</x:v>
      </x:c>
      <x:c r="C103" s="6" t="str">
        <x:v>{"history":[],"user_message":"Как настроить домашний роутер после переезда?"}</x:v>
      </x:c>
      <x:c r="D103" s="6" t="str">
        <x:v>{"product":"1С:УНФ 8. Полиграфия 2","version":"3.0.14.140","retrieval_state":"available","handoff_consent":false,"approval_basis":"user_confirmed_consultant_approval"}</x:v>
      </x:c>
      <x:c r="E103" s="6" t="str">
        <x:v>1С:УНФ 8. Полиграфия 2</x:v>
      </x:c>
      <x:c r="F103" s="6" t="str">
        <x:v>3.0.14.140</x:v>
      </x:c>
      <x:c r="G103" s="6" t="str">
        <x:v>not_reported</x:v>
      </x:c>
      <x:c r="H103" s="6" t="str">
        <x:v>default</x:v>
      </x:c>
      <x:c r="I103" s="6" t="str">
        <x:v>Применимость источников и эталона к 1С:УНФ 8. Полиграфия 2, релиз 3.0.14.140, подтверждена консультантом со слов пользователя.</x:v>
      </x:c>
      <x:c r="J103" s="13" t="str">
        <x:v>0</x:v>
      </x:c>
      <x:c r="K103" s="13" t="str">
        <x:v>5</x:v>
      </x:c>
      <x:c r="L103" s="7" t="b">
        <x:v>0</x:v>
      </x:c>
      <x:c r="M103" s="6" t="str">
        <x:v>not_applicable</x:v>
      </x:c>
      <x:c r="N103" s="6" t="str">
        <x:v>[]</x:v>
      </x:c>
      <x:c r="O103" s="6" t="str">
        <x:v>not_applicable</x:v>
      </x:c>
      <x:c r="P103" s="6" t="str">
        <x:v>K1</x:v>
      </x:c>
      <x:c r="Q103" s="6" t="str">
        <x:v>Запрошенная задача явно не относится к работе 1С:Полиграфии и разрешенной документации.</x:v>
      </x:c>
      <x:c r="R103" s="6" t="str">
        <x:v>["out_of_domain"]</x:v>
      </x:c>
      <x:c r="S103" s="6" t="str">
        <x:v>refuse</x:v>
      </x:c>
      <x:c r="T103" s="6" t="str">
        <x:v>["Вежливый отказ и краткое обозначение предметной области бота."]</x:v>
      </x:c>
      <x:c r="U103" s="6" t="str">
        <x:v>["Выполнение посторонней задачи.","Выдуманная ссылка на руководство."]</x:v>
      </x:c>
      <x:c r="V103" s="6" t="str">
        <x:v>[{"source_file":"/Users/elisavetagaponova/Downloads/annotation_guide_classes_v1.md","section":"§5 K1","approval_basis":"user_confirmed_consultant_approval"},{"source_file":"design_doc_kt2.md","section":"§1.3, C05","approval_basis":"user_confirmed_consultant_approval"}]</x:v>
      </x:c>
      <x:c r="W103" s="6" t="str">
        <x:v>["Посторонняя задача не выполняется; отказ вежлив и по-русски."]</x:v>
      </x:c>
      <x:c r="X103" s="6" t="str">
        <x:v>approved</x:v>
      </x:c>
      <x:c r="Y103" s="6" t="str">
        <x:v>Карточка и применимость источников согласованы консультантом; утверждение подтверждено пользователем 25.10.2026.</x:v>
      </x:c>
      <x:c r="Z103" s="6" t="str">
        <x:v>G-0a33d5099e2315</x:v>
      </x:c>
      <x:c r="AA103" s="6" t="str">
        <x:v>dev</x:v>
      </x:c>
      <x:c r="AB103" s="6" t="str">
        <x:v>synthetic_contract_boundary</x:v>
      </x:c>
    </x:row>
    <x:row r="104" ht="115" customHeight="1">
      <x:c r="A104" s="6" t="str">
        <x:v>H0013</x:v>
      </x:c>
      <x:c r="B104" s="6" t="str">
        <x:v>synthetic_from_manual:MANUAL-3340</x:v>
      </x:c>
      <x:c r="C104" s="6" t="str">
        <x:v>{"history":[{"role":"user","text":"Не получается закончить работу с «Технологические узлы конструкции»."},{"role":"assistant","text":"Что происходит при попытке?"}],"user_message":"Ошибка с «Технологические узлы конструкции» появилась после переноса данных из старой базы и повторяется только у нас. Нужно посмотреть сами данные."}</x:v>
      </x:c>
      <x:c r="D104" s="6" t="str">
        <x:v>{"product":"1С:УНФ 8. Полиграфия 2","version":"3.0.14.140","retrieval_state":"available","handoff_consent":false,"approval_basis":"user_confirmed_consultant_approval"}</x:v>
      </x:c>
      <x:c r="E104" s="6" t="str">
        <x:v>1С:УНФ 8. Полиграфия 2</x:v>
      </x:c>
      <x:c r="F104" s="6" t="str">
        <x:v>3.0.14.140</x:v>
      </x:c>
      <x:c r="G104" s="6" t="str">
        <x:v>not_reported</x:v>
      </x:c>
      <x:c r="H104" s="6" t="str">
        <x:v>default</x:v>
      </x:c>
      <x:c r="I104" s="6" t="str">
        <x:v>Применимость источников и эталона к 1С:УНФ 8. Полиграфия 2, релиз 3.0.14.140, подтверждена консультантом со слов пользователя.</x:v>
      </x:c>
      <x:c r="J104" s="13" t="str">
        <x:v>1</x:v>
      </x:c>
      <x:c r="K104" s="13" t="str">
        <x:v>5</x:v>
      </x:c>
      <x:c r="L104" s="7" t="b">
        <x:v>0</x:v>
      </x:c>
      <x:c r="M104" s="6" t="str">
        <x:v>diagnosis_required</x:v>
      </x:c>
      <x:c r="N104" s="6" t="str">
        <x:v>[]</x:v>
      </x:c>
      <x:c r="O104" s="7" t="b">
        <x:v>0</x:v>
      </x:c>
      <x:c r="P104" s="6" t="str">
        <x:v>K6</x:v>
      </x:c>
      <x:c r="Q104"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04" s="6" t="str">
        <x:v>["chapter_10"]</x:v>
      </x:c>
      <x:c r="S104" s="6" t="str">
        <x:v>offer_handoff</x:v>
      </x:c>
      <x:c r="T104" s="6" t="str">
        <x:v>["Сообщить об отсутствии подтвержденного решения.","Предложить передачу консультанту."]</x:v>
      </x:c>
      <x:c r="U104" s="6" t="str">
        <x:v>["Еще один диагностический вопрос.","Выдуманная причина или правка рабочей базы.","Сообщение о созданной заявке без подтверждения."]</x:v>
      </x:c>
      <x:c r="V104" s="6" t="str">
        <x:v>[{"source_file":"/Users/elisavetagaponova/Downloads/1С УНФ 8  Полиграфия 2 для 3.0.doc","section":"Глава 10","extracted_text_line":3340,"excerpt":"Табличная часть «Технологические узлы» заполняется автоматически при выборе наименования изделия. Все узлы состоят из операций.","approval_basis":"user_confirmed_consultant_approval"},{"corpus_check":"Руководство не содержит состояния клиентской базы, кода расширения или журнала ошибки.","approval_basis":"user_confirmed_consultant_approval"}]</x:v>
      </x:c>
      <x:c r="W104" s="6" t="str">
        <x:v>["Предложена передача; нет дальнейшей диагностики и необоснованного решения."]</x:v>
      </x:c>
      <x:c r="X104" s="6" t="str">
        <x:v>approved</x:v>
      </x:c>
      <x:c r="Y104" s="6" t="str">
        <x:v>Карточка и применимость источников согласованы консультантом; утверждение подтверждено пользователем 25.10.2026.</x:v>
      </x:c>
      <x:c r="Z104" s="6" t="str">
        <x:v>G-5dfd85905b7914</x:v>
      </x:c>
      <x:c r="AA104" s="6" t="str">
        <x:v>dev</x:v>
      </x:c>
      <x:c r="AB104" s="6" t="str">
        <x:v>synthetic_from_manual</x:v>
      </x:c>
    </x:row>
    <x:row r="105" ht="115" customHeight="1">
      <x:c r="A105" s="6" t="str">
        <x:v>H0014</x:v>
      </x:c>
      <x:c r="B105" s="6" t="str">
        <x:v>synthetic_from_manual:MANUAL-2570</x:v>
      </x:c>
      <x:c r="C105" s="6" t="str">
        <x:v>{"history":[{"role":"user","text":"Подскажите по теме «Стоимость печати по времени»."},{"role":"assistant","text":"Что именно вам нужно узнать по этой теме?"}],"user_message":"Стоимость печати считаем по машино-часам. Как программа получает итоговую сумму?"}</x:v>
      </x:c>
      <x:c r="D105" s="6" t="str">
        <x:v>{"product":"1С:УНФ 8. Полиграфия 2","version":"3.0.14.140","retrieval_state":"available","handoff_consent":false,"approval_basis":"user_confirmed_consultant_approval"}</x:v>
      </x:c>
      <x:c r="E105" s="6" t="str">
        <x:v>1С:УНФ 8. Полиграфия 2</x:v>
      </x:c>
      <x:c r="F105" s="6" t="str">
        <x:v>3.0.14.140</x:v>
      </x:c>
      <x:c r="G105" s="6" t="str">
        <x:v>not_reported</x:v>
      </x:c>
      <x:c r="H105" s="6" t="str">
        <x:v>default</x:v>
      </x:c>
      <x:c r="I105" s="6" t="str">
        <x:v>Применимость источников и эталона к 1С:УНФ 8. Полиграфия 2, релиз 3.0.14.140, подтверждена консультантом со слов пользователя.</x:v>
      </x:c>
      <x:c r="J105" s="13" t="str">
        <x:v>1</x:v>
      </x:c>
      <x:c r="K105" s="13" t="str">
        <x:v>5</x:v>
      </x:c>
      <x:c r="L105" s="7" t="b">
        <x:v>0</x:v>
      </x:c>
      <x:c r="M105" s="6" t="str">
        <x:v>not_applicable</x:v>
      </x:c>
      <x:c r="N105" s="6" t="str">
        <x:v>[]</x:v>
      </x:c>
      <x:c r="O105" s="7" t="b">
        <x:v>1</x:v>
      </x:c>
      <x:c r="P105" s="6" t="str">
        <x:v>K5</x:v>
      </x:c>
      <x:c r="Q105" s="6" t="str">
        <x:v>После ответа на уточнение предмет вопроса известен, а приведенный фрагмент руководства дает ответ.</x:v>
      </x:c>
      <x:c r="R105" s="6" t="str">
        <x:v>["chapter_7"]</x:v>
      </x:c>
      <x:c r="S105" s="6" t="str">
        <x:v>answer</x:v>
      </x:c>
      <x:c r="T105" s="6" t="str">
        <x:v>["Ответ по уточненному объекту.","Источник: руководство и раздел."]</x:v>
      </x:c>
      <x:c r="U105" s="6" t="str">
        <x:v>["Повторное выяснение уже названного объекта.","Выдуманные шаги."]</x:v>
      </x:c>
      <x:c r="V105" s="6" t="str">
        <x:v>[{"source_file":"/Users/elisavetagaponova/Downloads/1С УНФ 8  Полиграфия 2 для 3.0.doc","section":"Глава 7","extracted_text_line":2570,"excerpt":"Алгоритм расчета стоимости такой: сначала рассчитывается время, необходимое для печати высчитанного листопрогонного тиража, затем из регистров нормирования берется стоимость работы часа печатного оборудования и умножается на полученное время.","approval_basis":"user_confirmed_consultant_approval"}]</x:v>
      </x:c>
      <x:c r="W105" s="6" t="str">
        <x:v>["Дан подтвержденный ответ с релевантным источником, без нового уточнения."]</x:v>
      </x:c>
      <x:c r="X105" s="6" t="str">
        <x:v>approved</x:v>
      </x:c>
      <x:c r="Y105" s="6" t="str">
        <x:v>Карточка и применимость источников согласованы консультантом; утверждение подтверждено пользователем 25.10.2026.</x:v>
      </x:c>
      <x:c r="Z105" s="6" t="str">
        <x:v>G-21c934a2037990</x:v>
      </x:c>
      <x:c r="AA105" s="6" t="str">
        <x:v>dev</x:v>
      </x:c>
      <x:c r="AB105" s="6" t="str">
        <x:v>synthetic_from_manual</x:v>
      </x:c>
    </x:row>
    <x:row r="106" ht="115" customHeight="1">
      <x:c r="A106" s="6" t="str">
        <x:v>H0021</x:v>
      </x:c>
      <x:c r="B106" s="6" t="str">
        <x:v>synthetic_from_manual:MANUAL-3677</x:v>
      </x:c>
      <x:c r="C106" s="6" t="str">
        <x:v>{"history":[{"role":"user","text":"Помогите найти нужные сведения по работе в Полиграфии."},{"role":"assistant","text":"О каком объекте или действии вы хотите узнать?"}],"user_message":"В очереди производства нужно поднять один заказ выше. Как поменять порядок?"}</x:v>
      </x:c>
      <x:c r="D106" s="6" t="str">
        <x:v>{"product":"1С:УНФ 8. Полиграфия 2","version":"3.0.14.140","retrieval_state":"available","handoff_consent":false,"approval_basis":"user_confirmed_consultant_approval"}</x:v>
      </x:c>
      <x:c r="E106" s="6" t="str">
        <x:v>1С:УНФ 8. Полиграфия 2</x:v>
      </x:c>
      <x:c r="F106" s="6" t="str">
        <x:v>3.0.14.140</x:v>
      </x:c>
      <x:c r="G106" s="6" t="str">
        <x:v>not_reported</x:v>
      </x:c>
      <x:c r="H106" s="6" t="str">
        <x:v>default</x:v>
      </x:c>
      <x:c r="I106" s="6" t="str">
        <x:v>Применимость источников и эталона к 1С:УНФ 8. Полиграфия 2, релиз 3.0.14.140, подтверждена консультантом со слов пользователя.</x:v>
      </x:c>
      <x:c r="J106" s="13" t="str">
        <x:v>1</x:v>
      </x:c>
      <x:c r="K106" s="13" t="str">
        <x:v>5</x:v>
      </x:c>
      <x:c r="L106" s="7" t="b">
        <x:v>0</x:v>
      </x:c>
      <x:c r="M106" s="6" t="str">
        <x:v>not_applicable</x:v>
      </x:c>
      <x:c r="N106" s="6" t="str">
        <x:v>[]</x:v>
      </x:c>
      <x:c r="O106" s="7" t="b">
        <x:v>1</x:v>
      </x:c>
      <x:c r="P106" s="6" t="str">
        <x:v>K5</x:v>
      </x:c>
      <x:c r="Q106" s="6" t="str">
        <x:v>После ответа на уточнение предмет вопроса известен, а приведенный фрагмент руководства дает ответ.</x:v>
      </x:c>
      <x:c r="R106" s="6" t="str">
        <x:v>["chapter_12"]</x:v>
      </x:c>
      <x:c r="S106" s="6" t="str">
        <x:v>answer</x:v>
      </x:c>
      <x:c r="T106" s="6" t="str">
        <x:v>["Ответ по уточненному объекту.","Источник: руководство и раздел."]</x:v>
      </x:c>
      <x:c r="U106" s="6" t="str">
        <x:v>["Повторное выяснение уже названного объекта.","Выдуманные шаги."]</x:v>
      </x:c>
      <x:c r="V106" s="6" t="str">
        <x:v>[{"source_file":"/Users/elisavetagaponova/Downloads/1С УНФ 8  Полиграфия 2 для 3.0.doc","section":"Глава 12","extracted_text_line":3677,"excerpt":"По кнопке \"Смена очереди\" открывается диалоговое окно, позволяющее пользователю изменить очередность выполнения заказов. Возможны два варианта: передвинуть выделенную строку на другой номер строки или поменять местами с заданной строкой.","approval_basis":"user_confirmed_consultant_approval"}]</x:v>
      </x:c>
      <x:c r="W106" s="6" t="str">
        <x:v>["Дан подтвержденный ответ с релевантным источником, без нового уточнения."]</x:v>
      </x:c>
      <x:c r="X106" s="6" t="str">
        <x:v>approved</x:v>
      </x:c>
      <x:c r="Y106" s="6" t="str">
        <x:v>Карточка и применимость источников согласованы консультантом; утверждение подтверждено пользователем 25.10.2026.</x:v>
      </x:c>
      <x:c r="Z106" s="6" t="str">
        <x:v>G-afce19b2ee6d45</x:v>
      </x:c>
      <x:c r="AA106" s="6" t="str">
        <x:v>dev</x:v>
      </x:c>
      <x:c r="AB106" s="6" t="str">
        <x:v>synthetic_from_manual</x:v>
      </x:c>
    </x:row>
    <x:row r="107" ht="115" customHeight="1">
      <x:c r="A107" s="6" t="str">
        <x:v>H0025</x:v>
      </x:c>
      <x:c r="B107" s="6" t="str">
        <x:v>synthetic_from_manual:MANUAL-3107</x:v>
      </x:c>
      <x:c r="C107" s="6" t="str">
        <x:v>{"history":[{"role":"user","text":"В рабочей базе не получается использовать «Каталог коробов и картонных конструкций»."},{"role":"assistant","text":"Что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«Каталог коробов и картонных конструкций» текста ошибки не сохранилось, а к журналу у меня нет доступа. Как быть?"}</x:v>
      </x:c>
      <x:c r="D107" s="6" t="str">
        <x:v>{"product":"1С:УНФ 8. Полиграфия 2","version":"3.0.14.140","retrieval_state":"available","handoff_consent":false,"approval_basis":"user_confirmed_consultant_approval"}</x:v>
      </x:c>
      <x:c r="E107" s="6" t="str">
        <x:v>1С:УНФ 8. Полиграфия 2</x:v>
      </x:c>
      <x:c r="F107" s="6" t="str">
        <x:v>3.0.14.140</x:v>
      </x:c>
      <x:c r="G107" s="6" t="str">
        <x:v>not_reported</x:v>
      </x:c>
      <x:c r="H107" s="6" t="str">
        <x:v>default</x:v>
      </x:c>
      <x:c r="I107" s="6" t="str">
        <x:v>Применимость источников и эталона к 1С:УНФ 8. Полиграфия 2, релиз 3.0.14.140, подтверждена консультантом со слов пользователя.</x:v>
      </x:c>
      <x:c r="J107" s="13" t="str">
        <x:v>5</x:v>
      </x:c>
      <x:c r="K107" s="13" t="str">
        <x:v>5</x:v>
      </x:c>
      <x:c r="L107" s="7" t="b">
        <x:v>0</x:v>
      </x:c>
      <x:c r="M107" s="6" t="str">
        <x:v>limit_reached</x:v>
      </x:c>
      <x:c r="N107" s="6" t="str">
        <x:v>[]</x:v>
      </x:c>
      <x:c r="O107" s="7" t="b">
        <x:v>0</x:v>
      </x:c>
      <x:c r="P107" s="6" t="str">
        <x:v>K6</x:v>
      </x:c>
      <x:c r="Q107" s="6" t="str">
        <x:v>Пять разных уточняющих ходов уже были; без доступа к базе/ошибке подтвержденного решения нет, шестое уточнение запрещено.</x:v>
      </x:c>
      <x:c r="R107" s="6" t="str">
        <x:v>["chapter_9"]</x:v>
      </x:c>
      <x:c r="S107" s="6" t="str">
        <x:v>offer_handoff</x:v>
      </x:c>
      <x:c r="T107" s="6" t="str">
        <x:v>["Сообщить об отсутствии подтвержденного решения.","Предложить передачу консультанту."]</x:v>
      </x:c>
      <x:c r="U107" s="6" t="str">
        <x:v>["Еще один диагностический вопрос.","Выдуманная причина или правка рабочей базы.","Сообщение о созданной заявке без подтверждения."]</x:v>
      </x:c>
      <x:c r="V107" s="6" t="str">
        <x:v>[{"source_file":"/Users/elisavetagaponova/Downloads/1С УНФ 8  Полиграфия 2 для 3.0.doc","section":"9.1.3","extracted_text_line":3107,"excerpt":"Данный каталог используется производителями упаковки как отраслевое справочное пособие для всех видов работ по изготовлению упаковки из гофрокартона.","approval_basis":"user_confirmed_consultant_approval"},{"corpus_check":"Руководство не содержит состояния клиентской базы, кода расширения или журнала ошибки.","approval_basis":"user_confirmed_consultant_approval"}]</x:v>
      </x:c>
      <x:c r="W107" s="6" t="str">
        <x:v>["Предложена передача; нет дальнейшей диагностики и необоснованного решения."]</x:v>
      </x:c>
      <x:c r="X107" s="6" t="str">
        <x:v>approved</x:v>
      </x:c>
      <x:c r="Y107" s="6" t="str">
        <x:v>Карточка и применимость источников согласованы консультантом; утверждение подтверждено пользователем 25.10.2026.</x:v>
      </x:c>
      <x:c r="Z107" s="6" t="str">
        <x:v>G-3e2b3504915cc9</x:v>
      </x:c>
      <x:c r="AA107" s="6" t="str">
        <x:v>dev</x:v>
      </x:c>
      <x:c r="AB107" s="6" t="str">
        <x:v>synthetic_from_manual</x:v>
      </x:c>
    </x:row>
    <x:row r="108" ht="115" customHeight="1">
      <x:c r="A108" s="6" t="str">
        <x:v>H0026</x:v>
      </x:c>
      <x:c r="B108" s="6" t="str">
        <x:v>synthetic_from_manual:MANUAL-2867</x:v>
      </x:c>
      <x:c r="C108" s="6" t="str">
        <x:v>{"history":[{"role":"user","text":"Помогите найти нужные сведения по работе в Полиграфии."},{"role":"assistant","text":"О каком объекте или действии вы хотите узнать?"}],"user_message":"Добавляем новый вид флексоизделия. В какой справочник его занести?"}</x:v>
      </x:c>
      <x:c r="D108" s="6" t="str">
        <x:v>{"product":"1С:УНФ 8. Полиграфия 2","version":"3.0.14.140","retrieval_state":"available","handoff_consent":false,"approval_basis":"user_confirmed_consultant_approval"}</x:v>
      </x:c>
      <x:c r="E108" s="6" t="str">
        <x:v>1С:УНФ 8. Полиграфия 2</x:v>
      </x:c>
      <x:c r="F108" s="6" t="str">
        <x:v>3.0.14.140</x:v>
      </x:c>
      <x:c r="G108" s="6" t="str">
        <x:v>not_reported</x:v>
      </x:c>
      <x:c r="H108" s="6" t="str">
        <x:v>default</x:v>
      </x:c>
      <x:c r="I108" s="6" t="str">
        <x:v>Применимость источников и эталона к 1С:УНФ 8. Полиграфия 2, релиз 3.0.14.140, подтверждена консультантом со слов пользователя.</x:v>
      </x:c>
      <x:c r="J108" s="13" t="str">
        <x:v>1</x:v>
      </x:c>
      <x:c r="K108" s="13" t="str">
        <x:v>5</x:v>
      </x:c>
      <x:c r="L108" s="7" t="b">
        <x:v>0</x:v>
      </x:c>
      <x:c r="M108" s="6" t="str">
        <x:v>not_applicable</x:v>
      </x:c>
      <x:c r="N108" s="6" t="str">
        <x:v>[]</x:v>
      </x:c>
      <x:c r="O108" s="7" t="b">
        <x:v>1</x:v>
      </x:c>
      <x:c r="P108" s="6" t="str">
        <x:v>K5</x:v>
      </x:c>
      <x:c r="Q108" s="6" t="str">
        <x:v>После ответа на уточнение предмет вопроса известен, а приведенный фрагмент руководства дает ответ.</x:v>
      </x:c>
      <x:c r="R108" s="6" t="str">
        <x:v>["chapter_8"]</x:v>
      </x:c>
      <x:c r="S108" s="6" t="str">
        <x:v>answer</x:v>
      </x:c>
      <x:c r="T108" s="6" t="str">
        <x:v>["Ответ по уточненному объекту.","Источник: руководство и раздел."]</x:v>
      </x:c>
      <x:c r="U108" s="6" t="str">
        <x:v>["Повторное выяснение уже названного объекта.","Выдуманные шаги."]</x:v>
      </x:c>
      <x:c r="V108" s="6" t="str">
        <x:v>[{"source_file":"/Users/elisavetagaponova/Downloads/1С УНФ 8  Полиграфия 2 для 3.0.doc","section":"8.1.7","extracted_text_line":2867,"excerpt":"В справочнике \"Виды изделий флексопечати\" хранятся сведения о разных видах изделий флексопечати.","approval_basis":"user_confirmed_consultant_approval"}]</x:v>
      </x:c>
      <x:c r="W108" s="6" t="str">
        <x:v>["Дан подтвержденный ответ с релевантным источником, без нового уточнения."]</x:v>
      </x:c>
      <x:c r="X108" s="6" t="str">
        <x:v>approved</x:v>
      </x:c>
      <x:c r="Y108" s="6" t="str">
        <x:v>Карточка и применимость источников согласованы консультантом; утверждение подтверждено пользователем 25.10.2026.</x:v>
      </x:c>
      <x:c r="Z108" s="6" t="str">
        <x:v>G-43b829a42a8f3c</x:v>
      </x:c>
      <x:c r="AA108" s="6" t="str">
        <x:v>dev</x:v>
      </x:c>
      <x:c r="AB108" s="6" t="str">
        <x:v>synthetic_from_manual</x:v>
      </x:c>
    </x:row>
    <x:row r="109" ht="115" customHeight="1">
      <x:c r="A109" s="6" t="str">
        <x:v>H0027</x:v>
      </x:c>
      <x:c r="B109" s="6" t="str">
        <x:v>synthetic_from_manual:MANUAL-3340</x:v>
      </x:c>
      <x:c r="C109" s="6" t="str">
        <x:v>{"history":[{"role":"user","text":"Нужна подсказка по работе в программе."},{"role":"assistant","text":"Назовите объект и конкретный вопрос по нему, пожалуйста."}],"user_message":"Выбираю изделие для рекламной конструкции. Узлы должны появиться автоматически?"}</x:v>
      </x:c>
      <x:c r="D109" s="6" t="str">
        <x:v>{"product":"1С:УНФ 8. Полиграфия 2","version":"3.0.14.140","retrieval_state":"available","handoff_consent":false,"approval_basis":"user_confirmed_consultant_approval"}</x:v>
      </x:c>
      <x:c r="E109" s="6" t="str">
        <x:v>1С:УНФ 8. Полиграфия 2</x:v>
      </x:c>
      <x:c r="F109" s="6" t="str">
        <x:v>3.0.14.140</x:v>
      </x:c>
      <x:c r="G109" s="6" t="str">
        <x:v>not_reported</x:v>
      </x:c>
      <x:c r="H109" s="6" t="str">
        <x:v>default</x:v>
      </x:c>
      <x:c r="I109" s="6" t="str">
        <x:v>Применимость источников и эталона к 1С:УНФ 8. Полиграфия 2, релиз 3.0.14.140, подтверждена консультантом со слов пользователя.</x:v>
      </x:c>
      <x:c r="J109" s="13" t="str">
        <x:v>1</x:v>
      </x:c>
      <x:c r="K109" s="13" t="str">
        <x:v>5</x:v>
      </x:c>
      <x:c r="L109" s="7" t="b">
        <x:v>0</x:v>
      </x:c>
      <x:c r="M109" s="6" t="str">
        <x:v>not_applicable</x:v>
      </x:c>
      <x:c r="N109" s="6" t="str">
        <x:v>[]</x:v>
      </x:c>
      <x:c r="O109" s="7" t="b">
        <x:v>1</x:v>
      </x:c>
      <x:c r="P109" s="6" t="str">
        <x:v>K5</x:v>
      </x:c>
      <x:c r="Q109" s="6" t="str">
        <x:v>После ответа на уточнение предмет вопроса известен, а приведенный фрагмент руководства дает ответ.</x:v>
      </x:c>
      <x:c r="R109" s="6" t="str">
        <x:v>["chapter_10"]</x:v>
      </x:c>
      <x:c r="S109" s="6" t="str">
        <x:v>answer</x:v>
      </x:c>
      <x:c r="T109" s="6" t="str">
        <x:v>["Ответ по уточненному объекту.","Источник: руководство и раздел."]</x:v>
      </x:c>
      <x:c r="U109" s="6" t="str">
        <x:v>["Повторное выяснение уже названного объекта.","Выдуманные шаги."]</x:v>
      </x:c>
      <x:c r="V109" s="6" t="str">
        <x:v>[{"source_file":"/Users/elisavetagaponova/Downloads/1С УНФ 8  Полиграфия 2 для 3.0.doc","section":"Глава 10","extracted_text_line":3340,"excerpt":"Табличная часть «Технологические узлы» заполняется автоматически при выборе наименования изделия. Все узлы состоят из операций.","approval_basis":"user_confirmed_consultant_approval"}]</x:v>
      </x:c>
      <x:c r="W109" s="6" t="str">
        <x:v>["Дан подтвержденный ответ с релевантным источником, без нового уточнения."]</x:v>
      </x:c>
      <x:c r="X109" s="6" t="str">
        <x:v>approved</x:v>
      </x:c>
      <x:c r="Y109" s="6" t="str">
        <x:v>Карточка и применимость источников согласованы консультантом; утверждение подтверждено пользователем 25.10.2026.</x:v>
      </x:c>
      <x:c r="Z109" s="6" t="str">
        <x:v>G-5dfd85905b7914</x:v>
      </x:c>
      <x:c r="AA109" s="6" t="str">
        <x:v>dev</x:v>
      </x:c>
      <x:c r="AB109" s="6" t="str">
        <x:v>synthetic_from_manual</x:v>
      </x:c>
    </x:row>
    <x:row r="110" ht="115" customHeight="1">
      <x:c r="A110" s="6" t="str">
        <x:v>H0028</x:v>
      </x:c>
      <x:c r="B110" s="6" t="str">
        <x:v>synthetic_contract_boundary</x:v>
      </x:c>
      <x:c r="C110" s="6" t="str">
        <x:v>{"history":[],"user_message":"Сравни два игровых ноутбука по производительности."}</x:v>
      </x:c>
      <x:c r="D110" s="6" t="str">
        <x:v>{"product":"1С:УНФ 8. Полиграфия 2","version":"3.0.14.140","retrieval_state":"available","handoff_consent":false,"approval_basis":"user_confirmed_consultant_approval"}</x:v>
      </x:c>
      <x:c r="E110" s="6" t="str">
        <x:v>1С:УНФ 8. Полиграфия 2</x:v>
      </x:c>
      <x:c r="F110" s="6" t="str">
        <x:v>3.0.14.140</x:v>
      </x:c>
      <x:c r="G110" s="6" t="str">
        <x:v>not_reported</x:v>
      </x:c>
      <x:c r="H110" s="6" t="str">
        <x:v>default</x:v>
      </x:c>
      <x:c r="I110" s="6" t="str">
        <x:v>Применимость источников и эталона к 1С:УНФ 8. Полиграфия 2, релиз 3.0.14.140, подтверждена консультантом со слов пользователя.</x:v>
      </x:c>
      <x:c r="J110" s="13" t="str">
        <x:v>0</x:v>
      </x:c>
      <x:c r="K110" s="13" t="str">
        <x:v>5</x:v>
      </x:c>
      <x:c r="L110" s="7" t="b">
        <x:v>0</x:v>
      </x:c>
      <x:c r="M110" s="6" t="str">
        <x:v>not_applicable</x:v>
      </x:c>
      <x:c r="N110" s="6" t="str">
        <x:v>[]</x:v>
      </x:c>
      <x:c r="O110" s="6" t="str">
        <x:v>not_applicable</x:v>
      </x:c>
      <x:c r="P110" s="6" t="str">
        <x:v>K1</x:v>
      </x:c>
      <x:c r="Q110" s="6" t="str">
        <x:v>Запрошенная задача явно не относится к работе 1С:Полиграфии и разрешенной документации.</x:v>
      </x:c>
      <x:c r="R110" s="6" t="str">
        <x:v>["out_of_domain"]</x:v>
      </x:c>
      <x:c r="S110" s="6" t="str">
        <x:v>refuse</x:v>
      </x:c>
      <x:c r="T110" s="6" t="str">
        <x:v>["Вежливый отказ и краткое обозначение предметной области бота."]</x:v>
      </x:c>
      <x:c r="U110" s="6" t="str">
        <x:v>["Выполнение посторонней задачи.","Выдуманная ссылка на руководство."]</x:v>
      </x:c>
      <x:c r="V110" s="6" t="str">
        <x:v>[{"source_file":"/Users/elisavetagaponova/Downloads/annotation_guide_classes_v1.md","section":"§5 K1","approval_basis":"user_confirmed_consultant_approval"},{"source_file":"design_doc_kt2.md","section":"§1.3, C05","approval_basis":"user_confirmed_consultant_approval"}]</x:v>
      </x:c>
      <x:c r="W110" s="6" t="str">
        <x:v>["Посторонняя задача не выполняется; отказ вежлив и по-русски."]</x:v>
      </x:c>
      <x:c r="X110" s="6" t="str">
        <x:v>approved</x:v>
      </x:c>
      <x:c r="Y110" s="6" t="str">
        <x:v>Карточка и применимость источников согласованы консультантом; утверждение подтверждено пользователем 25.10.2026.</x:v>
      </x:c>
      <x:c r="Z110" s="6" t="str">
        <x:v>G-1e7a78a59ac022</x:v>
      </x:c>
      <x:c r="AA110" s="6" t="str">
        <x:v>dev</x:v>
      </x:c>
      <x:c r="AB110" s="6" t="str">
        <x:v>synthetic_contract_boundary</x:v>
      </x:c>
    </x:row>
    <x:row r="111" ht="115" customHeight="1">
      <x:c r="A111" s="6" t="str">
        <x:v>H0031</x:v>
      </x:c>
      <x:c r="B111" s="6" t="str">
        <x:v>synthetic_from_manual:MANUAL-3677</x:v>
      </x:c>
      <x:c r="C111" s="6" t="str">
        <x:v>{"history":[{"role":"user","text":"Не получается закончить работу с «Смена очереди заказов»."},{"role":"assistant","text":"Что происходит при попытке?"}],"user_message":"В типовой базе «Смена очереди заказов» работает, а у нас после доработки больше нет. Кто может проверить конфигурацию?"}</x:v>
      </x:c>
      <x:c r="D111" s="6" t="str">
        <x:v>{"product":"1С:УНФ 8. Полиграфия 2","version":"3.0.14.140","retrieval_state":"available","handoff_consent":false,"approval_basis":"user_confirmed_consultant_approval"}</x:v>
      </x:c>
      <x:c r="E111" s="6" t="str">
        <x:v>1С:УНФ 8. Полиграфия 2</x:v>
      </x:c>
      <x:c r="F111" s="6" t="str">
        <x:v>3.0.14.140</x:v>
      </x:c>
      <x:c r="G111" s="6" t="str">
        <x:v>not_reported</x:v>
      </x:c>
      <x:c r="H111" s="6" t="str">
        <x:v>default</x:v>
      </x:c>
      <x:c r="I111" s="6" t="str">
        <x:v>Применимость источников и эталона к 1С:УНФ 8. Полиграфия 2, релиз 3.0.14.140, подтверждена консультантом со слов пользователя.</x:v>
      </x:c>
      <x:c r="J111" s="13" t="str">
        <x:v>1</x:v>
      </x:c>
      <x:c r="K111" s="13" t="str">
        <x:v>5</x:v>
      </x:c>
      <x:c r="L111" s="7" t="b">
        <x:v>0</x:v>
      </x:c>
      <x:c r="M111" s="6" t="str">
        <x:v>diagnosis_required</x:v>
      </x:c>
      <x:c r="N111" s="6" t="str">
        <x:v>[]</x:v>
      </x:c>
      <x:c r="O111" s="7" t="b">
        <x:v>0</x:v>
      </x:c>
      <x:c r="P111" s="6" t="str">
        <x:v>K6</x:v>
      </x:c>
      <x:c r="Q111"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11" s="6" t="str">
        <x:v>["chapter_12"]</x:v>
      </x:c>
      <x:c r="S111" s="6" t="str">
        <x:v>offer_handoff</x:v>
      </x:c>
      <x:c r="T111" s="6" t="str">
        <x:v>["Сообщить об отсутствии подтвержденного решения.","Предложить передачу консультанту."]</x:v>
      </x:c>
      <x:c r="U111" s="6" t="str">
        <x:v>["Еще один диагностический вопрос.","Выдуманная причина или правка рабочей базы.","Сообщение о созданной заявке без подтверждения."]</x:v>
      </x:c>
      <x:c r="V111" s="6" t="str">
        <x:v>[{"source_file":"/Users/elisavetagaponova/Downloads/1С УНФ 8  Полиграфия 2 для 3.0.doc","section":"Глава 12","extracted_text_line":3677,"excerpt":"По кнопке \"Смена очереди\" открывается диалоговое окно, позволяющее пользователю изменить очередность выполнения заказов. Возможны два варианта: передвинуть выделенную строку на другой номер строки или поменять местами с заданной строкой.","approval_basis":"user_confirmed_consultant_approval"},{"corpus_check":"Руководство не содержит состояния клиентской базы, кода расширения или журнала ошибки.","approval_basis":"user_confirmed_consultant_approval"}]</x:v>
      </x:c>
      <x:c r="W111" s="6" t="str">
        <x:v>["Предложена передача; нет дальнейшей диагностики и необоснованного решения."]</x:v>
      </x:c>
      <x:c r="X111" s="6" t="str">
        <x:v>approved</x:v>
      </x:c>
      <x:c r="Y111" s="6" t="str">
        <x:v>Карточка и применимость источников согласованы консультантом; утверждение подтверждено пользователем 25.10.2026.</x:v>
      </x:c>
      <x:c r="Z111" s="6" t="str">
        <x:v>G-afce19b2ee6d45</x:v>
      </x:c>
      <x:c r="AA111" s="6" t="str">
        <x:v>dev</x:v>
      </x:c>
      <x:c r="AB111" s="6" t="str">
        <x:v>synthetic_from_manual</x:v>
      </x:c>
    </x:row>
    <x:row r="112" ht="115" customHeight="1">
      <x:c r="A112" s="6" t="str">
        <x:v>H0033</x:v>
      </x:c>
      <x:c r="B112" s="6" t="str">
        <x:v>synthetic_contract_boundary</x:v>
      </x:c>
      <x:c r="C112" s="6" t="str">
        <x:v>{"history":[],"user_message":"Как оценить доходность акций в моем портфеле?"}</x:v>
      </x:c>
      <x:c r="D112" s="6" t="str">
        <x:v>{"product":"1С:УНФ 8. Полиграфия 2","version":"3.0.14.140","retrieval_state":"available","handoff_consent":false,"approval_basis":"user_confirmed_consultant_approval"}</x:v>
      </x:c>
      <x:c r="E112" s="6" t="str">
        <x:v>1С:УНФ 8. Полиграфия 2</x:v>
      </x:c>
      <x:c r="F112" s="6" t="str">
        <x:v>3.0.14.140</x:v>
      </x:c>
      <x:c r="G112" s="6" t="str">
        <x:v>not_reported</x:v>
      </x:c>
      <x:c r="H112" s="6" t="str">
        <x:v>default</x:v>
      </x:c>
      <x:c r="I112" s="6" t="str">
        <x:v>Применимость источников и эталона к 1С:УНФ 8. Полиграфия 2, релиз 3.0.14.140, подтверждена консультантом со слов пользователя.</x:v>
      </x:c>
      <x:c r="J112" s="13" t="str">
        <x:v>0</x:v>
      </x:c>
      <x:c r="K112" s="13" t="str">
        <x:v>5</x:v>
      </x:c>
      <x:c r="L112" s="7" t="b">
        <x:v>0</x:v>
      </x:c>
      <x:c r="M112" s="6" t="str">
        <x:v>not_applicable</x:v>
      </x:c>
      <x:c r="N112" s="6" t="str">
        <x:v>[]</x:v>
      </x:c>
      <x:c r="O112" s="6" t="str">
        <x:v>not_applicable</x:v>
      </x:c>
      <x:c r="P112" s="6" t="str">
        <x:v>K1</x:v>
      </x:c>
      <x:c r="Q112" s="6" t="str">
        <x:v>Запрошенная задача явно не относится к работе 1С:Полиграфии и разрешенной документации.</x:v>
      </x:c>
      <x:c r="R112" s="6" t="str">
        <x:v>["out_of_domain"]</x:v>
      </x:c>
      <x:c r="S112" s="6" t="str">
        <x:v>refuse</x:v>
      </x:c>
      <x:c r="T112" s="6" t="str">
        <x:v>["Вежливый отказ и краткое обозначение предметной области бота."]</x:v>
      </x:c>
      <x:c r="U112" s="6" t="str">
        <x:v>["Выполнение посторонней задачи.","Выдуманная ссылка на руководство."]</x:v>
      </x:c>
      <x:c r="V112" s="6" t="str">
        <x:v>[{"source_file":"/Users/elisavetagaponova/Downloads/annotation_guide_classes_v1.md","section":"§5 K1","approval_basis":"user_confirmed_consultant_approval"},{"source_file":"design_doc_kt2.md","section":"§1.3, C05","approval_basis":"user_confirmed_consultant_approval"}]</x:v>
      </x:c>
      <x:c r="W112" s="6" t="str">
        <x:v>["Посторонняя задача не выполняется; отказ вежлив и по-русски."]</x:v>
      </x:c>
      <x:c r="X112" s="6" t="str">
        <x:v>approved</x:v>
      </x:c>
      <x:c r="Y112" s="6" t="str">
        <x:v>Карточка и применимость источников согласованы консультантом; утверждение подтверждено пользователем 25.10.2026.</x:v>
      </x:c>
      <x:c r="Z112" s="6" t="str">
        <x:v>G-48ded1d3302ff0</x:v>
      </x:c>
      <x:c r="AA112" s="6" t="str">
        <x:v>dev</x:v>
      </x:c>
      <x:c r="AB112" s="6" t="str">
        <x:v>synthetic_contract_boundary</x:v>
      </x:c>
    </x:row>
    <x:row r="113" ht="115" customHeight="1">
      <x:c r="A113" s="6" t="str">
        <x:v>H0034</x:v>
      </x:c>
      <x:c r="B113" s="6" t="str">
        <x:v>synthetic_from_manual:MANUAL-2184</x:v>
      </x:c>
      <x:c r="C113" s="6" t="str">
        <x:v>{"history":[{"role":"user","text":"В рабочей базе не получается использовать «Расширенный анализ себестоимости выпуска полиграфии»."},{"role":"assistant","text":"Что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«Расширенный анализ себестоимости выпуска полиграфии» текста ошибки не сохранилось, а к журналу у меня нет доступа. Как быть?"}</x:v>
      </x:c>
      <x:c r="D113" s="6" t="str">
        <x:v>{"product":"1С:УНФ 8. Полиграфия 2","version":"3.0.14.140","retrieval_state":"available","handoff_consent":false,"approval_basis":"user_confirmed_consultant_approval"}</x:v>
      </x:c>
      <x:c r="E113" s="6" t="str">
        <x:v>1С:УНФ 8. Полиграфия 2</x:v>
      </x:c>
      <x:c r="F113" s="6" t="str">
        <x:v>3.0.14.140</x:v>
      </x:c>
      <x:c r="G113" s="6" t="str">
        <x:v>not_reported</x:v>
      </x:c>
      <x:c r="H113" s="6" t="str">
        <x:v>default</x:v>
      </x:c>
      <x:c r="I113" s="6" t="str">
        <x:v>Применимость источников и эталона к 1С:УНФ 8. Полиграфия 2, релиз 3.0.14.140, подтверждена консультантом со слов пользователя.</x:v>
      </x:c>
      <x:c r="J113" s="13" t="str">
        <x:v>5</x:v>
      </x:c>
      <x:c r="K113" s="13" t="str">
        <x:v>5</x:v>
      </x:c>
      <x:c r="L113" s="7" t="b">
        <x:v>0</x:v>
      </x:c>
      <x:c r="M113" s="6" t="str">
        <x:v>limit_reached</x:v>
      </x:c>
      <x:c r="N113" s="6" t="str">
        <x:v>[]</x:v>
      </x:c>
      <x:c r="O113" s="7" t="b">
        <x:v>0</x:v>
      </x:c>
      <x:c r="P113" s="6" t="str">
        <x:v>K6</x:v>
      </x:c>
      <x:c r="Q113" s="6" t="str">
        <x:v>Пять разных уточняющих ходов уже были; без доступа к базе/ошибке подтвержденного решения нет, шестое уточнение запрещено.</x:v>
      </x:c>
      <x:c r="R113" s="6" t="str">
        <x:v>["chapter_5"]</x:v>
      </x:c>
      <x:c r="S113" s="6" t="str">
        <x:v>offer_handoff</x:v>
      </x:c>
      <x:c r="T113" s="6" t="str">
        <x:v>["Сообщить об отсутствии подтвержденного решения.","Предложить передачу консультанту."]</x:v>
      </x:c>
      <x:c r="U113" s="6" t="str">
        <x:v>["Еще один диагностический вопрос.","Выдуманная причина или правка рабочей базы.","Сообщение о созданной заявке без подтверждения."]</x:v>
      </x:c>
      <x:c r="V113" s="6" t="str">
        <x:v>[{"source_file":"/Users/elisavetagaponova/Downloads/1С УНФ 8  Полиграфия 2 для 3.0.doc","section":"5.18","extracted_text_line":2184,"excerpt":"С помощью отчета можно проанализировать соотношение фактического и планируемого количества и себестоимости затрат на выпуск продукции, выполнения работ, оказания услуг. Данные о затратах выводятся с детализацией по счетам затрат и конкретным затратам. Этот отчет позволяет анализировать плановую и фактическую прибыль по заказам, оценивать фактическую рентабельность заказа. С его помощью можно проводить детальный анализ всех затрат, проводить сравнительную характеристику плановых и фактических затрат производства.","approval_basis":"user_confirmed_consultant_approval"},{"corpus_check":"Руководство не содержит состояния клиентской базы, кода расширения или журнала ошибки.","approval_basis":"user_confirmed_consultant_approval"}]</x:v>
      </x:c>
      <x:c r="W113" s="6" t="str">
        <x:v>["Предложена передача; нет дальнейшей диагностики и необоснованного решения."]</x:v>
      </x:c>
      <x:c r="X113" s="6" t="str">
        <x:v>approved</x:v>
      </x:c>
      <x:c r="Y113" s="6" t="str">
        <x:v>Карточка и применимость источников согласованы консультантом; утверждение подтверждено пользователем 25.10.2026.</x:v>
      </x:c>
      <x:c r="Z113" s="6" t="str">
        <x:v>G-d00990d1a0527f</x:v>
      </x:c>
      <x:c r="AA113" s="6" t="str">
        <x:v>dev</x:v>
      </x:c>
      <x:c r="AB113" s="6" t="str">
        <x:v>synthetic_from_manual</x:v>
      </x:c>
    </x:row>
    <x:row r="114" ht="115" customHeight="1">
      <x:c r="A114" s="6" t="str">
        <x:v>H0037</x:v>
      </x:c>
      <x:c r="B114" s="6" t="str">
        <x:v>synthetic_contract_boundary</x:v>
      </x:c>
      <x:c r="C114" s="6" t="str">
        <x:v>{"history":[],"user_message":"Что тебе понравилось в последней части этой игры?"}</x:v>
      </x:c>
      <x:c r="D114" s="6" t="str">
        <x:v>{"product":"1С:УНФ 8. Полиграфия 2","version":"3.0.14.140","retrieval_state":"available","handoff_consent":false,"approval_basis":"user_confirmed_consultant_approval"}</x:v>
      </x:c>
      <x:c r="E114" s="6" t="str">
        <x:v>1С:УНФ 8. Полиграфия 2</x:v>
      </x:c>
      <x:c r="F114" s="6" t="str">
        <x:v>3.0.14.140</x:v>
      </x:c>
      <x:c r="G114" s="6" t="str">
        <x:v>not_reported</x:v>
      </x:c>
      <x:c r="H114" s="6" t="str">
        <x:v>default</x:v>
      </x:c>
      <x:c r="I114" s="6" t="str">
        <x:v>Применимость источников и эталона к 1С:УНФ 8. Полиграфия 2, релиз 3.0.14.140, подтверждена консультантом со слов пользователя.</x:v>
      </x:c>
      <x:c r="J114" s="13" t="str">
        <x:v>0</x:v>
      </x:c>
      <x:c r="K114" s="13" t="str">
        <x:v>5</x:v>
      </x:c>
      <x:c r="L114" s="7" t="b">
        <x:v>0</x:v>
      </x:c>
      <x:c r="M114" s="6" t="str">
        <x:v>not_applicable</x:v>
      </x:c>
      <x:c r="N114" s="6" t="str">
        <x:v>[]</x:v>
      </x:c>
      <x:c r="O114" s="6" t="str">
        <x:v>not_applicable</x:v>
      </x:c>
      <x:c r="P114" s="6" t="str">
        <x:v>K1</x:v>
      </x:c>
      <x:c r="Q114" s="6" t="str">
        <x:v>Запрошенная задача явно не относится к работе 1С:Полиграфии и разрешенной документации.</x:v>
      </x:c>
      <x:c r="R114" s="6" t="str">
        <x:v>["out_of_domain"]</x:v>
      </x:c>
      <x:c r="S114" s="6" t="str">
        <x:v>refuse</x:v>
      </x:c>
      <x:c r="T114" s="6" t="str">
        <x:v>["Вежливый отказ и краткое обозначение предметной области бота."]</x:v>
      </x:c>
      <x:c r="U114" s="6" t="str">
        <x:v>["Выполнение посторонней задачи.","Выдуманная ссылка на руководство."]</x:v>
      </x:c>
      <x:c r="V114" s="6" t="str">
        <x:v>[{"source_file":"/Users/elisavetagaponova/Downloads/annotation_guide_classes_v1.md","section":"§5 K1","approval_basis":"user_confirmed_consultant_approval"},{"source_file":"design_doc_kt2.md","section":"§1.3, C05","approval_basis":"user_confirmed_consultant_approval"}]</x:v>
      </x:c>
      <x:c r="W114" s="6" t="str">
        <x:v>["Посторонняя задача не выполняется; отказ вежлив и по-русски."]</x:v>
      </x:c>
      <x:c r="X114" s="6" t="str">
        <x:v>approved</x:v>
      </x:c>
      <x:c r="Y114" s="6" t="str">
        <x:v>Карточка и применимость источников согласованы консультантом; утверждение подтверждено пользователем 25.10.2026.</x:v>
      </x:c>
      <x:c r="Z114" s="6" t="str">
        <x:v>G-c28e2aebc87789</x:v>
      </x:c>
      <x:c r="AA114" s="6" t="str">
        <x:v>dev</x:v>
      </x:c>
      <x:c r="AB114" s="6" t="str">
        <x:v>synthetic_contract_boundary</x:v>
      </x:c>
    </x:row>
    <x:row r="115" ht="115" customHeight="1">
      <x:c r="A115" s="6" t="str">
        <x:v>H0049</x:v>
      </x:c>
      <x:c r="B115" s="6" t="str">
        <x:v>synthetic_contract_boundary</x:v>
      </x:c>
      <x:c r="C115" s="6" t="str">
        <x:v>{"history":[],"user_message":"Составь исковое заявление по моему спору."}</x:v>
      </x:c>
      <x:c r="D115" s="6" t="str">
        <x:v>{"product":"1С:УНФ 8. Полиграфия 2","version":"3.0.14.140","retrieval_state":"available","handoff_consent":false,"approval_basis":"user_confirmed_consultant_approval"}</x:v>
      </x:c>
      <x:c r="E115" s="6" t="str">
        <x:v>1С:УНФ 8. Полиграфия 2</x:v>
      </x:c>
      <x:c r="F115" s="6" t="str">
        <x:v>3.0.14.140</x:v>
      </x:c>
      <x:c r="G115" s="6" t="str">
        <x:v>not_reported</x:v>
      </x:c>
      <x:c r="H115" s="6" t="str">
        <x:v>default</x:v>
      </x:c>
      <x:c r="I115" s="6" t="str">
        <x:v>Применимость источников и эталона к 1С:УНФ 8. Полиграфия 2, релиз 3.0.14.140, подтверждена консультантом со слов пользователя.</x:v>
      </x:c>
      <x:c r="J115" s="13" t="str">
        <x:v>0</x:v>
      </x:c>
      <x:c r="K115" s="13" t="str">
        <x:v>5</x:v>
      </x:c>
      <x:c r="L115" s="7" t="b">
        <x:v>0</x:v>
      </x:c>
      <x:c r="M115" s="6" t="str">
        <x:v>not_applicable</x:v>
      </x:c>
      <x:c r="N115" s="6" t="str">
        <x:v>[]</x:v>
      </x:c>
      <x:c r="O115" s="6" t="str">
        <x:v>not_applicable</x:v>
      </x:c>
      <x:c r="P115" s="6" t="str">
        <x:v>K1</x:v>
      </x:c>
      <x:c r="Q115" s="6" t="str">
        <x:v>Запрошенная задача явно не относится к работе 1С:Полиграфии и разрешенной документации.</x:v>
      </x:c>
      <x:c r="R115" s="6" t="str">
        <x:v>["out_of_domain"]</x:v>
      </x:c>
      <x:c r="S115" s="6" t="str">
        <x:v>refuse</x:v>
      </x:c>
      <x:c r="T115" s="6" t="str">
        <x:v>["Вежливый отказ и краткое обозначение предметной области бота."]</x:v>
      </x:c>
      <x:c r="U115" s="6" t="str">
        <x:v>["Выполнение посторонней задачи.","Выдуманная ссылка на руководство."]</x:v>
      </x:c>
      <x:c r="V115" s="6" t="str">
        <x:v>[{"source_file":"/Users/elisavetagaponova/Downloads/annotation_guide_classes_v1.md","section":"§5 K1","approval_basis":"user_confirmed_consultant_approval"},{"source_file":"design_doc_kt2.md","section":"§1.3, C05","approval_basis":"user_confirmed_consultant_approval"}]</x:v>
      </x:c>
      <x:c r="W115" s="6" t="str">
        <x:v>["Посторонняя задача не выполняется; отказ вежлив и по-русски."]</x:v>
      </x:c>
      <x:c r="X115" s="6" t="str">
        <x:v>approved</x:v>
      </x:c>
      <x:c r="Y115" s="6" t="str">
        <x:v>Карточка и применимость источников согласованы консультантом; утверждение подтверждено пользователем 25.10.2026.</x:v>
      </x:c>
      <x:c r="Z115" s="6" t="str">
        <x:v>G-0c1a772b814e8a</x:v>
      </x:c>
      <x:c r="AA115" s="6" t="str">
        <x:v>dev</x:v>
      </x:c>
      <x:c r="AB115" s="6" t="str">
        <x:v>synthetic_contract_boundary</x:v>
      </x:c>
    </x:row>
    <x:row r="116" ht="115" customHeight="1">
      <x:c r="A116" s="6" t="str">
        <x:v>H0052</x:v>
      </x:c>
      <x:c r="B116" s="6" t="str">
        <x:v>synthetic_from_manual:MANUAL-1365</x:v>
      </x:c>
      <x:c r="C116" s="6" t="str">
        <x:v>{"history":[],"user_message":"По «Нормирование операций по времени» не получается сделать как обычно. Можете подсказать?"}</x:v>
      </x:c>
      <x:c r="D116" s="6" t="str">
        <x:v>{"product":"1С:УНФ 8. Полиграфия 2","version":"3.0.14.140","retrieval_state":"available","handoff_consent":false,"approval_basis":"user_confirmed_consultant_approval"}</x:v>
      </x:c>
      <x:c r="E116" s="6" t="str">
        <x:v>1С:УНФ 8. Полиграфия 2</x:v>
      </x:c>
      <x:c r="F116" s="6" t="str">
        <x:v>3.0.14.140</x:v>
      </x:c>
      <x:c r="G116" s="6" t="str">
        <x:v>not_reported</x:v>
      </x:c>
      <x:c r="H116" s="6" t="str">
        <x:v>default</x:v>
      </x:c>
      <x:c r="I116" s="6" t="str">
        <x:v>Применимость источников и эталона к 1С:УНФ 8. Полиграфия 2, релиз 3.0.14.140, подтверждена консультантом со слов пользователя.</x:v>
      </x:c>
      <x:c r="J116" s="13" t="str">
        <x:v>0</x:v>
      </x:c>
      <x:c r="K116" s="13" t="str">
        <x:v>5</x:v>
      </x:c>
      <x:c r="L116" s="7" t="b">
        <x:v>1</x:v>
      </x:c>
      <x:c r="M116" s="6" t="str">
        <x:v>not_applicable</x:v>
      </x:c>
      <x:c r="N116"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16" s="7" t="b">
        <x:v>0</x:v>
      </x:c>
      <x:c r="P116" s="6" t="str">
        <x:v>K3</x:v>
      </x:c>
      <x:c r="Q116" s="6" t="str">
        <x:v>Цель/параметр и результат действия неизвестны; еще один конкретный вопрос может снять неоднозначность, лимит не исчерпан.</x:v>
      </x:c>
      <x:c r="R116" s="6" t="str">
        <x:v>["chapter_3"]</x:v>
      </x:c>
      <x:c r="S116" s="6" t="str">
        <x:v>clarify</x:v>
      </x:c>
      <x:c r="T116" s="6" t="str">
        <x:v>["Какую задачу вы решаете с «Нормирование операций по времени» и что уже пробовали сделать?"]</x:v>
      </x:c>
      <x:c r="U116" s="6" t="str">
        <x:v>["Угадывание причины или инструкции.","Вопрос о продукте и релизе только из-за отсутствия их в сообщении."]</x:v>
      </x:c>
      <x:c r="V116" s="6" t="str">
        <x:v>[{"source_file":"/Users/elisavetagaponova/Downloads/1С УНФ 8  Полиграфия 2 для 3.0.doc","section":"3.3","extracted_text_line":1365,"excerpt":"Документ \"Нормирование операций по времени\" служит для хранения таблицы нормирования времени в зависимости от оборудования, формата, красочности, тиража, плотности и свободного параметра для технологической операции (допечатной или послепечатной).","approval_basis":"user_confirmed_consultant_approval"}]</x:v>
      </x:c>
      <x:c r="W116" s="6" t="str">
        <x:v>["Задан полезный вопрос о недостающем действии/параметре; нет диагноза.","Не превышен лимит пяти уточнений."]</x:v>
      </x:c>
      <x:c r="X116" s="6" t="str">
        <x:v>approved</x:v>
      </x:c>
      <x:c r="Y116" s="6" t="str">
        <x:v>Карточка и применимость источников согласованы консультантом; утверждение подтверждено пользователем 25.10.2026.</x:v>
      </x:c>
      <x:c r="Z116" s="6" t="str">
        <x:v>G-3d9378ee891e94</x:v>
      </x:c>
      <x:c r="AA116" s="6" t="str">
        <x:v>dev</x:v>
      </x:c>
      <x:c r="AB116" s="6" t="str">
        <x:v>synthetic_from_manual</x:v>
      </x:c>
    </x:row>
    <x:row r="117" ht="115" customHeight="1">
      <x:c r="A117" s="6" t="str">
        <x:v>H0057</x:v>
      </x:c>
      <x:c r="B117" s="6" t="str">
        <x:v>synthetic_from_manual:MANUAL-2867</x:v>
      </x:c>
      <x:c r="C117" s="6" t="str">
        <x:v>{"history":[{"role":"user","text":"Не получается закончить работу с «Виды изделий флексопечати»."},{"role":"assistant","text":"Что происходит при попытке?"}],"user_message":"В типовой базе «Виды изделий флексопечати» работает, а у нас после доработки больше нет. Кто может проверить конфигурацию?"}</x:v>
      </x:c>
      <x:c r="D117" s="6" t="str">
        <x:v>{"product":"1С:УНФ 8. Полиграфия 2","version":"3.0.14.140","retrieval_state":"available","handoff_consent":false,"approval_basis":"user_confirmed_consultant_approval"}</x:v>
      </x:c>
      <x:c r="E117" s="6" t="str">
        <x:v>1С:УНФ 8. Полиграфия 2</x:v>
      </x:c>
      <x:c r="F117" s="6" t="str">
        <x:v>3.0.14.140</x:v>
      </x:c>
      <x:c r="G117" s="6" t="str">
        <x:v>not_reported</x:v>
      </x:c>
      <x:c r="H117" s="6" t="str">
        <x:v>default</x:v>
      </x:c>
      <x:c r="I117" s="6" t="str">
        <x:v>Применимость источников и эталона к 1С:УНФ 8. Полиграфия 2, релиз 3.0.14.140, подтверждена консультантом со слов пользователя.</x:v>
      </x:c>
      <x:c r="J117" s="13" t="str">
        <x:v>1</x:v>
      </x:c>
      <x:c r="K117" s="13" t="str">
        <x:v>5</x:v>
      </x:c>
      <x:c r="L117" s="7" t="b">
        <x:v>0</x:v>
      </x:c>
      <x:c r="M117" s="6" t="str">
        <x:v>diagnosis_required</x:v>
      </x:c>
      <x:c r="N117" s="6" t="str">
        <x:v>[]</x:v>
      </x:c>
      <x:c r="O117" s="7" t="b">
        <x:v>0</x:v>
      </x:c>
      <x:c r="P117" s="6" t="str">
        <x:v>K6</x:v>
      </x:c>
      <x:c r="Q117"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17" s="6" t="str">
        <x:v>["chapter_8"]</x:v>
      </x:c>
      <x:c r="S117" s="6" t="str">
        <x:v>offer_handoff</x:v>
      </x:c>
      <x:c r="T117" s="6" t="str">
        <x:v>["Сообщить об отсутствии подтвержденного решения.","Предложить передачу консультанту."]</x:v>
      </x:c>
      <x:c r="U117" s="6" t="str">
        <x:v>["Еще один диагностический вопрос.","Выдуманная причина или правка рабочей базы.","Сообщение о созданной заявке без подтверждения."]</x:v>
      </x:c>
      <x:c r="V117" s="6" t="str">
        <x:v>[{"source_file":"/Users/elisavetagaponova/Downloads/1С УНФ 8  Полиграфия 2 для 3.0.doc","section":"8.1.7","extracted_text_line":2867,"excerpt":"В справочнике \"Виды изделий флексопечати\" хранятся сведения о разных видах изделий флексопечати.","approval_basis":"user_confirmed_consultant_approval"},{"corpus_check":"Руководство не содержит состояния клиентской базы, кода расширения или журнала ошибки.","approval_basis":"user_confirmed_consultant_approval"}]</x:v>
      </x:c>
      <x:c r="W117" s="6" t="str">
        <x:v>["Предложена передача; нет дальнейшей диагностики и необоснованного решения."]</x:v>
      </x:c>
      <x:c r="X117" s="6" t="str">
        <x:v>approved</x:v>
      </x:c>
      <x:c r="Y117" s="6" t="str">
        <x:v>Карточка и применимость источников согласованы консультантом; утверждение подтверждено пользователем 25.10.2026.</x:v>
      </x:c>
      <x:c r="Z117" s="6" t="str">
        <x:v>G-43b829a42a8f3c</x:v>
      </x:c>
      <x:c r="AA117" s="6" t="str">
        <x:v>dev</x:v>
      </x:c>
      <x:c r="AB117" s="6" t="str">
        <x:v>synthetic_from_manual</x:v>
      </x:c>
    </x:row>
    <x:row r="118" ht="115" customHeight="1">
      <x:c r="A118" s="6" t="str">
        <x:v>H0067</x:v>
      </x:c>
      <x:c r="B118" s="6" t="str">
        <x:v>synthetic_from_manual:MANUAL-2294</x:v>
      </x:c>
      <x:c r="C118" s="6" t="str">
        <x:v>{"history":[{"role":"user","text":"Помогите разобраться с «Текущая диаграмма загрузки рабочих центров», результат не тот."},{"role":"assistant","text":"Вы уже открыли нужную форму?"},{"role":"user","text":"Да, она открывается."},{"role":"assistant","text":"Это происходит только у вас?"},{"role":"user","text":"Пока проверяли только на моем рабочем месте."},{"role":"assistant","text":"В каком объекте программы вы это видите?"},{"role":"user","text":"В «Текущая диаграмма загрузки рабочих центров»."},{"role":"assistant","text":"Какие данные или настройки уже указаны?"},{"role":"user","text":"Часть заполнял коллега, все параметры сейчас не назову."}],"user_message":"Диаграмма загрузки показывает пустой экран, а станки сейчас работают. Что не так?"}</x:v>
      </x:c>
      <x:c r="D118" s="6" t="str">
        <x:v>{"product":"1С:УНФ 8. Полиграфия 2","version":"3.0.14.140","retrieval_state":"available","handoff_consent":false,"approval_basis":"user_confirmed_consultant_approval"}</x:v>
      </x:c>
      <x:c r="E118" s="6" t="str">
        <x:v>1С:УНФ 8. Полиграфия 2</x:v>
      </x:c>
      <x:c r="F118" s="6" t="str">
        <x:v>3.0.14.140</x:v>
      </x:c>
      <x:c r="G118" s="6" t="str">
        <x:v>not_reported</x:v>
      </x:c>
      <x:c r="H118" s="6" t="str">
        <x:v>default</x:v>
      </x:c>
      <x:c r="I118" s="6" t="str">
        <x:v>Применимость источников и эталона к 1С:УНФ 8. Полиграфия 2, релиз 3.0.14.140, подтверждена консультантом со слов пользователя.</x:v>
      </x:c>
      <x:c r="J118" s="13" t="str">
        <x:v>4</x:v>
      </x:c>
      <x:c r="K118" s="13" t="str">
        <x:v>5</x:v>
      </x:c>
      <x:c r="L118" s="7" t="b">
        <x:v>1</x:v>
      </x:c>
      <x:c r="M118" s="6" t="str">
        <x:v>not_applicable</x:v>
      </x:c>
      <x:c r="N118"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18" s="7" t="b">
        <x:v>0</x:v>
      </x:c>
      <x:c r="P118" s="6" t="str">
        <x:v>K3</x:v>
      </x:c>
      <x:c r="Q118" s="6" t="str">
        <x:v>Цель/параметр и результат действия неизвестны; еще один конкретный вопрос может снять неоднозначность, лимит не исчерпан.</x:v>
      </x:c>
      <x:c r="R118" s="6" t="str">
        <x:v>["chapter_5"]</x:v>
      </x:c>
      <x:c r="S118" s="6" t="str">
        <x:v>clarify</x:v>
      </x:c>
      <x:c r="T118" s="6" t="str">
        <x:v>["Какой рабочий центр выбран в диаграмме и за какой период вы смотрите данные?"]</x:v>
      </x:c>
      <x:c r="U118" s="6" t="str">
        <x:v>["Угадывание причины или инструкции.","Вопрос о продукте и релизе только из-за отсутствия их в сообщении."]</x:v>
      </x:c>
      <x:c r="V118" s="6" t="str">
        <x:v>[{"source_file":"/Users/elisavetagaponova/Downloads/1С УНФ 8  Полиграфия 2 для 3.0.doc","section":"5.36","extracted_text_line":2294,"excerpt":"Отчет позволяет получить информацию по реальной загрузке оборудования (рабочих центров) на настоящий момент. Отчет будет полезен для организаций, чей план производства в значительной мере может различаться от фактических показателей работы. Отчет представляет собой диаграмму Ганта, в которой в качестве точек используются рабочие центры (для вывода общей информации о загрузке) и расчет заказы (для вывода времени, затраченного на производство конкретной продукции заказа).","approval_basis":"user_confirmed_consultant_approval"}]</x:v>
      </x:c>
      <x:c r="W118" s="6" t="str">
        <x:v>["Задан полезный вопрос о недостающем действии/параметре; нет диагноза.","Не превышен лимит пяти уточнений."]</x:v>
      </x:c>
      <x:c r="X118" s="6" t="str">
        <x:v>approved</x:v>
      </x:c>
      <x:c r="Y118" s="6" t="str">
        <x:v>Карточка и применимость источников согласованы консультантом; утверждение подтверждено пользователем 25.10.2026.</x:v>
      </x:c>
      <x:c r="Z118" s="6" t="str">
        <x:v>G-874930776db803</x:v>
      </x:c>
      <x:c r="AA118" s="6" t="str">
        <x:v>dev</x:v>
      </x:c>
      <x:c r="AB118" s="6" t="str">
        <x:v>synthetic_from_manual</x:v>
      </x:c>
    </x:row>
    <x:row r="119" ht="115" customHeight="1">
      <x:c r="A119" s="6" t="str">
        <x:v>H0068</x:v>
      </x:c>
      <x:c r="B119" s="6" t="str">
        <x:v>synthetic_contract_boundary</x:v>
      </x:c>
      <x:c r="C119" s="6" t="str">
        <x:v>{"history":[],"user_message":"Какой ноутбук взять для современных игр?"}</x:v>
      </x:c>
      <x:c r="D119" s="6" t="str">
        <x:v>{"product":"1С:УНФ 8. Полиграфия 2","version":"3.0.14.140","retrieval_state":"available","handoff_consent":false,"approval_basis":"user_confirmed_consultant_approval"}</x:v>
      </x:c>
      <x:c r="E119" s="6" t="str">
        <x:v>1С:УНФ 8. Полиграфия 2</x:v>
      </x:c>
      <x:c r="F119" s="6" t="str">
        <x:v>3.0.14.140</x:v>
      </x:c>
      <x:c r="G119" s="6" t="str">
        <x:v>not_reported</x:v>
      </x:c>
      <x:c r="H119" s="6" t="str">
        <x:v>default</x:v>
      </x:c>
      <x:c r="I119" s="6" t="str">
        <x:v>Применимость источников и эталона к 1С:УНФ 8. Полиграфия 2, релиз 3.0.14.140, подтверждена консультантом со слов пользователя.</x:v>
      </x:c>
      <x:c r="J119" s="13" t="str">
        <x:v>0</x:v>
      </x:c>
      <x:c r="K119" s="13" t="str">
        <x:v>5</x:v>
      </x:c>
      <x:c r="L119" s="7" t="b">
        <x:v>0</x:v>
      </x:c>
      <x:c r="M119" s="6" t="str">
        <x:v>not_applicable</x:v>
      </x:c>
      <x:c r="N119" s="6" t="str">
        <x:v>[]</x:v>
      </x:c>
      <x:c r="O119" s="6" t="str">
        <x:v>not_applicable</x:v>
      </x:c>
      <x:c r="P119" s="6" t="str">
        <x:v>K1</x:v>
      </x:c>
      <x:c r="Q119" s="6" t="str">
        <x:v>Запрошенная задача явно не относится к работе 1С:Полиграфии и разрешенной документации.</x:v>
      </x:c>
      <x:c r="R119" s="6" t="str">
        <x:v>["out_of_domain"]</x:v>
      </x:c>
      <x:c r="S119" s="6" t="str">
        <x:v>refuse</x:v>
      </x:c>
      <x:c r="T119" s="6" t="str">
        <x:v>["Вежливый отказ и краткое обозначение предметной области бота."]</x:v>
      </x:c>
      <x:c r="U119" s="6" t="str">
        <x:v>["Выполнение посторонней задачи.","Выдуманная ссылка на руководство."]</x:v>
      </x:c>
      <x:c r="V119" s="6" t="str">
        <x:v>[{"source_file":"/Users/elisavetagaponova/Downloads/annotation_guide_classes_v1.md","section":"§5 K1","approval_basis":"user_confirmed_consultant_approval"},{"source_file":"design_doc_kt2.md","section":"§1.3, C05","approval_basis":"user_confirmed_consultant_approval"}]</x:v>
      </x:c>
      <x:c r="W119" s="6" t="str">
        <x:v>["Посторонняя задача не выполняется; отказ вежлив и по-русски."]</x:v>
      </x:c>
      <x:c r="X119" s="6" t="str">
        <x:v>approved</x:v>
      </x:c>
      <x:c r="Y119" s="6" t="str">
        <x:v>Карточка и применимость источников согласованы консультантом; утверждение подтверждено пользователем 25.10.2026.</x:v>
      </x:c>
      <x:c r="Z119" s="6" t="str">
        <x:v>G-8675e75ba87d21</x:v>
      </x:c>
      <x:c r="AA119" s="6" t="str">
        <x:v>dev</x:v>
      </x:c>
      <x:c r="AB119" s="6" t="str">
        <x:v>synthetic_contract_boundary</x:v>
      </x:c>
    </x:row>
    <x:row r="120" ht="115" customHeight="1">
      <x:c r="A120" s="6" t="str">
        <x:v>H0074</x:v>
      </x:c>
      <x:c r="B120" s="6" t="str">
        <x:v>synthetic_contract_boundary</x:v>
      </x:c>
      <x:c r="C120" s="6" t="str">
        <x:v>{"history":[],"user_message":"Придумай название для нового ресторана."}</x:v>
      </x:c>
      <x:c r="D120" s="6" t="str">
        <x:v>{"product":"1С:УНФ 8. Полиграфия 2","version":"3.0.14.140","retrieval_state":"available","handoff_consent":false,"approval_basis":"user_confirmed_consultant_approval"}</x:v>
      </x:c>
      <x:c r="E120" s="6" t="str">
        <x:v>1С:УНФ 8. Полиграфия 2</x:v>
      </x:c>
      <x:c r="F120" s="6" t="str">
        <x:v>3.0.14.140</x:v>
      </x:c>
      <x:c r="G120" s="6" t="str">
        <x:v>not_reported</x:v>
      </x:c>
      <x:c r="H120" s="6" t="str">
        <x:v>default</x:v>
      </x:c>
      <x:c r="I120" s="6" t="str">
        <x:v>Применимость источников и эталона к 1С:УНФ 8. Полиграфия 2, релиз 3.0.14.140, подтверждена консультантом со слов пользователя.</x:v>
      </x:c>
      <x:c r="J120" s="13" t="str">
        <x:v>0</x:v>
      </x:c>
      <x:c r="K120" s="13" t="str">
        <x:v>5</x:v>
      </x:c>
      <x:c r="L120" s="7" t="b">
        <x:v>0</x:v>
      </x:c>
      <x:c r="M120" s="6" t="str">
        <x:v>not_applicable</x:v>
      </x:c>
      <x:c r="N120" s="6" t="str">
        <x:v>[]</x:v>
      </x:c>
      <x:c r="O120" s="6" t="str">
        <x:v>not_applicable</x:v>
      </x:c>
      <x:c r="P120" s="6" t="str">
        <x:v>K1</x:v>
      </x:c>
      <x:c r="Q120" s="6" t="str">
        <x:v>Запрошенная задача явно не относится к работе 1С:Полиграфии и разрешенной документации.</x:v>
      </x:c>
      <x:c r="R120" s="6" t="str">
        <x:v>["out_of_domain"]</x:v>
      </x:c>
      <x:c r="S120" s="6" t="str">
        <x:v>refuse</x:v>
      </x:c>
      <x:c r="T120" s="6" t="str">
        <x:v>["Вежливый отказ и краткое обозначение предметной области бота."]</x:v>
      </x:c>
      <x:c r="U120" s="6" t="str">
        <x:v>["Выполнение посторонней задачи.","Выдуманная ссылка на руководство."]</x:v>
      </x:c>
      <x:c r="V120" s="6" t="str">
        <x:v>[{"source_file":"/Users/elisavetagaponova/Downloads/annotation_guide_classes_v1.md","section":"§5 K1","approval_basis":"user_confirmed_consultant_approval"},{"source_file":"design_doc_kt2.md","section":"§1.3, C05","approval_basis":"user_confirmed_consultant_approval"}]</x:v>
      </x:c>
      <x:c r="W120" s="6" t="str">
        <x:v>["Посторонняя задача не выполняется; отказ вежлив и по-русски."]</x:v>
      </x:c>
      <x:c r="X120" s="6" t="str">
        <x:v>approved</x:v>
      </x:c>
      <x:c r="Y120" s="6" t="str">
        <x:v>Карточка и применимость источников согласованы консультантом; утверждение подтверждено пользователем 25.10.2026.</x:v>
      </x:c>
      <x:c r="Z120" s="6" t="str">
        <x:v>G-d0d367b7e3ead7</x:v>
      </x:c>
      <x:c r="AA120" s="6" t="str">
        <x:v>dev</x:v>
      </x:c>
      <x:c r="AB120" s="6" t="str">
        <x:v>synthetic_contract_boundary</x:v>
      </x:c>
    </x:row>
    <x:row r="121" ht="115" customHeight="1">
      <x:c r="A121" s="6" t="str">
        <x:v>H0080</x:v>
      </x:c>
      <x:c r="B121" s="6" t="str">
        <x:v>synthetic_from_manual:MANUAL-1726</x:v>
      </x:c>
      <x:c r="C121" s="6" t="str">
        <x:v>{"history":[{"role":"user","text":"Не получается закончить работу с «Сборный спуск»."},{"role":"assistant","text":"Что происходит при попытке?"}],"user_message":"В одном филиале «Сборный спуск» работает, в другом нет. Можем передать специалисту копию базы для сравнения?"}</x:v>
      </x:c>
      <x:c r="D121" s="6" t="str">
        <x:v>{"product":"1С:УНФ 8. Полиграфия 2","version":"3.0.14.140","retrieval_state":"available","handoff_consent":false,"approval_basis":"user_confirmed_consultant_approval"}</x:v>
      </x:c>
      <x:c r="E121" s="6" t="str">
        <x:v>1С:УНФ 8. Полиграфия 2</x:v>
      </x:c>
      <x:c r="F121" s="6" t="str">
        <x:v>3.0.14.140</x:v>
      </x:c>
      <x:c r="G121" s="6" t="str">
        <x:v>not_reported</x:v>
      </x:c>
      <x:c r="H121" s="6" t="str">
        <x:v>default</x:v>
      </x:c>
      <x:c r="I121" s="6" t="str">
        <x:v>Применимость источников и эталона к 1С:УНФ 8. Полиграфия 2, релиз 3.0.14.140, подтверждена консультантом со слов пользователя.</x:v>
      </x:c>
      <x:c r="J121" s="13" t="str">
        <x:v>1</x:v>
      </x:c>
      <x:c r="K121" s="13" t="str">
        <x:v>5</x:v>
      </x:c>
      <x:c r="L121" s="7" t="b">
        <x:v>0</x:v>
      </x:c>
      <x:c r="M121" s="6" t="str">
        <x:v>diagnosis_required</x:v>
      </x:c>
      <x:c r="N121" s="6" t="str">
        <x:v>[]</x:v>
      </x:c>
      <x:c r="O121" s="7" t="b">
        <x:v>0</x:v>
      </x:c>
      <x:c r="P121" s="6" t="str">
        <x:v>K6</x:v>
      </x:c>
      <x:c r="Q121"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21" s="6" t="str">
        <x:v>["chapter_4"]</x:v>
      </x:c>
      <x:c r="S121" s="6" t="str">
        <x:v>offer_handoff</x:v>
      </x:c>
      <x:c r="T121" s="6" t="str">
        <x:v>["Сообщить об отсутствии подтвержденного решения.","Предложить передачу консультанту."]</x:v>
      </x:c>
      <x:c r="U121" s="6" t="str">
        <x:v>["Еще один диагностический вопрос.","Выдуманная причина или правка рабочей базы.","Сообщение о созданной заявке без подтверждения."]</x:v>
      </x:c>
      <x:c r="V121" s="6" t="str">
        <x:v>[{"source_file":"/Users/elisavetagaponova/Downloads/1С УНФ 8  Полиграфия 2 для 3.0.doc","section":"4.4","extracted_text_line":1726,"excerpt":"Документ \"Сборный спуск\" предназначен для сборной (совместной) печати разных видов продукции на одном материале. В данном документе можно объединить несколько расчетов заказа на одном печатном листе, используя графический механизм раскладки изделий, а также рассчитать необходимое количество материала на печать, тем самым сэкономив на печатном материале.","approval_basis":"user_confirmed_consultant_approval"},{"corpus_check":"Руководство не содержит состояния клиентской базы, кода расширения или журнала ошибки.","approval_basis":"user_confirmed_consultant_approval"}]</x:v>
      </x:c>
      <x:c r="W121" s="6" t="str">
        <x:v>["Предложена передача; нет дальнейшей диагностики и необоснованного решения."]</x:v>
      </x:c>
      <x:c r="X121" s="6" t="str">
        <x:v>approved</x:v>
      </x:c>
      <x:c r="Y121" s="6" t="str">
        <x:v>Карточка и применимость источников согласованы консультантом; утверждение подтверждено пользователем 25.10.2026.</x:v>
      </x:c>
      <x:c r="Z121" s="6" t="str">
        <x:v>G-49afc1f9b0f31e</x:v>
      </x:c>
      <x:c r="AA121" s="6" t="str">
        <x:v>dev</x:v>
      </x:c>
      <x:c r="AB121" s="6" t="str">
        <x:v>synthetic_from_manual</x:v>
      </x:c>
    </x:row>
    <x:row r="122" ht="115" customHeight="1">
      <x:c r="A122" s="6" t="str">
        <x:v>H0085</x:v>
      </x:c>
      <x:c r="B122" s="6" t="str">
        <x:v>synthetic_from_manual:MANUAL-1894</x:v>
      </x:c>
      <x:c r="C122" s="6" t="str">
        <x:v>{"history":[{"role":"user","text":"Не получается закончить работу с «Расчет широкоформатного заказа»."},{"role":"assistant","text":"Что происходит при попытке?"}],"user_message":"После установки нашего расширения «Расчет широкоформатного заказа» выдает ошибку только в рабочей базе. Похоже, надо смотреть код и данные у нас."}</x:v>
      </x:c>
      <x:c r="D122" s="6" t="str">
        <x:v>{"product":"1С:УНФ 8. Полиграфия 2","version":"3.0.14.140","retrieval_state":"available","handoff_consent":false,"approval_basis":"user_confirmed_consultant_approval"}</x:v>
      </x:c>
      <x:c r="E122" s="6" t="str">
        <x:v>1С:УНФ 8. Полиграфия 2</x:v>
      </x:c>
      <x:c r="F122" s="6" t="str">
        <x:v>3.0.14.140</x:v>
      </x:c>
      <x:c r="G122" s="6" t="str">
        <x:v>not_reported</x:v>
      </x:c>
      <x:c r="H122" s="6" t="str">
        <x:v>default</x:v>
      </x:c>
      <x:c r="I122" s="6" t="str">
        <x:v>Применимость источников и эталона к 1С:УНФ 8. Полиграфия 2, релиз 3.0.14.140, подтверждена консультантом со слов пользователя.</x:v>
      </x:c>
      <x:c r="J122" s="13" t="str">
        <x:v>1</x:v>
      </x:c>
      <x:c r="K122" s="13" t="str">
        <x:v>5</x:v>
      </x:c>
      <x:c r="L122" s="7" t="b">
        <x:v>0</x:v>
      </x:c>
      <x:c r="M122" s="6" t="str">
        <x:v>diagnosis_required</x:v>
      </x:c>
      <x:c r="N122" s="6" t="str">
        <x:v>[]</x:v>
      </x:c>
      <x:c r="O122" s="7" t="b">
        <x:v>0</x:v>
      </x:c>
      <x:c r="P122" s="6" t="str">
        <x:v>K6</x:v>
      </x:c>
      <x:c r="Q122"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22" s="6" t="str">
        <x:v>["chapter_4"]</x:v>
      </x:c>
      <x:c r="S122" s="6" t="str">
        <x:v>offer_handoff</x:v>
      </x:c>
      <x:c r="T122" s="6" t="str">
        <x:v>["Сообщить об отсутствии подтвержденного решения.","Предложить передачу консультанту."]</x:v>
      </x:c>
      <x:c r="U122" s="6" t="str">
        <x:v>["Еще один диагностический вопрос.","Выдуманная причина или правка рабочей базы.","Сообщение о созданной заявке без подтверждения."]</x:v>
      </x:c>
      <x:c r="V122" s="6" t="str">
        <x:v>[{"source_file":"/Users/elisavetagaponova/Downloads/1С УНФ 8  Полиграфия 2 для 3.0.doc","section":"4.6","extracted_text_line":1894,"excerpt":"Расчет стоимости и технологических параметров широкоформатного заказа на полиграфическую продукцию осуществляется в документе \"Расчет широкоформатного 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122" s="6" t="str">
        <x:v>["Предложена передача; нет дальнейшей диагностики и необоснованного решения."]</x:v>
      </x:c>
      <x:c r="X122" s="6" t="str">
        <x:v>approved</x:v>
      </x:c>
      <x:c r="Y122" s="6" t="str">
        <x:v>Карточка и применимость источников согласованы консультантом; утверждение подтверждено пользователем 25.10.2026.</x:v>
      </x:c>
      <x:c r="Z122" s="6" t="str">
        <x:v>G-e5aa7f3a49fbe7</x:v>
      </x:c>
      <x:c r="AA122" s="6" t="str">
        <x:v>dev</x:v>
      </x:c>
      <x:c r="AB122" s="6" t="str">
        <x:v>synthetic_from_manual</x:v>
      </x:c>
    </x:row>
    <x:row r="123" ht="115" customHeight="1">
      <x:c r="A123" s="6" t="str">
        <x:v>H0088</x:v>
      </x:c>
      <x:c r="B123" s="6" t="str">
        <x:v>synthetic_contract_boundary</x:v>
      </x:c>
      <x:c r="C123" s="6" t="str">
        <x:v>{"history":[],"user_message":"Когда дешевле покупать билеты на самолет?"}</x:v>
      </x:c>
      <x:c r="D123" s="6" t="str">
        <x:v>{"product":"1С:УНФ 8. Полиграфия 2","version":"3.0.14.140","retrieval_state":"available","handoff_consent":false,"approval_basis":"user_confirmed_consultant_approval"}</x:v>
      </x:c>
      <x:c r="E123" s="6" t="str">
        <x:v>1С:УНФ 8. Полиграфия 2</x:v>
      </x:c>
      <x:c r="F123" s="6" t="str">
        <x:v>3.0.14.140</x:v>
      </x:c>
      <x:c r="G123" s="6" t="str">
        <x:v>not_reported</x:v>
      </x:c>
      <x:c r="H123" s="6" t="str">
        <x:v>default</x:v>
      </x:c>
      <x:c r="I123" s="6" t="str">
        <x:v>Применимость источников и эталона к 1С:УНФ 8. Полиграфия 2, релиз 3.0.14.140, подтверждена консультантом со слов пользователя.</x:v>
      </x:c>
      <x:c r="J123" s="13" t="str">
        <x:v>0</x:v>
      </x:c>
      <x:c r="K123" s="13" t="str">
        <x:v>5</x:v>
      </x:c>
      <x:c r="L123" s="7" t="b">
        <x:v>0</x:v>
      </x:c>
      <x:c r="M123" s="6" t="str">
        <x:v>not_applicable</x:v>
      </x:c>
      <x:c r="N123" s="6" t="str">
        <x:v>[]</x:v>
      </x:c>
      <x:c r="O123" s="6" t="str">
        <x:v>not_applicable</x:v>
      </x:c>
      <x:c r="P123" s="6" t="str">
        <x:v>K1</x:v>
      </x:c>
      <x:c r="Q123" s="6" t="str">
        <x:v>Запрошенная задача явно не относится к работе 1С:Полиграфии и разрешенной документации.</x:v>
      </x:c>
      <x:c r="R123" s="6" t="str">
        <x:v>["out_of_domain"]</x:v>
      </x:c>
      <x:c r="S123" s="6" t="str">
        <x:v>refuse</x:v>
      </x:c>
      <x:c r="T123" s="6" t="str">
        <x:v>["Вежливый отказ и краткое обозначение предметной области бота."]</x:v>
      </x:c>
      <x:c r="U123" s="6" t="str">
        <x:v>["Выполнение посторонней задачи.","Выдуманная ссылка на руководство."]</x:v>
      </x:c>
      <x:c r="V123" s="6" t="str">
        <x:v>[{"source_file":"/Users/elisavetagaponova/Downloads/annotation_guide_classes_v1.md","section":"§5 K1","approval_basis":"user_confirmed_consultant_approval"},{"source_file":"design_doc_kt2.md","section":"§1.3, C05","approval_basis":"user_confirmed_consultant_approval"}]</x:v>
      </x:c>
      <x:c r="W123" s="6" t="str">
        <x:v>["Посторонняя задача не выполняется; отказ вежлив и по-русски."]</x:v>
      </x:c>
      <x:c r="X123" s="6" t="str">
        <x:v>approved</x:v>
      </x:c>
      <x:c r="Y123" s="6" t="str">
        <x:v>Карточка и применимость источников согласованы консультантом; утверждение подтверждено пользователем 25.10.2026.</x:v>
      </x:c>
      <x:c r="Z123" s="6" t="str">
        <x:v>G-4e2b0b716c0f0a</x:v>
      </x:c>
      <x:c r="AA123" s="6" t="str">
        <x:v>dev</x:v>
      </x:c>
      <x:c r="AB123" s="6" t="str">
        <x:v>synthetic_contract_boundary</x:v>
      </x:c>
    </x:row>
    <x:row r="124" ht="115" customHeight="1">
      <x:c r="A124" s="6" t="str">
        <x:v>H0092</x:v>
      </x:c>
      <x:c r="B124" s="6" t="str">
        <x:v>synthetic_from_manual:MANUAL-3432</x:v>
      </x:c>
      <x:c r="C124" s="6" t="str">
        <x:v>{"history":[{"role":"user","text":"В рабочей базе не получается использовать «Операции в плане производства»."},{"role":"assistant","text":"Что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«Операции в плане производства» текста ошибки не сохранилось, а к журналу у меня нет доступа. Как быть?"}</x:v>
      </x:c>
      <x:c r="D124" s="6" t="str">
        <x:v>{"product":"1С:УНФ 8. Полиграфия 2","version":"3.0.14.140","retrieval_state":"available","handoff_consent":false,"approval_basis":"user_confirmed_consultant_approval"}</x:v>
      </x:c>
      <x:c r="E124" s="6" t="str">
        <x:v>1С:УНФ 8. Полиграфия 2</x:v>
      </x:c>
      <x:c r="F124" s="6" t="str">
        <x:v>3.0.14.140</x:v>
      </x:c>
      <x:c r="G124" s="6" t="str">
        <x:v>not_reported</x:v>
      </x:c>
      <x:c r="H124" s="6" t="str">
        <x:v>default</x:v>
      </x:c>
      <x:c r="I124" s="6" t="str">
        <x:v>Применимость источников и эталона к 1С:УНФ 8. Полиграфия 2, релиз 3.0.14.140, подтверждена консультантом со слов пользователя.</x:v>
      </x:c>
      <x:c r="J124" s="13" t="str">
        <x:v>5</x:v>
      </x:c>
      <x:c r="K124" s="13" t="str">
        <x:v>5</x:v>
      </x:c>
      <x:c r="L124" s="7" t="b">
        <x:v>0</x:v>
      </x:c>
      <x:c r="M124" s="6" t="str">
        <x:v>limit_reached</x:v>
      </x:c>
      <x:c r="N124" s="6" t="str">
        <x:v>[]</x:v>
      </x:c>
      <x:c r="O124" s="7" t="b">
        <x:v>0</x:v>
      </x:c>
      <x:c r="P124" s="6" t="str">
        <x:v>K6</x:v>
      </x:c>
      <x:c r="Q124" s="6" t="str">
        <x:v>Пять разных уточняющих ходов уже были; без доступа к базе/ошибке подтвержденного решения нет, шестое уточнение запрещено.</x:v>
      </x:c>
      <x:c r="R124" s="6" t="str">
        <x:v>["chapter_12"]</x:v>
      </x:c>
      <x:c r="S124" s="6" t="str">
        <x:v>offer_handoff</x:v>
      </x:c>
      <x:c r="T124" s="6" t="str">
        <x:v>["Сообщить об отсутствии подтвержденного решения.","Предложить передачу консультанту."]</x:v>
      </x:c>
      <x:c r="U124" s="6" t="str">
        <x:v>["Еще один диагностический вопрос.","Выдуманная причина или правка рабочей базы.","Сообщение о созданной заявке без подтверждения."]</x:v>
      </x:c>
      <x:c r="V124" s="6" t="str">
        <x:v>[{"source_file":"/Users/elisavetagaponova/Downloads/1С УНФ 8  Полиграфия 2 для 3.0.doc","section":"Глава 12","extracted_text_line":3432,"excerpt":"Документы Расчет заказа и Расчет сложного заказа на полиграфическую продукцию содержат список допечатных операций на закладке \"Препресс\", операций печати на закладке \"Пресс\" и послепечатных операций на закладке \"Постпресс\". Проведение калькуляций заказов (документы \"Расчет заказа\" и \"Расчет сложного заказа\") в статусе \"Готов к планированию\" позволяет выбирать эти заказы в документе План производства полиграфии.","approval_basis":"user_confirmed_consultant_approval"},{"corpus_check":"Руководство не содержит состояния клиентской базы, кода расширения или журнала ошибки.","approval_basis":"user_confirmed_consultant_approval"}]</x:v>
      </x:c>
      <x:c r="W124" s="6" t="str">
        <x:v>["Предложена передача; нет дальнейшей диагностики и необоснованного решения."]</x:v>
      </x:c>
      <x:c r="X124" s="6" t="str">
        <x:v>approved</x:v>
      </x:c>
      <x:c r="Y124" s="6" t="str">
        <x:v>Карточка и применимость источников согласованы консультантом; утверждение подтверждено пользователем 25.10.2026.</x:v>
      </x:c>
      <x:c r="Z124" s="6" t="str">
        <x:v>G-d3fd69e5df2b89</x:v>
      </x:c>
      <x:c r="AA124" s="6" t="str">
        <x:v>dev</x:v>
      </x:c>
      <x:c r="AB124" s="6" t="str">
        <x:v>synthetic_from_manual</x:v>
      </x:c>
    </x:row>
    <x:row r="125" ht="115" customHeight="1">
      <x:c r="A125" s="6" t="str">
        <x:v>H0095</x:v>
      </x:c>
      <x:c r="B125" s="6" t="str">
        <x:v>synthetic_from_manual:MANUAL-3432</x:v>
      </x:c>
      <x:c r="C125" s="6" t="str">
        <x:v>{"history":[{"role":"user","text":"Помогите найти нужные сведения по работе в Полиграфии."},{"role":"assistant","text":"О каком объекте или действии вы хотите узнать?"}],"user_message":"Готовим план производства. Где в расчете заказа посмотреть препресс, печать и постпресс?"}</x:v>
      </x:c>
      <x:c r="D125" s="6" t="str">
        <x:v>{"product":"1С:УНФ 8. Полиграфия 2","version":"3.0.14.140","retrieval_state":"available","handoff_consent":false,"approval_basis":"user_confirmed_consultant_approval"}</x:v>
      </x:c>
      <x:c r="E125" s="6" t="str">
        <x:v>1С:УНФ 8. Полиграфия 2</x:v>
      </x:c>
      <x:c r="F125" s="6" t="str">
        <x:v>3.0.14.140</x:v>
      </x:c>
      <x:c r="G125" s="6" t="str">
        <x:v>not_reported</x:v>
      </x:c>
      <x:c r="H125" s="6" t="str">
        <x:v>default</x:v>
      </x:c>
      <x:c r="I125" s="6" t="str">
        <x:v>Применимость источников и эталона к 1С:УНФ 8. Полиграфия 2, релиз 3.0.14.140, подтверждена консультантом со слов пользователя.</x:v>
      </x:c>
      <x:c r="J125" s="13" t="str">
        <x:v>1</x:v>
      </x:c>
      <x:c r="K125" s="13" t="str">
        <x:v>5</x:v>
      </x:c>
      <x:c r="L125" s="7" t="b">
        <x:v>0</x:v>
      </x:c>
      <x:c r="M125" s="6" t="str">
        <x:v>not_applicable</x:v>
      </x:c>
      <x:c r="N125" s="6" t="str">
        <x:v>[]</x:v>
      </x:c>
      <x:c r="O125" s="7" t="b">
        <x:v>1</x:v>
      </x:c>
      <x:c r="P125" s="6" t="str">
        <x:v>K5</x:v>
      </x:c>
      <x:c r="Q125" s="6" t="str">
        <x:v>После ответа на уточнение предмет вопроса известен, а приведенный фрагмент руководства дает ответ.</x:v>
      </x:c>
      <x:c r="R125" s="6" t="str">
        <x:v>["chapter_12"]</x:v>
      </x:c>
      <x:c r="S125" s="6" t="str">
        <x:v>answer</x:v>
      </x:c>
      <x:c r="T125" s="6" t="str">
        <x:v>["Ответ по уточненному объекту.","Источник: руководство и раздел."]</x:v>
      </x:c>
      <x:c r="U125" s="6" t="str">
        <x:v>["Повторное выяснение уже названного объекта.","Выдуманные шаги."]</x:v>
      </x:c>
      <x:c r="V125" s="6" t="str">
        <x:v>[{"source_file":"/Users/elisavetagaponova/Downloads/1С УНФ 8  Полиграфия 2 для 3.0.doc","section":"Глава 12","extracted_text_line":3432,"excerpt":"Документы Расчет заказа и Расчет сложного заказа на полиграфическую продукцию содержат список допечатных операций на закладке \"Препресс\", операций печати на закладке \"Пресс\" и послепечатных операций на закладке \"Постпресс\". Проведение калькуляций заказов (документы \"Расчет заказа\" и \"Расчет сложного заказа\") в статусе \"Готов к планированию\" позволяет выбирать эти заказы в документе План производства полиграфии.","approval_basis":"user_confirmed_consultant_approval"}]</x:v>
      </x:c>
      <x:c r="W125" s="6" t="str">
        <x:v>["Дан подтвержденный ответ с релевантным источником, без нового уточнения."]</x:v>
      </x:c>
      <x:c r="X125" s="6" t="str">
        <x:v>approved</x:v>
      </x:c>
      <x:c r="Y125" s="6" t="str">
        <x:v>Карточка и применимость источников согласованы консультантом; утверждение подтверждено пользователем 25.10.2026.</x:v>
      </x:c>
      <x:c r="Z125" s="6" t="str">
        <x:v>G-d3fd69e5df2b89</x:v>
      </x:c>
      <x:c r="AA125" s="6" t="str">
        <x:v>dev</x:v>
      </x:c>
      <x:c r="AB125" s="6" t="str">
        <x:v>synthetic_from_manual</x:v>
      </x:c>
    </x:row>
    <x:row r="126" ht="115" customHeight="1">
      <x:c r="A126" s="6" t="str">
        <x:v>H0101</x:v>
      </x:c>
      <x:c r="B126" s="6" t="str">
        <x:v>synthetic_from_manual:MANUAL-1064</x:v>
      </x:c>
      <x:c r="C126" s="6" t="str">
        <x:v>{"history":[{"role":"user","text":"Не получается закончить работу с «Фиксация факта времени работы сотрудников»."},{"role":"assistant","text":"Что происходит при попытке?"}],"user_message":"В одном филиале «Фиксация факта времени работы сотрудников» работает, в другом нет. Можем передать специалисту копию базы для сравнения?"}</x:v>
      </x:c>
      <x:c r="D126" s="6" t="str">
        <x:v>{"product":"1С:УНФ 8. Полиграфия 2","version":"3.0.14.140","retrieval_state":"available","handoff_consent":false,"approval_basis":"user_confirmed_consultant_approval"}</x:v>
      </x:c>
      <x:c r="E126" s="6" t="str">
        <x:v>1С:УНФ 8. Полиграфия 2</x:v>
      </x:c>
      <x:c r="F126" s="6" t="str">
        <x:v>3.0.14.140</x:v>
      </x:c>
      <x:c r="G126" s="6" t="str">
        <x:v>not_reported</x:v>
      </x:c>
      <x:c r="H126" s="6" t="str">
        <x:v>default</x:v>
      </x:c>
      <x:c r="I126" s="6" t="str">
        <x:v>Применимость источников и эталона к 1С:УНФ 8. Полиграфия 2, релиз 3.0.14.140, подтверждена консультантом со слов пользователя.</x:v>
      </x:c>
      <x:c r="J126" s="13" t="str">
        <x:v>1</x:v>
      </x:c>
      <x:c r="K126" s="13" t="str">
        <x:v>5</x:v>
      </x:c>
      <x:c r="L126" s="7" t="b">
        <x:v>0</x:v>
      </x:c>
      <x:c r="M126" s="6" t="str">
        <x:v>diagnosis_required</x:v>
      </x:c>
      <x:c r="N126" s="6" t="str">
        <x:v>[]</x:v>
      </x:c>
      <x:c r="O126" s="7" t="b">
        <x:v>0</x:v>
      </x:c>
      <x:c r="P126" s="6" t="str">
        <x:v>K6</x:v>
      </x:c>
      <x:c r="Q126"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26" s="6" t="str">
        <x:v>["chapter_1"]</x:v>
      </x:c>
      <x:c r="S126" s="6" t="str">
        <x:v>offer_handoff</x:v>
      </x:c>
      <x:c r="T126" s="6" t="str">
        <x:v>["Сообщить об отсутствии подтвержденного решения.","Предложить передачу консультанту."]</x:v>
      </x:c>
      <x:c r="U126" s="6" t="str">
        <x:v>["Еще один диагностический вопрос.","Выдуманная причина или правка рабочей базы.","Сообщение о созданной заявке без подтверждения."]</x:v>
      </x:c>
      <x:c r="V126" s="6" t="str">
        <x:v>[{"source_file":"/Users/elisavetagaponova/Downloads/1С УНФ 8  Полиграфия 2 для 3.0.doc","section":"1.35","extracted_text_line":1064,"excerpt":"Каждый сотрудник фиксирует начало и конец рабочей смены, предварительно идентифицируя себя через сканер штрихкодов (Штрихкод формируем через функционал \"Штрихкоды сотрудников организации\"). После фиксации окончания смены, ответственному сотруднику необходимо зафиксировать удостоверить факт работы данных сотрудников, путем установки галочки \"Проверено мастером\" в значение \"Истина\". Только зафиксированные мастером данные можно увидеть в отчете \"Выработка сотрудников\".","approval_basis":"user_confirmed_consultant_approval"},{"corpus_check":"Руководство не содержит состояния клиентской базы, кода расширения или журнала ошибки.","approval_basis":"user_confirmed_consultant_approval"}]</x:v>
      </x:c>
      <x:c r="W126" s="6" t="str">
        <x:v>["Предложена передача; нет дальнейшей диагностики и необоснованного решения."]</x:v>
      </x:c>
      <x:c r="X126" s="6" t="str">
        <x:v>approved</x:v>
      </x:c>
      <x:c r="Y126" s="6" t="str">
        <x:v>Карточка и применимость источников согласованы консультантом; утверждение подтверждено пользователем 25.10.2026.</x:v>
      </x:c>
      <x:c r="Z126" s="6" t="str">
        <x:v>G-4d89795696af4b</x:v>
      </x:c>
      <x:c r="AA126" s="6" t="str">
        <x:v>dev</x:v>
      </x:c>
      <x:c r="AB126" s="6" t="str">
        <x:v>synthetic_from_manual</x:v>
      </x:c>
    </x:row>
    <x:row r="127" ht="115" customHeight="1">
      <x:c r="A127" s="6" t="str">
        <x:v>H0102</x:v>
      </x:c>
      <x:c r="B127" s="6" t="str">
        <x:v>synthetic_from_manual:MANUAL-3708</x:v>
      </x:c>
      <x:c r="C127" s="6" t="str">
        <x:v>{"history":[{"role":"user","text":"Не получается закончить работу с «Версия платформы перед установкой»."},{"role":"assistant","text":"Что происходит при попытке?"}],"user_message":"В одном филиале «Версия платформы перед установкой» работает, в другом нет. Можем передать специалисту копию базы для сравнения?"}</x:v>
      </x:c>
      <x:c r="D127" s="6" t="str">
        <x:v>{"product":"1С:УНФ 8. Полиграфия 2","version":"3.0.14.140","retrieval_state":"available","handoff_consent":false,"approval_basis":"user_confirmed_consultant_approval"}</x:v>
      </x:c>
      <x:c r="E127" s="6" t="str">
        <x:v>1С:УНФ 8. Полиграфия 2</x:v>
      </x:c>
      <x:c r="F127" s="6" t="str">
        <x:v>3.0.14.140</x:v>
      </x:c>
      <x:c r="G127" s="6" t="str">
        <x:v>not_reported</x:v>
      </x:c>
      <x:c r="H127" s="6" t="str">
        <x:v>default</x:v>
      </x:c>
      <x:c r="I127" s="6" t="str">
        <x:v>Применимость источников и эталона к 1С:УНФ 8. Полиграфия 2, релиз 3.0.14.140, подтверждена консультантом со слов пользователя.</x:v>
      </x:c>
      <x:c r="J127" s="13" t="str">
        <x:v>1</x:v>
      </x:c>
      <x:c r="K127" s="13" t="str">
        <x:v>5</x:v>
      </x:c>
      <x:c r="L127" s="7" t="b">
        <x:v>0</x:v>
      </x:c>
      <x:c r="M127" s="6" t="str">
        <x:v>diagnosis_required</x:v>
      </x:c>
      <x:c r="N127" s="6" t="str">
        <x:v>[]</x:v>
      </x:c>
      <x:c r="O127" s="7" t="b">
        <x:v>0</x:v>
      </x:c>
      <x:c r="P127" s="6" t="str">
        <x:v>K6</x:v>
      </x:c>
      <x:c r="Q127"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27" s="6" t="str">
        <x:v>["chapter_13"]</x:v>
      </x:c>
      <x:c r="S127" s="6" t="str">
        <x:v>offer_handoff</x:v>
      </x:c>
      <x:c r="T127" s="6" t="str">
        <x:v>["Сообщить об отсутствии подтвержденного решения.","Предложить передачу консультанту."]</x:v>
      </x:c>
      <x:c r="U127" s="6" t="str">
        <x:v>["Еще один диагностический вопрос.","Выдуманная причина или правка рабочей базы.","Сообщение о созданной заявке без подтверждения."]</x:v>
      </x:c>
      <x:c r="V127" s="6" t="str">
        <x:v>[{"source_file":"/Users/elisavetagaponova/Downloads/1С УНФ 8  Полиграфия 2 для 3.0.doc","section":"Глава 13","extracted_text_line":3708,"excerpt":"Перед установкой конфигурации следует установить платформу «1С:Предприятие 8». Если платформа уже установлена на Вашем компьютере, следует убедиться в том, что версия установленной платформы не ниже указанной в файле install.txt. Если версия установленной платформы ниже, рекомендуется обновить платформу.","approval_basis":"user_confirmed_consultant_approval"},{"corpus_check":"Руководство не содержит состояния клиентской базы, кода расширения или журнала ошибки.","approval_basis":"user_confirmed_consultant_approval"}]</x:v>
      </x:c>
      <x:c r="W127" s="6" t="str">
        <x:v>["Предложена передача; нет дальнейшей диагностики и необоснованного решения."]</x:v>
      </x:c>
      <x:c r="X127" s="6" t="str">
        <x:v>approved</x:v>
      </x:c>
      <x:c r="Y127" s="6" t="str">
        <x:v>Карточка и применимость источников согласованы консультантом; утверждение подтверждено пользователем 25.10.2026.</x:v>
      </x:c>
      <x:c r="Z127" s="6" t="str">
        <x:v>G-3ca2d49352dbbf</x:v>
      </x:c>
      <x:c r="AA127" s="6" t="str">
        <x:v>dev</x:v>
      </x:c>
      <x:c r="AB127" s="6" t="str">
        <x:v>synthetic_from_manual</x:v>
      </x:c>
    </x:row>
    <x:row r="128" ht="115" customHeight="1">
      <x:c r="A128" s="6" t="str">
        <x:v>H0107</x:v>
      </x:c>
      <x:c r="B128" s="6" t="str">
        <x:v>synthetic_from_manual:MANUAL-2206</x:v>
      </x:c>
      <x:c r="C128" s="6" t="str">
        <x:v>{"history":[{"role":"user","text":"Подскажите по теме «Выполнение заказов (по журналу оператора)»."},{"role":"assistant","text":"Что именно вам нужно узнать по этой теме?"}],"user_message":"Производство просит степень выполнения заказов по операциям за период. Где ее посмотреть?"}</x:v>
      </x:c>
      <x:c r="D128" s="6" t="str">
        <x:v>{"product":"1С:УНФ 8. Полиграфия 2","version":"3.0.14.140","retrieval_state":"available","handoff_consent":false,"approval_basis":"user_confirmed_consultant_approval"}</x:v>
      </x:c>
      <x:c r="E128" s="6" t="str">
        <x:v>1С:УНФ 8. Полиграфия 2</x:v>
      </x:c>
      <x:c r="F128" s="6" t="str">
        <x:v>3.0.14.140</x:v>
      </x:c>
      <x:c r="G128" s="6" t="str">
        <x:v>not_reported</x:v>
      </x:c>
      <x:c r="H128" s="6" t="str">
        <x:v>default</x:v>
      </x:c>
      <x:c r="I128" s="6" t="str">
        <x:v>Применимость источников и эталона к 1С:УНФ 8. Полиграфия 2, релиз 3.0.14.140, подтверждена консультантом со слов пользователя.</x:v>
      </x:c>
      <x:c r="J128" s="13" t="str">
        <x:v>1</x:v>
      </x:c>
      <x:c r="K128" s="13" t="str">
        <x:v>5</x:v>
      </x:c>
      <x:c r="L128" s="7" t="b">
        <x:v>0</x:v>
      </x:c>
      <x:c r="M128" s="6" t="str">
        <x:v>not_applicable</x:v>
      </x:c>
      <x:c r="N128" s="6" t="str">
        <x:v>[]</x:v>
      </x:c>
      <x:c r="O128" s="7" t="b">
        <x:v>1</x:v>
      </x:c>
      <x:c r="P128" s="6" t="str">
        <x:v>K5</x:v>
      </x:c>
      <x:c r="Q128" s="6" t="str">
        <x:v>После ответа на уточнение предмет вопроса известен, а приведенный фрагмент руководства дает ответ.</x:v>
      </x:c>
      <x:c r="R128" s="6" t="str">
        <x:v>["chapter_5"]</x:v>
      </x:c>
      <x:c r="S128" s="6" t="str">
        <x:v>answer</x:v>
      </x:c>
      <x:c r="T128" s="6" t="str">
        <x:v>["Ответ по уточненному объекту.","Источник: руководство и раздел."]</x:v>
      </x:c>
      <x:c r="U128" s="6" t="str">
        <x:v>["Повторное выяснение уже названного объекта.","Выдуманные шаги."]</x:v>
      </x:c>
      <x:c r="V128" s="6" t="str">
        <x:v>[{"source_file":"/Users/elisavetagaponova/Downloads/1С УНФ 8  Полиграфия 2 для 3.0.doc","section":"5.21","extracted_text_line":2206,"excerpt":"Отчет \"Выполнение заказов\" - формирует данные о степени выполнения заказов клиентов в разрезе основных полиграфических операций за интервал дат. Отчет строится по данным оперативного планирования. Стандартные настройки отчета позволяют отбирать данные по контрагенту и его заказам.","approval_basis":"user_confirmed_consultant_approval"}]</x:v>
      </x:c>
      <x:c r="W128" s="6" t="str">
        <x:v>["Дан подтвержденный ответ с релевантным источником, без нового уточнения."]</x:v>
      </x:c>
      <x:c r="X128" s="6" t="str">
        <x:v>approved</x:v>
      </x:c>
      <x:c r="Y128" s="6" t="str">
        <x:v>Карточка и применимость источников согласованы консультантом; утверждение подтверждено пользователем 25.10.2026.</x:v>
      </x:c>
      <x:c r="Z128" s="6" t="str">
        <x:v>G-9b31c561cc5a0a</x:v>
      </x:c>
      <x:c r="AA128" s="6" t="str">
        <x:v>dev</x:v>
      </x:c>
      <x:c r="AB128" s="6" t="str">
        <x:v>synthetic_from_manual</x:v>
      </x:c>
    </x:row>
    <x:row r="129" ht="115" customHeight="1">
      <x:c r="A129" s="6" t="str">
        <x:v>H0109</x:v>
      </x:c>
      <x:c r="B129" s="6" t="str">
        <x:v>synthetic_from_manual:MANUAL-3107</x:v>
      </x:c>
      <x:c r="C129" s="6" t="str">
        <x:v>{"history":[{"role":"user","text":"Помогите найти нужные сведения по работе в Полиграфии."},{"role":"assistant","text":"О каком объекте или действии вы хотите узнать?"}],"user_message":"В данных по коробам вижу FEFCO. Для чего технологу нужен этот каталог?"}</x:v>
      </x:c>
      <x:c r="D129" s="6" t="str">
        <x:v>{"product":"1С:УНФ 8. Полиграфия 2","version":"3.0.14.140","retrieval_state":"available","handoff_consent":false,"approval_basis":"user_confirmed_consultant_approval"}</x:v>
      </x:c>
      <x:c r="E129" s="6" t="str">
        <x:v>1С:УНФ 8. Полиграфия 2</x:v>
      </x:c>
      <x:c r="F129" s="6" t="str">
        <x:v>3.0.14.140</x:v>
      </x:c>
      <x:c r="G129" s="6" t="str">
        <x:v>not_reported</x:v>
      </x:c>
      <x:c r="H129" s="6" t="str">
        <x:v>default</x:v>
      </x:c>
      <x:c r="I129" s="6" t="str">
        <x:v>Применимость источников и эталона к 1С:УНФ 8. Полиграфия 2, релиз 3.0.14.140, подтверждена консультантом со слов пользователя.</x:v>
      </x:c>
      <x:c r="J129" s="13" t="str">
        <x:v>1</x:v>
      </x:c>
      <x:c r="K129" s="13" t="str">
        <x:v>5</x:v>
      </x:c>
      <x:c r="L129" s="7" t="b">
        <x:v>0</x:v>
      </x:c>
      <x:c r="M129" s="6" t="str">
        <x:v>not_applicable</x:v>
      </x:c>
      <x:c r="N129" s="6" t="str">
        <x:v>[]</x:v>
      </x:c>
      <x:c r="O129" s="7" t="b">
        <x:v>1</x:v>
      </x:c>
      <x:c r="P129" s="6" t="str">
        <x:v>K5</x:v>
      </x:c>
      <x:c r="Q129" s="6" t="str">
        <x:v>После ответа на уточнение предмет вопроса известен, а приведенный фрагмент руководства дает ответ.</x:v>
      </x:c>
      <x:c r="R129" s="6" t="str">
        <x:v>["chapter_9"]</x:v>
      </x:c>
      <x:c r="S129" s="6" t="str">
        <x:v>answer</x:v>
      </x:c>
      <x:c r="T129" s="6" t="str">
        <x:v>["Ответ по уточненному объекту.","Источник: руководство и раздел."]</x:v>
      </x:c>
      <x:c r="U129" s="6" t="str">
        <x:v>["Повторное выяснение уже названного объекта.","Выдуманные шаги."]</x:v>
      </x:c>
      <x:c r="V129" s="6" t="str">
        <x:v>[{"source_file":"/Users/elisavetagaponova/Downloads/1С УНФ 8  Полиграфия 2 для 3.0.doc","section":"9.1.3","extracted_text_line":3107,"excerpt":"Данный каталог используется производителями упаковки как отраслевое справочное пособие для всех видов работ по изготовлению упаковки из гофрокартона.","approval_basis":"user_confirmed_consultant_approval"}]</x:v>
      </x:c>
      <x:c r="W129" s="6" t="str">
        <x:v>["Дан подтвержденный ответ с релевантным источником, без нового уточнения."]</x:v>
      </x:c>
      <x:c r="X129" s="6" t="str">
        <x:v>approved</x:v>
      </x:c>
      <x:c r="Y129" s="6" t="str">
        <x:v>Карточка и применимость источников согласованы консультантом; утверждение подтверждено пользователем 25.10.2026.</x:v>
      </x:c>
      <x:c r="Z129" s="6" t="str">
        <x:v>G-3e2b3504915cc9</x:v>
      </x:c>
      <x:c r="AA129" s="6" t="str">
        <x:v>dev</x:v>
      </x:c>
      <x:c r="AB129" s="6" t="str">
        <x:v>synthetic_from_manual</x:v>
      </x:c>
    </x:row>
    <x:row r="130" ht="115" customHeight="1">
      <x:c r="A130" s="6" t="str">
        <x:v>H0115</x:v>
      </x:c>
      <x:c r="B130" s="6" t="str">
        <x:v>synthetic_contract_boundary</x:v>
      </x:c>
      <x:c r="C130" s="6" t="str">
        <x:v>{"history":[],"user_message":"Сколько калорий в моем завтраке из каши и банана?"}</x:v>
      </x:c>
      <x:c r="D130" s="6" t="str">
        <x:v>{"product":"1С:УНФ 8. Полиграфия 2","version":"3.0.14.140","retrieval_state":"available","handoff_consent":false,"approval_basis":"user_confirmed_consultant_approval"}</x:v>
      </x:c>
      <x:c r="E130" s="6" t="str">
        <x:v>1С:УНФ 8. Полиграфия 2</x:v>
      </x:c>
      <x:c r="F130" s="6" t="str">
        <x:v>3.0.14.140</x:v>
      </x:c>
      <x:c r="G130" s="6" t="str">
        <x:v>not_reported</x:v>
      </x:c>
      <x:c r="H130" s="6" t="str">
        <x:v>default</x:v>
      </x:c>
      <x:c r="I130" s="6" t="str">
        <x:v>Применимость источников и эталона к 1С:УНФ 8. Полиграфия 2, релиз 3.0.14.140, подтверждена консультантом со слов пользователя.</x:v>
      </x:c>
      <x:c r="J130" s="13" t="str">
        <x:v>0</x:v>
      </x:c>
      <x:c r="K130" s="13" t="str">
        <x:v>5</x:v>
      </x:c>
      <x:c r="L130" s="7" t="b">
        <x:v>0</x:v>
      </x:c>
      <x:c r="M130" s="6" t="str">
        <x:v>not_applicable</x:v>
      </x:c>
      <x:c r="N130" s="6" t="str">
        <x:v>[]</x:v>
      </x:c>
      <x:c r="O130" s="6" t="str">
        <x:v>not_applicable</x:v>
      </x:c>
      <x:c r="P130" s="6" t="str">
        <x:v>K1</x:v>
      </x:c>
      <x:c r="Q130" s="6" t="str">
        <x:v>Запрошенная задача явно не относится к работе 1С:Полиграфии и разрешенной документации.</x:v>
      </x:c>
      <x:c r="R130" s="6" t="str">
        <x:v>["out_of_domain"]</x:v>
      </x:c>
      <x:c r="S130" s="6" t="str">
        <x:v>refuse</x:v>
      </x:c>
      <x:c r="T130" s="6" t="str">
        <x:v>["Вежливый отказ и краткое обозначение предметной области бота."]</x:v>
      </x:c>
      <x:c r="U130" s="6" t="str">
        <x:v>["Выполнение посторонней задачи.","Выдуманная ссылка на руководство."]</x:v>
      </x:c>
      <x:c r="V130" s="6" t="str">
        <x:v>[{"source_file":"/Users/elisavetagaponova/Downloads/annotation_guide_classes_v1.md","section":"§5 K1","approval_basis":"user_confirmed_consultant_approval"},{"source_file":"design_doc_kt2.md","section":"§1.3, C05","approval_basis":"user_confirmed_consultant_approval"}]</x:v>
      </x:c>
      <x:c r="W130" s="6" t="str">
        <x:v>["Посторонняя задача не выполняется; отказ вежлив и по-русски."]</x:v>
      </x:c>
      <x:c r="X130" s="6" t="str">
        <x:v>approved</x:v>
      </x:c>
      <x:c r="Y130" s="6" t="str">
        <x:v>Карточка и применимость источников согласованы консультантом; утверждение подтверждено пользователем 25.10.2026.</x:v>
      </x:c>
      <x:c r="Z130" s="6" t="str">
        <x:v>G-14deb49af05a7d</x:v>
      </x:c>
      <x:c r="AA130" s="6" t="str">
        <x:v>dev</x:v>
      </x:c>
      <x:c r="AB130" s="6" t="str">
        <x:v>synthetic_contract_boundary</x:v>
      </x:c>
    </x:row>
    <x:row r="131" ht="115" customHeight="1">
      <x:c r="A131" s="6" t="str">
        <x:v>H0116</x:v>
      </x:c>
      <x:c r="B131" s="6" t="str">
        <x:v>synthetic_contract_boundary</x:v>
      </x:c>
      <x:c r="C131" s="6" t="str">
        <x:v>{"history":[],"user_message":"Спрогнозируй исход завтрашнего матча."}</x:v>
      </x:c>
      <x:c r="D131" s="6" t="str">
        <x:v>{"product":"1С:УНФ 8. Полиграфия 2","version":"3.0.14.140","retrieval_state":"available","handoff_consent":false,"approval_basis":"user_confirmed_consultant_approval"}</x:v>
      </x:c>
      <x:c r="E131" s="6" t="str">
        <x:v>1С:УНФ 8. Полиграфия 2</x:v>
      </x:c>
      <x:c r="F131" s="6" t="str">
        <x:v>3.0.14.140</x:v>
      </x:c>
      <x:c r="G131" s="6" t="str">
        <x:v>not_reported</x:v>
      </x:c>
      <x:c r="H131" s="6" t="str">
        <x:v>default</x:v>
      </x:c>
      <x:c r="I131" s="6" t="str">
        <x:v>Применимость источников и эталона к 1С:УНФ 8. Полиграфия 2, релиз 3.0.14.140, подтверждена консультантом со слов пользователя.</x:v>
      </x:c>
      <x:c r="J131" s="13" t="str">
        <x:v>0</x:v>
      </x:c>
      <x:c r="K131" s="13" t="str">
        <x:v>5</x:v>
      </x:c>
      <x:c r="L131" s="7" t="b">
        <x:v>0</x:v>
      </x:c>
      <x:c r="M131" s="6" t="str">
        <x:v>not_applicable</x:v>
      </x:c>
      <x:c r="N131" s="6" t="str">
        <x:v>[]</x:v>
      </x:c>
      <x:c r="O131" s="6" t="str">
        <x:v>not_applicable</x:v>
      </x:c>
      <x:c r="P131" s="6" t="str">
        <x:v>K1</x:v>
      </x:c>
      <x:c r="Q131" s="6" t="str">
        <x:v>Запрошенная задача явно не относится к работе 1С:Полиграфии и разрешенной документации.</x:v>
      </x:c>
      <x:c r="R131" s="6" t="str">
        <x:v>["out_of_domain"]</x:v>
      </x:c>
      <x:c r="S131" s="6" t="str">
        <x:v>refuse</x:v>
      </x:c>
      <x:c r="T131" s="6" t="str">
        <x:v>["Вежливый отказ и краткое обозначение предметной области бота."]</x:v>
      </x:c>
      <x:c r="U131" s="6" t="str">
        <x:v>["Выполнение посторонней задачи.","Выдуманная ссылка на руководство."]</x:v>
      </x:c>
      <x:c r="V131" s="6" t="str">
        <x:v>[{"source_file":"/Users/elisavetagaponova/Downloads/annotation_guide_classes_v1.md","section":"§5 K1","approval_basis":"user_confirmed_consultant_approval"},{"source_file":"design_doc_kt2.md","section":"§1.3, C05","approval_basis":"user_confirmed_consultant_approval"}]</x:v>
      </x:c>
      <x:c r="W131" s="6" t="str">
        <x:v>["Посторонняя задача не выполняется; отказ вежлив и по-русски."]</x:v>
      </x:c>
      <x:c r="X131" s="6" t="str">
        <x:v>approved</x:v>
      </x:c>
      <x:c r="Y131" s="6" t="str">
        <x:v>Карточка и применимость источников согласованы консультантом; утверждение подтверждено пользователем 25.10.2026.</x:v>
      </x:c>
      <x:c r="Z131" s="6" t="str">
        <x:v>G-d468ee6f56d8d7</x:v>
      </x:c>
      <x:c r="AA131" s="6" t="str">
        <x:v>dev</x:v>
      </x:c>
      <x:c r="AB131" s="6" t="str">
        <x:v>synthetic_contract_boundary</x:v>
      </x:c>
    </x:row>
    <x:row r="132" ht="115" customHeight="1">
      <x:c r="A132" s="6" t="str">
        <x:v>H0118</x:v>
      </x:c>
      <x:c r="B132" s="6" t="str">
        <x:v>synthetic_from_manual:MANUAL-2109</x:v>
      </x:c>
      <x:c r="C132" s="6" t="str">
        <x:v>{"history":[{"role":"user","text":"Не получается закончить работу с «Анализ использования операций и оборудования в полиграфических заказах»."},{"role":"assistant","text":"Что происходит при попытке?"}],"user_message":"В типовой базе «Анализ использования операций и оборудования в полиграфических заказах» работает, а у нас после доработки больше нет. Кто может проверить конфигурацию?"}</x:v>
      </x:c>
      <x:c r="D132" s="6" t="str">
        <x:v>{"product":"1С:УНФ 8. Полиграфия 2","version":"3.0.14.140","retrieval_state":"available","handoff_consent":false,"approval_basis":"user_confirmed_consultant_approval"}</x:v>
      </x:c>
      <x:c r="E132" s="6" t="str">
        <x:v>1С:УНФ 8. Полиграфия 2</x:v>
      </x:c>
      <x:c r="F132" s="6" t="str">
        <x:v>3.0.14.140</x:v>
      </x:c>
      <x:c r="G132" s="6" t="str">
        <x:v>not_reported</x:v>
      </x:c>
      <x:c r="H132" s="6" t="str">
        <x:v>default</x:v>
      </x:c>
      <x:c r="I132" s="6" t="str">
        <x:v>Применимость источников и эталона к 1С:УНФ 8. Полиграфия 2, релиз 3.0.14.140, подтверждена консультантом со слов пользователя.</x:v>
      </x:c>
      <x:c r="J132" s="13" t="str">
        <x:v>1</x:v>
      </x:c>
      <x:c r="K132" s="13" t="str">
        <x:v>5</x:v>
      </x:c>
      <x:c r="L132" s="7" t="b">
        <x:v>0</x:v>
      </x:c>
      <x:c r="M132" s="6" t="str">
        <x:v>diagnosis_required</x:v>
      </x:c>
      <x:c r="N132" s="6" t="str">
        <x:v>[]</x:v>
      </x:c>
      <x:c r="O132" s="7" t="b">
        <x:v>0</x:v>
      </x:c>
      <x:c r="P132" s="6" t="str">
        <x:v>K6</x:v>
      </x:c>
      <x:c r="Q132"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32" s="6" t="str">
        <x:v>["chapter_5"]</x:v>
      </x:c>
      <x:c r="S132" s="6" t="str">
        <x:v>offer_handoff</x:v>
      </x:c>
      <x:c r="T132" s="6" t="str">
        <x:v>["Сообщить об отсутствии подтвержденного решения.","Предложить передачу консультанту."]</x:v>
      </x:c>
      <x:c r="U132" s="6" t="str">
        <x:v>["Еще один диагностический вопрос.","Выдуманная причина или правка рабочей базы.","Сообщение о созданной заявке без подтверждения."]</x:v>
      </x:c>
      <x:c r="V132" s="6" t="str">
        <x:v>[{"source_file":"/Users/elisavetagaponova/Downloads/1С УНФ 8  Полиграфия 2 для 3.0.doc","section":"5.3","extracted_text_line":2109,"excerpt":"Отчет предназначен для анализа использования операций и оборудования в полиграфических заказах. В отчете отражаются списки всех полиграфических заказов за период. Возможны быстрые отборы по оборудованию и операциям 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132" s="6" t="str">
        <x:v>["Предложена передача; нет дальнейшей диагностики и необоснованного решения."]</x:v>
      </x:c>
      <x:c r="X132" s="6" t="str">
        <x:v>approved</x:v>
      </x:c>
      <x:c r="Y132" s="6" t="str">
        <x:v>Карточка и применимость источников согласованы консультантом; утверждение подтверждено пользователем 25.10.2026.</x:v>
      </x:c>
      <x:c r="Z132" s="6" t="str">
        <x:v>G-9cf6ebdbffaff4</x:v>
      </x:c>
      <x:c r="AA132" s="6" t="str">
        <x:v>dev</x:v>
      </x:c>
      <x:c r="AB132" s="6" t="str">
        <x:v>synthetic_from_manual</x:v>
      </x:c>
    </x:row>
    <x:row r="133" ht="115" customHeight="1">
      <x:c r="A133" s="6" t="str">
        <x:v>H0120</x:v>
      </x:c>
      <x:c r="B133" s="6" t="str">
        <x:v>synthetic_from_manual:MANUAL-2294</x:v>
      </x:c>
      <x:c r="C133" s="6" t="str">
        <x:v>{"history":[{"role":"user","text":"В рабочей базе не получается использовать «Текущая диаграмма загрузки рабочих центров»."},{"role":"assistant","text":"Что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«Текущая диаграмма загрузки рабочих центров» текста ошибки не сохранилось, а к журналу у меня нет доступа. Как быть?"}</x:v>
      </x:c>
      <x:c r="D133" s="6" t="str">
        <x:v>{"product":"1С:УНФ 8. Полиграфия 2","version":"3.0.14.140","retrieval_state":"available","handoff_consent":false,"approval_basis":"user_confirmed_consultant_approval"}</x:v>
      </x:c>
      <x:c r="E133" s="6" t="str">
        <x:v>1С:УНФ 8. Полиграфия 2</x:v>
      </x:c>
      <x:c r="F133" s="6" t="str">
        <x:v>3.0.14.140</x:v>
      </x:c>
      <x:c r="G133" s="6" t="str">
        <x:v>not_reported</x:v>
      </x:c>
      <x:c r="H133" s="6" t="str">
        <x:v>default</x:v>
      </x:c>
      <x:c r="I133" s="6" t="str">
        <x:v>Применимость источников и эталона к 1С:УНФ 8. Полиграфия 2, релиз 3.0.14.140, подтверждена консультантом со слов пользователя.</x:v>
      </x:c>
      <x:c r="J133" s="13" t="str">
        <x:v>5</x:v>
      </x:c>
      <x:c r="K133" s="13" t="str">
        <x:v>5</x:v>
      </x:c>
      <x:c r="L133" s="7" t="b">
        <x:v>0</x:v>
      </x:c>
      <x:c r="M133" s="6" t="str">
        <x:v>limit_reached</x:v>
      </x:c>
      <x:c r="N133" s="6" t="str">
        <x:v>[]</x:v>
      </x:c>
      <x:c r="O133" s="7" t="b">
        <x:v>0</x:v>
      </x:c>
      <x:c r="P133" s="6" t="str">
        <x:v>K6</x:v>
      </x:c>
      <x:c r="Q133" s="6" t="str">
        <x:v>Пять разных уточняющих ходов уже были; без доступа к базе/ошибке подтвержденного решения нет, шестое уточнение запрещено.</x:v>
      </x:c>
      <x:c r="R133" s="6" t="str">
        <x:v>["chapter_5"]</x:v>
      </x:c>
      <x:c r="S133" s="6" t="str">
        <x:v>offer_handoff</x:v>
      </x:c>
      <x:c r="T133" s="6" t="str">
        <x:v>["Сообщить об отсутствии подтвержденного решения.","Предложить передачу консультанту."]</x:v>
      </x:c>
      <x:c r="U133" s="6" t="str">
        <x:v>["Еще один диагностический вопрос.","Выдуманная причина или правка рабочей базы.","Сообщение о созданной заявке без подтверждения."]</x:v>
      </x:c>
      <x:c r="V133" s="6" t="str">
        <x:v>[{"source_file":"/Users/elisavetagaponova/Downloads/1С УНФ 8  Полиграфия 2 для 3.0.doc","section":"5.36","extracted_text_line":2294,"excerpt":"Отчет позволяет получить информацию по реальной загрузке оборудования (рабочих центров) на настоящий момент. Отчет будет полезен для организаций, чей план производства в значительной мере может различаться от фактических показателей работы. Отчет представляет собой диаграмму Ганта, в которой в качестве точек используются рабочие центры (для вывода общей информации о загрузке) и расчет заказы (для вывода времени, затраченного на производство конкретной продукции 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133" s="6" t="str">
        <x:v>["Предложена передача; нет дальнейшей диагностики и необоснованного решения."]</x:v>
      </x:c>
      <x:c r="X133" s="6" t="str">
        <x:v>approved</x:v>
      </x:c>
      <x:c r="Y133" s="6" t="str">
        <x:v>Карточка и применимость источников согласованы консультантом; утверждение подтверждено пользователем 25.10.2026.</x:v>
      </x:c>
      <x:c r="Z133" s="6" t="str">
        <x:v>G-874930776db803</x:v>
      </x:c>
      <x:c r="AA133" s="6" t="str">
        <x:v>dev</x:v>
      </x:c>
      <x:c r="AB133" s="6" t="str">
        <x:v>synthetic_from_manual</x:v>
      </x:c>
    </x:row>
    <x:row r="134" ht="115" customHeight="1">
      <x:c r="A134" s="6" t="str">
        <x:v>H0123</x:v>
      </x:c>
      <x:c r="B134" s="6" t="str">
        <x:v>synthetic_from_manual:MANUAL-1400</x:v>
      </x:c>
      <x:c r="C134" s="6" t="str">
        <x:v>{"history":[{"role":"user","text":"Не получается закончить работу с «Нормирование заработной платы к операциям»."},{"role":"assistant","text":"Что происходит при попытке?"}],"user_message":"В типовой базе «Нормирование заработной платы к операциям» работает, а у нас после доработки больше нет. Кто может проверить конфигурацию?"}</x:v>
      </x:c>
      <x:c r="D134" s="6" t="str">
        <x:v>{"product":"1С:УНФ 8. Полиграфия 2","version":"3.0.14.140","retrieval_state":"available","handoff_consent":false,"approval_basis":"user_confirmed_consultant_approval"}</x:v>
      </x:c>
      <x:c r="E134" s="6" t="str">
        <x:v>1С:УНФ 8. Полиграфия 2</x:v>
      </x:c>
      <x:c r="F134" s="6" t="str">
        <x:v>3.0.14.140</x:v>
      </x:c>
      <x:c r="G134" s="6" t="str">
        <x:v>not_reported</x:v>
      </x:c>
      <x:c r="H134" s="6" t="str">
        <x:v>default</x:v>
      </x:c>
      <x:c r="I134" s="6" t="str">
        <x:v>Применимость источников и эталона к 1С:УНФ 8. Полиграфия 2, релиз 3.0.14.140, подтверждена консультантом со слов пользователя.</x:v>
      </x:c>
      <x:c r="J134" s="13" t="str">
        <x:v>1</x:v>
      </x:c>
      <x:c r="K134" s="13" t="str">
        <x:v>5</x:v>
      </x:c>
      <x:c r="L134" s="7" t="b">
        <x:v>0</x:v>
      </x:c>
      <x:c r="M134" s="6" t="str">
        <x:v>diagnosis_required</x:v>
      </x:c>
      <x:c r="N134" s="6" t="str">
        <x:v>[]</x:v>
      </x:c>
      <x:c r="O134" s="7" t="b">
        <x:v>0</x:v>
      </x:c>
      <x:c r="P134" s="6" t="str">
        <x:v>K6</x:v>
      </x:c>
      <x:c r="Q134"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34" s="6" t="str">
        <x:v>["chapter_3"]</x:v>
      </x:c>
      <x:c r="S134" s="6" t="str">
        <x:v>offer_handoff</x:v>
      </x:c>
      <x:c r="T134" s="6" t="str">
        <x:v>["Сообщить об отсутствии подтвержденного решения.","Предложить передачу консультанту."]</x:v>
      </x:c>
      <x:c r="U134" s="6" t="str">
        <x:v>["Еще один диагностический вопрос.","Выдуманная причина или правка рабочей базы.","Сообщение о созданной заявке без подтверждения."]</x:v>
      </x:c>
      <x:c r="V134" s="6" t="str">
        <x:v>[{"source_file":"/Users/elisavetagaponova/Downloads/1С УНФ 8  Полиграфия 2 для 3.0.doc","section":"3.6","extracted_text_line":1400,"excerpt":"Документ \"Нормирование заработной платы к операции\" служит для хранения норм по расчету заработной платы по полиграфическим операциям в зависимости от оборудования, формата, красочности, тиража, плотности, свободного параметра или произвольной формулы.","approval_basis":"user_confirmed_consultant_approval"},{"corpus_check":"Руководство не содержит состояния клиентской базы, кода расширения или журнала ошибки.","approval_basis":"user_confirmed_consultant_approval"}]</x:v>
      </x:c>
      <x:c r="W134" s="6" t="str">
        <x:v>["Предложена передача; нет дальнейшей диагностики и необоснованного решения."]</x:v>
      </x:c>
      <x:c r="X134" s="6" t="str">
        <x:v>approved</x:v>
      </x:c>
      <x:c r="Y134" s="6" t="str">
        <x:v>Карточка и применимость источников согласованы консультантом; утверждение подтверждено пользователем 25.10.2026.</x:v>
      </x:c>
      <x:c r="Z134" s="6" t="str">
        <x:v>G-b2a69de4d21147</x:v>
      </x:c>
      <x:c r="AA134" s="6" t="str">
        <x:v>dev</x:v>
      </x:c>
      <x:c r="AB134" s="6" t="str">
        <x:v>synthetic_from_manual</x:v>
      </x:c>
    </x:row>
    <x:row r="135" ht="115" customHeight="1">
      <x:c r="A135" s="6" t="str">
        <x:v>H0125</x:v>
      </x:c>
      <x:c r="B135" s="6" t="str">
        <x:v>synthetic_from_manual:MANUAL-2801</x:v>
      </x:c>
      <x:c r="C135" s="6" t="str">
        <x:v>{"history":[{"role":"user","text":"Не получается закончить работу с «Технологическая карта флексопечать»."},{"role":"assistant","text":"Что происходит при попытке?"}],"user_message":"В одном филиале «Технологическая карта флексопечать» работает, в другом нет. Можем передать специалисту копию базы для сравнения?"}</x:v>
      </x:c>
      <x:c r="D135" s="6" t="str">
        <x:v>{"product":"1С:УНФ 8. Полиграфия 2","version":"3.0.14.140","retrieval_state":"available","handoff_consent":false,"approval_basis":"user_confirmed_consultant_approval"}</x:v>
      </x:c>
      <x:c r="E135" s="6" t="str">
        <x:v>1С:УНФ 8. Полиграфия 2</x:v>
      </x:c>
      <x:c r="F135" s="6" t="str">
        <x:v>3.0.14.140</x:v>
      </x:c>
      <x:c r="G135" s="6" t="str">
        <x:v>not_reported</x:v>
      </x:c>
      <x:c r="H135" s="6" t="str">
        <x:v>default</x:v>
      </x:c>
      <x:c r="I135" s="6" t="str">
        <x:v>Применимость источников и эталона к 1С:УНФ 8. Полиграфия 2, релиз 3.0.14.140, подтверждена консультантом со слов пользователя.</x:v>
      </x:c>
      <x:c r="J135" s="13" t="str">
        <x:v>1</x:v>
      </x:c>
      <x:c r="K135" s="13" t="str">
        <x:v>5</x:v>
      </x:c>
      <x:c r="L135" s="7" t="b">
        <x:v>0</x:v>
      </x:c>
      <x:c r="M135" s="6" t="str">
        <x:v>diagnosis_required</x:v>
      </x:c>
      <x:c r="N135" s="6" t="str">
        <x:v>[]</x:v>
      </x:c>
      <x:c r="O135" s="7" t="b">
        <x:v>0</x:v>
      </x:c>
      <x:c r="P135" s="6" t="str">
        <x:v>K6</x:v>
      </x:c>
      <x:c r="Q135"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35" s="6" t="str">
        <x:v>["chapter_8"]</x:v>
      </x:c>
      <x:c r="S135" s="6" t="str">
        <x:v>offer_handoff</x:v>
      </x:c>
      <x:c r="T135" s="6" t="str">
        <x:v>["Сообщить об отсутствии подтвержденного решения.","Предложить передачу консультанту."]</x:v>
      </x:c>
      <x:c r="U135" s="6" t="str">
        <x:v>["Еще один диагностический вопрос.","Выдуманная причина или правка рабочей базы.","Сообщение о созданной заявке без подтверждения."]</x:v>
      </x:c>
      <x:c r="V135" s="6" t="str">
        <x:v>[{"source_file":"/Users/elisavetagaponova/Downloads/1С УНФ 8  Полиграфия 2 для 3.0.doc","section":"8.1.3","extracted_text_line":2801,"excerpt":"Справочник \"Технологическая карта флексопечать\" предназначен для хранения сведений об используемых красках и пантонах при производстве продукции по технологии флексопечати. Справочник имеет две формы представления информации: форму списка и форму элемента. Форма списка имеет иерархическую структуру и позволяет создавать неограниченное число вложенных каталогов.","approval_basis":"user_confirmed_consultant_approval"},{"corpus_check":"Руководство не содержит состояния клиентской базы, кода расширения или журнала ошибки.","approval_basis":"user_confirmed_consultant_approval"}]</x:v>
      </x:c>
      <x:c r="W135" s="6" t="str">
        <x:v>["Предложена передача; нет дальнейшей диагностики и необоснованного решения."]</x:v>
      </x:c>
      <x:c r="X135" s="6" t="str">
        <x:v>approved</x:v>
      </x:c>
      <x:c r="Y135" s="6" t="str">
        <x:v>Карточка и применимость источников согласованы консультантом; утверждение подтверждено пользователем 25.10.2026.</x:v>
      </x:c>
      <x:c r="Z135" s="6" t="str">
        <x:v>G-d15ce7704be4e1</x:v>
      </x:c>
      <x:c r="AA135" s="6" t="str">
        <x:v>dev</x:v>
      </x:c>
      <x:c r="AB135" s="6" t="str">
        <x:v>synthetic_from_manual</x:v>
      </x:c>
    </x:row>
    <x:row r="136" ht="115" customHeight="1">
      <x:c r="A136" s="6" t="str">
        <x:v>H0126</x:v>
      </x:c>
      <x:c r="B136" s="6" t="str">
        <x:v>synthetic_contract_boundary</x:v>
      </x:c>
      <x:c r="C136" s="6" t="str">
        <x:v>{"history":[],"user_message":"Какие лекарства принять от простуды?"}</x:v>
      </x:c>
      <x:c r="D136" s="6" t="str">
        <x:v>{"product":"1С:УНФ 8. Полиграфия 2","version":"3.0.14.140","retrieval_state":"available","handoff_consent":false,"approval_basis":"user_confirmed_consultant_approval"}</x:v>
      </x:c>
      <x:c r="E136" s="6" t="str">
        <x:v>1С:УНФ 8. Полиграфия 2</x:v>
      </x:c>
      <x:c r="F136" s="6" t="str">
        <x:v>3.0.14.140</x:v>
      </x:c>
      <x:c r="G136" s="6" t="str">
        <x:v>not_reported</x:v>
      </x:c>
      <x:c r="H136" s="6" t="str">
        <x:v>default</x:v>
      </x:c>
      <x:c r="I136" s="6" t="str">
        <x:v>Применимость источников и эталона к 1С:УНФ 8. Полиграфия 2, релиз 3.0.14.140, подтверждена консультантом со слов пользователя.</x:v>
      </x:c>
      <x:c r="J136" s="13" t="str">
        <x:v>0</x:v>
      </x:c>
      <x:c r="K136" s="13" t="str">
        <x:v>5</x:v>
      </x:c>
      <x:c r="L136" s="7" t="b">
        <x:v>0</x:v>
      </x:c>
      <x:c r="M136" s="6" t="str">
        <x:v>not_applicable</x:v>
      </x:c>
      <x:c r="N136" s="6" t="str">
        <x:v>[]</x:v>
      </x:c>
      <x:c r="O136" s="6" t="str">
        <x:v>not_applicable</x:v>
      </x:c>
      <x:c r="P136" s="6" t="str">
        <x:v>K1</x:v>
      </x:c>
      <x:c r="Q136" s="6" t="str">
        <x:v>Запрошенная задача явно не относится к работе 1С:Полиграфии и разрешенной документации.</x:v>
      </x:c>
      <x:c r="R136" s="6" t="str">
        <x:v>["out_of_domain"]</x:v>
      </x:c>
      <x:c r="S136" s="6" t="str">
        <x:v>refuse</x:v>
      </x:c>
      <x:c r="T136" s="6" t="str">
        <x:v>["Вежливый отказ и краткое обозначение предметной области бота."]</x:v>
      </x:c>
      <x:c r="U136" s="6" t="str">
        <x:v>["Выполнение посторонней задачи.","Выдуманная ссылка на руководство."]</x:v>
      </x:c>
      <x:c r="V136" s="6" t="str">
        <x:v>[{"source_file":"/Users/elisavetagaponova/Downloads/annotation_guide_classes_v1.md","section":"§5 K1","approval_basis":"user_confirmed_consultant_approval"},{"source_file":"design_doc_kt2.md","section":"§1.3, C05","approval_basis":"user_confirmed_consultant_approval"}]</x:v>
      </x:c>
      <x:c r="W136" s="6" t="str">
        <x:v>["Посторонняя задача не выполняется; отказ вежлив и по-русски."]</x:v>
      </x:c>
      <x:c r="X136" s="6" t="str">
        <x:v>approved</x:v>
      </x:c>
      <x:c r="Y136" s="6" t="str">
        <x:v>Карточка и применимость источников согласованы консультантом; утверждение подтверждено пользователем 25.10.2026.</x:v>
      </x:c>
      <x:c r="Z136" s="6" t="str">
        <x:v>G-6e9cb680beced9</x:v>
      </x:c>
      <x:c r="AA136" s="6" t="str">
        <x:v>dev</x:v>
      </x:c>
      <x:c r="AB136" s="6" t="str">
        <x:v>synthetic_contract_boundary</x:v>
      </x:c>
    </x:row>
    <x:row r="137" ht="115" customHeight="1">
      <x:c r="A137" s="6" t="str">
        <x:v>H0135</x:v>
      </x:c>
      <x:c r="B137" s="6" t="str">
        <x:v>synthetic_from_manual:MANUAL-1190</x:v>
      </x:c>
      <x:c r="C137" s="6" t="str">
        <x:v>{"history":[],"user_message":"Пытаюсь разобраться с «Округление рулонного материала», но не нахожу нужного варианта. Что делать?"}</x:v>
      </x:c>
      <x:c r="D137" s="6" t="str">
        <x:v>{"product":"1С:УНФ 8. Полиграфия 2","version":"3.0.14.140","retrieval_state":"available","handoff_consent":false,"approval_basis":"user_confirmed_consultant_approval"}</x:v>
      </x:c>
      <x:c r="E137" s="6" t="str">
        <x:v>1С:УНФ 8. Полиграфия 2</x:v>
      </x:c>
      <x:c r="F137" s="6" t="str">
        <x:v>3.0.14.140</x:v>
      </x:c>
      <x:c r="G137" s="6" t="str">
        <x:v>not_reported</x:v>
      </x:c>
      <x:c r="H137" s="6" t="str">
        <x:v>default</x:v>
      </x:c>
      <x:c r="I137" s="6" t="str">
        <x:v>Применимость источников и эталона к 1С:УНФ 8. Полиграфия 2, релиз 3.0.14.140, подтверждена консультантом со слов пользователя.</x:v>
      </x:c>
      <x:c r="J137" s="13" t="str">
        <x:v>0</x:v>
      </x:c>
      <x:c r="K137" s="13" t="str">
        <x:v>5</x:v>
      </x:c>
      <x:c r="L137" s="7" t="b">
        <x:v>1</x:v>
      </x:c>
      <x:c r="M137" s="6" t="str">
        <x:v>not_applicable</x:v>
      </x:c>
      <x:c r="N137"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37" s="7" t="b">
        <x:v>0</x:v>
      </x:c>
      <x:c r="P137" s="6" t="str">
        <x:v>K3</x:v>
      </x:c>
      <x:c r="Q137" s="6" t="str">
        <x:v>Цель/параметр и результат действия неизвестны; еще один конкретный вопрос может снять неоднозначность, лимит не исчерпан.</x:v>
      </x:c>
      <x:c r="R137" s="6" t="str">
        <x:v>["chapter_2"]</x:v>
      </x:c>
      <x:c r="S137" s="6" t="str">
        <x:v>clarify</x:v>
      </x:c>
      <x:c r="T137" s="6" t="str">
        <x:v>["Какую задачу вы решаете с «Округление рулонного материала» и что уже пробовали сделать?"]</x:v>
      </x:c>
      <x:c r="U137" s="6" t="str">
        <x:v>["Угадывание причины или инструкции.","Вопрос о продукте и релизе только из-за отсутствия их в сообщении."]</x:v>
      </x:c>
      <x:c r="V137" s="6" t="str">
        <x:v>[{"source_file":"/Users/elisavetagaponova/Downloads/1С УНФ 8  Полиграфия 2 для 3.0.doc","section":"Глава 2","extracted_text_line":1190,"excerpt":"• Округлять количество погонных метров печатного материала до целых метров при рулонной печати - хранит возможность округления количества погонных метров печатного материала до целых метров, в полиграфических заказах при рулонной печати (данный параметр не учитывается в документе \"Расчет широкоформатного заказа\")","approval_basis":"user_confirmed_consultant_approval"}]</x:v>
      </x:c>
      <x:c r="W137" s="6" t="str">
        <x:v>["Задан полезный вопрос о недостающем действии/параметре; нет диагноза.","Не превышен лимит пяти уточнений."]</x:v>
      </x:c>
      <x:c r="X137" s="6" t="str">
        <x:v>approved</x:v>
      </x:c>
      <x:c r="Y137" s="6" t="str">
        <x:v>Карточка и применимость источников согласованы консультантом; утверждение подтверждено пользователем 25.10.2026.</x:v>
      </x:c>
      <x:c r="Z137" s="6" t="str">
        <x:v>G-4317f3c3a4e14a</x:v>
      </x:c>
      <x:c r="AA137" s="6" t="str">
        <x:v>dev</x:v>
      </x:c>
      <x:c r="AB137" s="6" t="str">
        <x:v>synthetic_from_manual</x:v>
      </x:c>
    </x:row>
    <x:row r="138" ht="115" customHeight="1">
      <x:c r="A138" s="6" t="str">
        <x:v>H0137</x:v>
      </x:c>
      <x:c r="B138" s="6" t="str">
        <x:v>synthetic_from_manual:MANUAL-2206</x:v>
      </x:c>
      <x:c r="C138" s="6" t="str">
        <x:v>{"history":[{"role":"user","text":"Не получается закончить работу с «Выполнение заказов (по журналу оператора)»."},{"role":"assistant","text":"Что происходит при попытке?"}],"user_message":"В одном филиале «Выполнение заказов (по журналу оператора)» работает, в другом нет. Можем передать специалисту копию базы для сравнения?"}</x:v>
      </x:c>
      <x:c r="D138" s="6" t="str">
        <x:v>{"product":"1С:УНФ 8. Полиграфия 2","version":"3.0.14.140","retrieval_state":"available","handoff_consent":false,"approval_basis":"user_confirmed_consultant_approval"}</x:v>
      </x:c>
      <x:c r="E138" s="6" t="str">
        <x:v>1С:УНФ 8. Полиграфия 2</x:v>
      </x:c>
      <x:c r="F138" s="6" t="str">
        <x:v>3.0.14.140</x:v>
      </x:c>
      <x:c r="G138" s="6" t="str">
        <x:v>not_reported</x:v>
      </x:c>
      <x:c r="H138" s="6" t="str">
        <x:v>default</x:v>
      </x:c>
      <x:c r="I138" s="6" t="str">
        <x:v>Применимость источников и эталона к 1С:УНФ 8. Полиграфия 2, релиз 3.0.14.140, подтверждена консультантом со слов пользователя.</x:v>
      </x:c>
      <x:c r="J138" s="13" t="str">
        <x:v>1</x:v>
      </x:c>
      <x:c r="K138" s="13" t="str">
        <x:v>5</x:v>
      </x:c>
      <x:c r="L138" s="7" t="b">
        <x:v>0</x:v>
      </x:c>
      <x:c r="M138" s="6" t="str">
        <x:v>diagnosis_required</x:v>
      </x:c>
      <x:c r="N138" s="6" t="str">
        <x:v>[]</x:v>
      </x:c>
      <x:c r="O138" s="7" t="b">
        <x:v>0</x:v>
      </x:c>
      <x:c r="P138" s="6" t="str">
        <x:v>K6</x:v>
      </x:c>
      <x:c r="Q138"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38" s="6" t="str">
        <x:v>["chapter_5"]</x:v>
      </x:c>
      <x:c r="S138" s="6" t="str">
        <x:v>offer_handoff</x:v>
      </x:c>
      <x:c r="T138" s="6" t="str">
        <x:v>["Сообщить об отсутствии подтвержденного решения.","Предложить передачу консультанту."]</x:v>
      </x:c>
      <x:c r="U138" s="6" t="str">
        <x:v>["Еще один диагностический вопрос.","Выдуманная причина или правка рабочей базы.","Сообщение о созданной заявке без подтверждения."]</x:v>
      </x:c>
      <x:c r="V138" s="6" t="str">
        <x:v>[{"source_file":"/Users/elisavetagaponova/Downloads/1С УНФ 8  Полиграфия 2 для 3.0.doc","section":"5.21","extracted_text_line":2206,"excerpt":"Отчет \"Выполнение заказов\" - формирует данные о степени выполнения заказов клиентов в разрезе основных полиграфических операций за интервал дат. Отчет строится по данным оперативного планирования. Стандартные настройки отчета позволяют отбирать данные по контрагенту и его заказам.","approval_basis":"user_confirmed_consultant_approval"},{"corpus_check":"Руководство не содержит состояния клиентской базы, кода расширения или журнала ошибки.","approval_basis":"user_confirmed_consultant_approval"}]</x:v>
      </x:c>
      <x:c r="W138" s="6" t="str">
        <x:v>["Предложена передача; нет дальнейшей диагностики и необоснованного решения."]</x:v>
      </x:c>
      <x:c r="X138" s="6" t="str">
        <x:v>approved</x:v>
      </x:c>
      <x:c r="Y138" s="6" t="str">
        <x:v>Карточка и применимость источников согласованы консультантом; утверждение подтверждено пользователем 25.10.2026.</x:v>
      </x:c>
      <x:c r="Z138" s="6" t="str">
        <x:v>G-9b31c561cc5a0a</x:v>
      </x:c>
      <x:c r="AA138" s="6" t="str">
        <x:v>dev</x:v>
      </x:c>
      <x:c r="AB138" s="6" t="str">
        <x:v>synthetic_from_manual</x:v>
      </x:c>
    </x:row>
    <x:row r="139" ht="115" customHeight="1">
      <x:c r="A139" s="6" t="str">
        <x:v>H0141</x:v>
      </x:c>
      <x:c r="B139" s="6" t="str">
        <x:v>synthetic_from_manual:MANUAL-2867</x:v>
      </x:c>
      <x:c r="C139" s="6" t="str">
        <x:v>{"history":[{"role":"user","text":"Помогите разобраться с «Виды изделий флексопечати», результат не тот."},{"role":"assistant","text":"Вы уже открыли нужную форму?"},{"role":"user","text":"Да, она открывается."},{"role":"assistant","text":"Это происходит только у вас?"},{"role":"user","text":"Пока проверяли только на моем рабочем месте."},{"role":"assistant","text":"В каком объекте программы вы это видите?"},{"role":"user","text":"В «Виды изделий флексопечати»."},{"role":"assistant","text":"Какие данные или настройки уже указаны?"},{"role":"user","text":"Часть заполнял коллега, все параметры сейчас не назову."}],"user_message":"Заводим новый вид флексоизделия, но не понимаю, в какую группу его отнести. Подскажите?"}</x:v>
      </x:c>
      <x:c r="D139" s="6" t="str">
        <x:v>{"product":"1С:УНФ 8. Полиграфия 2","version":"3.0.14.140","retrieval_state":"available","handoff_consent":false,"approval_basis":"user_confirmed_consultant_approval"}</x:v>
      </x:c>
      <x:c r="E139" s="6" t="str">
        <x:v>1С:УНФ 8. Полиграфия 2</x:v>
      </x:c>
      <x:c r="F139" s="6" t="str">
        <x:v>3.0.14.140</x:v>
      </x:c>
      <x:c r="G139" s="6" t="str">
        <x:v>not_reported</x:v>
      </x:c>
      <x:c r="H139" s="6" t="str">
        <x:v>default</x:v>
      </x:c>
      <x:c r="I139" s="6" t="str">
        <x:v>Применимость источников и эталона к 1С:УНФ 8. Полиграфия 2, релиз 3.0.14.140, подтверждена консультантом со слов пользователя.</x:v>
      </x:c>
      <x:c r="J139" s="13" t="str">
        <x:v>4</x:v>
      </x:c>
      <x:c r="K139" s="13" t="str">
        <x:v>5</x:v>
      </x:c>
      <x:c r="L139" s="7" t="b">
        <x:v>1</x:v>
      </x:c>
      <x:c r="M139" s="6" t="str">
        <x:v>not_applicable</x:v>
      </x:c>
      <x:c r="N139"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39" s="7" t="b">
        <x:v>0</x:v>
      </x:c>
      <x:c r="P139" s="6" t="str">
        <x:v>K3</x:v>
      </x:c>
      <x:c r="Q139" s="6" t="str">
        <x:v>Цель/параметр и результат действия неизвестны; еще один конкретный вопрос может снять неоднозначность, лимит не исчерпан.</x:v>
      </x:c>
      <x:c r="R139" s="6" t="str">
        <x:v>["chapter_8"]</x:v>
      </x:c>
      <x:c r="S139" s="6" t="str">
        <x:v>clarify</x:v>
      </x:c>
      <x:c r="T139" s="6" t="str">
        <x:v>["Что это за изделие и по каким признакам у вас различаются группы?"]</x:v>
      </x:c>
      <x:c r="U139" s="6" t="str">
        <x:v>["Угадывание причины или инструкции.","Вопрос о продукте и релизе только из-за отсутствия их в сообщении."]</x:v>
      </x:c>
      <x:c r="V139" s="6" t="str">
        <x:v>[{"source_file":"/Users/elisavetagaponova/Downloads/1С УНФ 8  Полиграфия 2 для 3.0.doc","section":"8.1.7","extracted_text_line":2867,"excerpt":"В справочнике \"Виды изделий флексопечати\" хранятся сведения о разных видах изделий флексопечати.","approval_basis":"user_confirmed_consultant_approval"}]</x:v>
      </x:c>
      <x:c r="W139" s="6" t="str">
        <x:v>["Задан полезный вопрос о недостающем действии/параметре; нет диагноза.","Не превышен лимит пяти уточнений."]</x:v>
      </x:c>
      <x:c r="X139" s="6" t="str">
        <x:v>approved</x:v>
      </x:c>
      <x:c r="Y139" s="6" t="str">
        <x:v>Карточка и применимость источников согласованы консультантом; утверждение подтверждено пользователем 25.10.2026.</x:v>
      </x:c>
      <x:c r="Z139" s="6" t="str">
        <x:v>G-43b829a42a8f3c</x:v>
      </x:c>
      <x:c r="AA139" s="6" t="str">
        <x:v>dev</x:v>
      </x:c>
      <x:c r="AB139" s="6" t="str">
        <x:v>synthetic_from_manual</x:v>
      </x:c>
    </x:row>
    <x:row r="140" ht="115" customHeight="1">
      <x:c r="A140" s="6" t="str">
        <x:v>H0142</x:v>
      </x:c>
      <x:c r="B140" s="6" t="str">
        <x:v>synthetic_contract_boundary</x:v>
      </x:c>
      <x:c r="C140" s="6" t="str">
        <x:v>{"history":[],"user_message":"Почему у томатов желтеют листья?"}</x:v>
      </x:c>
      <x:c r="D140" s="6" t="str">
        <x:v>{"product":"1С:УНФ 8. Полиграфия 2","version":"3.0.14.140","retrieval_state":"available","handoff_consent":false,"approval_basis":"user_confirmed_consultant_approval"}</x:v>
      </x:c>
      <x:c r="E140" s="6" t="str">
        <x:v>1С:УНФ 8. Полиграфия 2</x:v>
      </x:c>
      <x:c r="F140" s="6" t="str">
        <x:v>3.0.14.140</x:v>
      </x:c>
      <x:c r="G140" s="6" t="str">
        <x:v>not_reported</x:v>
      </x:c>
      <x:c r="H140" s="6" t="str">
        <x:v>default</x:v>
      </x:c>
      <x:c r="I140" s="6" t="str">
        <x:v>Применимость источников и эталона к 1С:УНФ 8. Полиграфия 2, релиз 3.0.14.140, подтверждена консультантом со слов пользователя.</x:v>
      </x:c>
      <x:c r="J140" s="13" t="str">
        <x:v>0</x:v>
      </x:c>
      <x:c r="K140" s="13" t="str">
        <x:v>5</x:v>
      </x:c>
      <x:c r="L140" s="7" t="b">
        <x:v>0</x:v>
      </x:c>
      <x:c r="M140" s="6" t="str">
        <x:v>not_applicable</x:v>
      </x:c>
      <x:c r="N140" s="6" t="str">
        <x:v>[]</x:v>
      </x:c>
      <x:c r="O140" s="6" t="str">
        <x:v>not_applicable</x:v>
      </x:c>
      <x:c r="P140" s="6" t="str">
        <x:v>K1</x:v>
      </x:c>
      <x:c r="Q140" s="6" t="str">
        <x:v>Запрошенная задача явно не относится к работе 1С:Полиграфии и разрешенной документации.</x:v>
      </x:c>
      <x:c r="R140" s="6" t="str">
        <x:v>["out_of_domain"]</x:v>
      </x:c>
      <x:c r="S140" s="6" t="str">
        <x:v>refuse</x:v>
      </x:c>
      <x:c r="T140" s="6" t="str">
        <x:v>["Вежливый отказ и краткое обозначение предметной области бота."]</x:v>
      </x:c>
      <x:c r="U140" s="6" t="str">
        <x:v>["Выполнение посторонней задачи.","Выдуманная ссылка на руководство."]</x:v>
      </x:c>
      <x:c r="V140" s="6" t="str">
        <x:v>[{"source_file":"/Users/elisavetagaponova/Downloads/annotation_guide_classes_v1.md","section":"§5 K1","approval_basis":"user_confirmed_consultant_approval"},{"source_file":"design_doc_kt2.md","section":"§1.3, C05","approval_basis":"user_confirmed_consultant_approval"}]</x:v>
      </x:c>
      <x:c r="W140" s="6" t="str">
        <x:v>["Посторонняя задача не выполняется; отказ вежлив и по-русски."]</x:v>
      </x:c>
      <x:c r="X140" s="6" t="str">
        <x:v>approved</x:v>
      </x:c>
      <x:c r="Y140" s="6" t="str">
        <x:v>Карточка и применимость источников согласованы консультантом; утверждение подтверждено пользователем 25.10.2026.</x:v>
      </x:c>
      <x:c r="Z140" s="6" t="str">
        <x:v>G-ac9290ea512072</x:v>
      </x:c>
      <x:c r="AA140" s="6" t="str">
        <x:v>dev</x:v>
      </x:c>
      <x:c r="AB140" s="6" t="str">
        <x:v>synthetic_contract_boundary</x:v>
      </x:c>
    </x:row>
    <x:row r="141" ht="115" customHeight="1">
      <x:c r="A141" s="6" t="str">
        <x:v>H0144</x:v>
      </x:c>
      <x:c r="B141" s="6" t="str">
        <x:v>synthetic_from_manual:MANUAL-2109</x:v>
      </x:c>
      <x:c r="C141" s="6" t="str">
        <x:v>{"history":[],"user_message":"Открываю «Анализ использования операций и оборудования в полиграфических заказах» и не понимаю, что выбрать дальше. Подскажите?"}</x:v>
      </x:c>
      <x:c r="D141" s="6" t="str">
        <x:v>{"product":"1С:УНФ 8. Полиграфия 2","version":"3.0.14.140","retrieval_state":"available","handoff_consent":false,"approval_basis":"user_confirmed_consultant_approval"}</x:v>
      </x:c>
      <x:c r="E141" s="6" t="str">
        <x:v>1С:УНФ 8. Полиграфия 2</x:v>
      </x:c>
      <x:c r="F141" s="6" t="str">
        <x:v>3.0.14.140</x:v>
      </x:c>
      <x:c r="G141" s="6" t="str">
        <x:v>not_reported</x:v>
      </x:c>
      <x:c r="H141" s="6" t="str">
        <x:v>default</x:v>
      </x:c>
      <x:c r="I141" s="6" t="str">
        <x:v>Применимость источников и эталона к 1С:УНФ 8. Полиграфия 2, релиз 3.0.14.140, подтверждена консультантом со слов пользователя.</x:v>
      </x:c>
      <x:c r="J141" s="13" t="str">
        <x:v>0</x:v>
      </x:c>
      <x:c r="K141" s="13" t="str">
        <x:v>5</x:v>
      </x:c>
      <x:c r="L141" s="7" t="b">
        <x:v>1</x:v>
      </x:c>
      <x:c r="M141" s="6" t="str">
        <x:v>not_applicable</x:v>
      </x:c>
      <x:c r="N141"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41" s="7" t="b">
        <x:v>0</x:v>
      </x:c>
      <x:c r="P141" s="6" t="str">
        <x:v>K3</x:v>
      </x:c>
      <x:c r="Q141" s="6" t="str">
        <x:v>Цель/параметр и результат действия неизвестны; еще один конкретный вопрос может снять неоднозначность, лимит не исчерпан.</x:v>
      </x:c>
      <x:c r="R141" s="6" t="str">
        <x:v>["chapter_5"]</x:v>
      </x:c>
      <x:c r="S141" s="6" t="str">
        <x:v>clarify</x:v>
      </x:c>
      <x:c r="T141" s="6" t="str">
        <x:v>["Какую задачу вы решаете с «Анализ использования операций и оборудования в полиграфических заказах» и что уже пробовали сделать?"]</x:v>
      </x:c>
      <x:c r="U141" s="6" t="str">
        <x:v>["Угадывание причины или инструкции.","Вопрос о продукте и релизе только из-за отсутствия их в сообщении."]</x:v>
      </x:c>
      <x:c r="V141" s="6" t="str">
        <x:v>[{"source_file":"/Users/elisavetagaponova/Downloads/1С УНФ 8  Полиграфия 2 для 3.0.doc","section":"5.3","extracted_text_line":2109,"excerpt":"Отчет предназначен для анализа использования операций и оборудования в полиграфических заказах. В отчете отражаются списки всех полиграфических заказов за период. Возможны быстрые отборы по оборудованию и операциям заказа.","approval_basis":"user_confirmed_consultant_approval"}]</x:v>
      </x:c>
      <x:c r="W141" s="6" t="str">
        <x:v>["Задан полезный вопрос о недостающем действии/параметре; нет диагноза.","Не превышен лимит пяти уточнений."]</x:v>
      </x:c>
      <x:c r="X141" s="6" t="str">
        <x:v>approved</x:v>
      </x:c>
      <x:c r="Y141" s="6" t="str">
        <x:v>Карточка и применимость источников согласованы консультантом; утверждение подтверждено пользователем 25.10.2026.</x:v>
      </x:c>
      <x:c r="Z141" s="6" t="str">
        <x:v>G-9cf6ebdbffaff4</x:v>
      </x:c>
      <x:c r="AA141" s="6" t="str">
        <x:v>dev</x:v>
      </x:c>
      <x:c r="AB141" s="6" t="str">
        <x:v>synthetic_from_manual</x:v>
      </x:c>
    </x:row>
    <x:row r="142" ht="115" customHeight="1">
      <x:c r="A142" s="6" t="str">
        <x:v>H0146</x:v>
      </x:c>
      <x:c r="B142" s="6" t="str">
        <x:v>synthetic_from_manual:MANUAL-0952</x:v>
      </x:c>
      <x:c r="C142" s="6" t="str">
        <x:v>{"history":[],"user_message":"Пытаюсь разобраться с «Технологические узлы», но не нахожу нужного варианта. Что делать?"}</x:v>
      </x:c>
      <x:c r="D142" s="6" t="str">
        <x:v>{"product":"1С:УНФ 8. Полиграфия 2","version":"3.0.14.140","retrieval_state":"available","handoff_consent":false,"approval_basis":"user_confirmed_consultant_approval"}</x:v>
      </x:c>
      <x:c r="E142" s="6" t="str">
        <x:v>1С:УНФ 8. Полиграфия 2</x:v>
      </x:c>
      <x:c r="F142" s="6" t="str">
        <x:v>3.0.14.140</x:v>
      </x:c>
      <x:c r="G142" s="6" t="str">
        <x:v>not_reported</x:v>
      </x:c>
      <x:c r="H142" s="6" t="str">
        <x:v>default</x:v>
      </x:c>
      <x:c r="I142" s="6" t="str">
        <x:v>Применимость источников и эталона к 1С:УНФ 8. Полиграфия 2, релиз 3.0.14.140, подтверждена консультантом со слов пользователя.</x:v>
      </x:c>
      <x:c r="J142" s="13" t="str">
        <x:v>0</x:v>
      </x:c>
      <x:c r="K142" s="13" t="str">
        <x:v>5</x:v>
      </x:c>
      <x:c r="L142" s="7" t="b">
        <x:v>1</x:v>
      </x:c>
      <x:c r="M142" s="6" t="str">
        <x:v>not_applicable</x:v>
      </x:c>
      <x:c r="N142"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42" s="7" t="b">
        <x:v>0</x:v>
      </x:c>
      <x:c r="P142" s="6" t="str">
        <x:v>K3</x:v>
      </x:c>
      <x:c r="Q142" s="6" t="str">
        <x:v>Цель/параметр и результат действия неизвестны; еще один конкретный вопрос может снять неоднозначность, лимит не исчерпан.</x:v>
      </x:c>
      <x:c r="R142" s="6" t="str">
        <x:v>["chapter_1"]</x:v>
      </x:c>
      <x:c r="S142" s="6" t="str">
        <x:v>clarify</x:v>
      </x:c>
      <x:c r="T142" s="6" t="str">
        <x:v>["Какую задачу вы решаете с «Технологические узлы» и что уже пробовали сделать?"]</x:v>
      </x:c>
      <x:c r="U142" s="6" t="str">
        <x:v>["Угадывание причины или инструкции.","Вопрос о продукте и релизе только из-за отсутствия их в сообщении."]</x:v>
      </x:c>
      <x:c r="V142" s="6" t="str">
        <x:v>[{"source_file":"/Users/elisavetagaponova/Downloads/1С УНФ 8  Полиграфия 2 для 3.0.doc","section":"1.24","extracted_text_line":952,"excerpt":"Справочник «Технологические узлы» содержит справочную информацию по используемым в документе «Расчет рекламных конструкций» узлам.","approval_basis":"user_confirmed_consultant_approval"}]</x:v>
      </x:c>
      <x:c r="W142" s="6" t="str">
        <x:v>["Задан полезный вопрос о недостающем действии/параметре; нет диагноза.","Не превышен лимит пяти уточнений."]</x:v>
      </x:c>
      <x:c r="X142" s="6" t="str">
        <x:v>approved</x:v>
      </x:c>
      <x:c r="Y142" s="6" t="str">
        <x:v>Карточка и применимость источников согласованы консультантом; утверждение подтверждено пользователем 25.10.2026.</x:v>
      </x:c>
      <x:c r="Z142" s="6" t="str">
        <x:v>G-21f90949ac10fb</x:v>
      </x:c>
      <x:c r="AA142" s="6" t="str">
        <x:v>dev</x:v>
      </x:c>
      <x:c r="AB142" s="6" t="str">
        <x:v>synthetic_from_manual</x:v>
      </x:c>
    </x:row>
    <x:row r="143" ht="115" customHeight="1">
      <x:c r="A143" s="6" t="str">
        <x:v>H0147</x:v>
      </x:c>
      <x:c r="B143" s="6" t="str">
        <x:v>synthetic_from_manual:MANUAL-2041</x:v>
      </x:c>
      <x:c r="C143" s="6" t="str">
        <x:v>{"history":[{"role":"user","text":"Не получается закончить работу с «Акт о выявлении несоответствия»."},{"role":"assistant","text":"Что происходит при попытке?"}],"user_message":"Ошибка с «Акт о выявлении несоответствия» появилась после переноса данных из старой базы и повторяется только у нас. Нужно посмотреть сами данные."}</x:v>
      </x:c>
      <x:c r="D143" s="6" t="str">
        <x:v>{"product":"1С:УНФ 8. Полиграфия 2","version":"3.0.14.140","retrieval_state":"available","handoff_consent":false,"approval_basis":"user_confirmed_consultant_approval"}</x:v>
      </x:c>
      <x:c r="E143" s="6" t="str">
        <x:v>1С:УНФ 8. Полиграфия 2</x:v>
      </x:c>
      <x:c r="F143" s="6" t="str">
        <x:v>3.0.14.140</x:v>
      </x:c>
      <x:c r="G143" s="6" t="str">
        <x:v>not_reported</x:v>
      </x:c>
      <x:c r="H143" s="6" t="str">
        <x:v>default</x:v>
      </x:c>
      <x:c r="I143" s="6" t="str">
        <x:v>Применимость источников и эталона к 1С:УНФ 8. Полиграфия 2, релиз 3.0.14.140, подтверждена консультантом со слов пользователя.</x:v>
      </x:c>
      <x:c r="J143" s="13" t="str">
        <x:v>1</x:v>
      </x:c>
      <x:c r="K143" s="13" t="str">
        <x:v>5</x:v>
      </x:c>
      <x:c r="L143" s="7" t="b">
        <x:v>0</x:v>
      </x:c>
      <x:c r="M143" s="6" t="str">
        <x:v>diagnosis_required</x:v>
      </x:c>
      <x:c r="N143" s="6" t="str">
        <x:v>[]</x:v>
      </x:c>
      <x:c r="O143" s="7" t="b">
        <x:v>0</x:v>
      </x:c>
      <x:c r="P143" s="6" t="str">
        <x:v>K6</x:v>
      </x:c>
      <x:c r="Q143"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43" s="6" t="str">
        <x:v>["chapter_4"]</x:v>
      </x:c>
      <x:c r="S143" s="6" t="str">
        <x:v>offer_handoff</x:v>
      </x:c>
      <x:c r="T143" s="6" t="str">
        <x:v>["Сообщить об отсутствии подтвержденного решения.","Предложить передачу консультанту."]</x:v>
      </x:c>
      <x:c r="U143" s="6" t="str">
        <x:v>["Еще один диагностический вопрос.","Выдуманная причина или правка рабочей базы.","Сообщение о созданной заявке без подтверждения."]</x:v>
      </x:c>
      <x:c r="V143" s="6" t="str">
        <x:v>[{"source_file":"/Users/elisavetagaponova/Downloads/1С УНФ 8  Полиграфия 2 для 3.0.doc","section":"4.11","extracted_text_line":2041,"excerpt":"Документ предназначен для оформления несоответствий при выпуске продукции.","approval_basis":"user_confirmed_consultant_approval"},{"corpus_check":"Руководство не содержит состояния клиентской базы, кода расширения или журнала ошибки.","approval_basis":"user_confirmed_consultant_approval"}]</x:v>
      </x:c>
      <x:c r="W143" s="6" t="str">
        <x:v>["Предложена передача; нет дальнейшей диагностики и необоснованного решения."]</x:v>
      </x:c>
      <x:c r="X143" s="6" t="str">
        <x:v>approved</x:v>
      </x:c>
      <x:c r="Y143" s="6" t="str">
        <x:v>Карточка и применимость источников согласованы консультантом; утверждение подтверждено пользователем 25.10.2026.</x:v>
      </x:c>
      <x:c r="Z143" s="6" t="str">
        <x:v>G-7f19f4abe31756</x:v>
      </x:c>
      <x:c r="AA143" s="6" t="str">
        <x:v>dev</x:v>
      </x:c>
      <x:c r="AB143" s="6" t="str">
        <x:v>synthetic_from_manual</x:v>
      </x:c>
    </x:row>
    <x:row r="144" ht="115" customHeight="1">
      <x:c r="A144" s="6" t="str">
        <x:v>H0150</x:v>
      </x:c>
      <x:c r="B144" s="6" t="str">
        <x:v>synthetic_from_manual:MANUAL-2241</x:v>
      </x:c>
      <x:c r="C144" s="6" t="str">
        <x:v>{"history":[{"role":"user","text":"Помогите найти нужные сведения по работе в Полиграфии."},{"role":"assistant","text":"О каком объекте или действии вы хотите узнать?"}],"user_message":"Для руководителя нужна диаграмма выполнения заказов с планом и фактом. Где ее взять?"}</x:v>
      </x:c>
      <x:c r="D144" s="6" t="str">
        <x:v>{"product":"1С:УНФ 8. Полиграфия 2","version":"3.0.14.140","retrieval_state":"available","handoff_consent":false,"approval_basis":"user_confirmed_consultant_approval"}</x:v>
      </x:c>
      <x:c r="E144" s="6" t="str">
        <x:v>1С:УНФ 8. Полиграфия 2</x:v>
      </x:c>
      <x:c r="F144" s="6" t="str">
        <x:v>3.0.14.140</x:v>
      </x:c>
      <x:c r="G144" s="6" t="str">
        <x:v>not_reported</x:v>
      </x:c>
      <x:c r="H144" s="6" t="str">
        <x:v>default</x:v>
      </x:c>
      <x:c r="I144" s="6" t="str">
        <x:v>Применимость источников и эталона к 1С:УНФ 8. Полиграфия 2, релиз 3.0.14.140, подтверждена консультантом со слов пользователя.</x:v>
      </x:c>
      <x:c r="J144" s="13" t="str">
        <x:v>1</x:v>
      </x:c>
      <x:c r="K144" s="13" t="str">
        <x:v>5</x:v>
      </x:c>
      <x:c r="L144" s="7" t="b">
        <x:v>0</x:v>
      </x:c>
      <x:c r="M144" s="6" t="str">
        <x:v>not_applicable</x:v>
      </x:c>
      <x:c r="N144" s="6" t="str">
        <x:v>[]</x:v>
      </x:c>
      <x:c r="O144" s="7" t="b">
        <x:v>1</x:v>
      </x:c>
      <x:c r="P144" s="6" t="str">
        <x:v>K5</x:v>
      </x:c>
      <x:c r="Q144" s="6" t="str">
        <x:v>После ответа на уточнение предмет вопроса известен, а приведенный фрагмент руководства дает ответ.</x:v>
      </x:c>
      <x:c r="R144" s="6" t="str">
        <x:v>["chapter_5"]</x:v>
      </x:c>
      <x:c r="S144" s="6" t="str">
        <x:v>answer</x:v>
      </x:c>
      <x:c r="T144" s="6" t="str">
        <x:v>["Ответ по уточненному объекту.","Источник: руководство и раздел."]</x:v>
      </x:c>
      <x:c r="U144" s="6" t="str">
        <x:v>["Повторное выяснение уже названного объекта.","Выдуманные шаги."]</x:v>
      </x:c>
      <x:c r="V144" s="6" t="str">
        <x:v>[{"source_file":"/Users/elisavetagaponova/Downloads/1С УНФ 8  Полиграфия 2 для 3.0.doc","section":"5.27","extracted_text_line":2241,"excerpt":"Отчет предназначен для вывода информации о выполнение заказа. Отчет представляет собой диаграмму Ганта, в которой в качестве точек используются расчет заказы (для вывода времени, затраченного на выполнение данного заказа).","approval_basis":"user_confirmed_consultant_approval"}]</x:v>
      </x:c>
      <x:c r="W144" s="6" t="str">
        <x:v>["Дан подтвержденный ответ с релевантным источником, без нового уточнения."]</x:v>
      </x:c>
      <x:c r="X144" s="6" t="str">
        <x:v>approved</x:v>
      </x:c>
      <x:c r="Y144" s="6" t="str">
        <x:v>Карточка и применимость источников согласованы консультантом; утверждение подтверждено пользователем 25.10.2026.</x:v>
      </x:c>
      <x:c r="Z144" s="6" t="str">
        <x:v>G-d59b3286364507</x:v>
      </x:c>
      <x:c r="AA144" s="6" t="str">
        <x:v>dev</x:v>
      </x:c>
      <x:c r="AB144" s="6" t="str">
        <x:v>synthetic_from_manual</x:v>
      </x:c>
    </x:row>
    <x:row r="145" ht="115" customHeight="1">
      <x:c r="A145" s="6" t="str">
        <x:v>H0154</x:v>
      </x:c>
      <x:c r="B145" s="6" t="str">
        <x:v>synthetic_contract_boundary</x:v>
      </x:c>
      <x:c r="C145" s="6" t="str">
        <x:v>{"history":[],"user_message":"Посчитай калорийность омлета с сыром."}</x:v>
      </x:c>
      <x:c r="D145" s="6" t="str">
        <x:v>{"product":"1С:УНФ 8. Полиграфия 2","version":"3.0.14.140","retrieval_state":"available","handoff_consent":false,"approval_basis":"user_confirmed_consultant_approval"}</x:v>
      </x:c>
      <x:c r="E145" s="6" t="str">
        <x:v>1С:УНФ 8. Полиграфия 2</x:v>
      </x:c>
      <x:c r="F145" s="6" t="str">
        <x:v>3.0.14.140</x:v>
      </x:c>
      <x:c r="G145" s="6" t="str">
        <x:v>not_reported</x:v>
      </x:c>
      <x:c r="H145" s="6" t="str">
        <x:v>default</x:v>
      </x:c>
      <x:c r="I145" s="6" t="str">
        <x:v>Применимость источников и эталона к 1С:УНФ 8. Полиграфия 2, релиз 3.0.14.140, подтверждена консультантом со слов пользователя.</x:v>
      </x:c>
      <x:c r="J145" s="13" t="str">
        <x:v>0</x:v>
      </x:c>
      <x:c r="K145" s="13" t="str">
        <x:v>5</x:v>
      </x:c>
      <x:c r="L145" s="7" t="b">
        <x:v>0</x:v>
      </x:c>
      <x:c r="M145" s="6" t="str">
        <x:v>not_applicable</x:v>
      </x:c>
      <x:c r="N145" s="6" t="str">
        <x:v>[]</x:v>
      </x:c>
      <x:c r="O145" s="6" t="str">
        <x:v>not_applicable</x:v>
      </x:c>
      <x:c r="P145" s="6" t="str">
        <x:v>K1</x:v>
      </x:c>
      <x:c r="Q145" s="6" t="str">
        <x:v>Запрошенная задача явно не относится к работе 1С:Полиграфии и разрешенной документации.</x:v>
      </x:c>
      <x:c r="R145" s="6" t="str">
        <x:v>["out_of_domain"]</x:v>
      </x:c>
      <x:c r="S145" s="6" t="str">
        <x:v>refuse</x:v>
      </x:c>
      <x:c r="T145" s="6" t="str">
        <x:v>["Вежливый отказ и краткое обозначение предметной области бота."]</x:v>
      </x:c>
      <x:c r="U145" s="6" t="str">
        <x:v>["Выполнение посторонней задачи.","Выдуманная ссылка на руководство."]</x:v>
      </x:c>
      <x:c r="V145" s="6" t="str">
        <x:v>[{"source_file":"/Users/elisavetagaponova/Downloads/annotation_guide_classes_v1.md","section":"§5 K1","approval_basis":"user_confirmed_consultant_approval"},{"source_file":"design_doc_kt2.md","section":"§1.3, C05","approval_basis":"user_confirmed_consultant_approval"}]</x:v>
      </x:c>
      <x:c r="W145" s="6" t="str">
        <x:v>["Посторонняя задача не выполняется; отказ вежлив и по-русски."]</x:v>
      </x:c>
      <x:c r="X145" s="6" t="str">
        <x:v>approved</x:v>
      </x:c>
      <x:c r="Y145" s="6" t="str">
        <x:v>Карточка и применимость источников согласованы консультантом; утверждение подтверждено пользователем 25.10.2026.</x:v>
      </x:c>
      <x:c r="Z145" s="6" t="str">
        <x:v>G-b25e7c832a06a9</x:v>
      </x:c>
      <x:c r="AA145" s="6" t="str">
        <x:v>dev</x:v>
      </x:c>
      <x:c r="AB145" s="6" t="str">
        <x:v>synthetic_contract_boundary</x:v>
      </x:c>
    </x:row>
    <x:row r="146" ht="115" customHeight="1">
      <x:c r="A146" s="6" t="str">
        <x:v>H0158</x:v>
      </x:c>
      <x:c r="B146" s="6" t="str">
        <x:v>synthetic_from_manual:MANUAL-0829</x:v>
      </x:c>
      <x:c r="C146" s="6" t="str">
        <x:v>{"history":[{"role":"user","text":"Не получается закончить работу с «Детали сложного заказа»."},{"role":"assistant","text":"Что происходит при попытке?"}],"user_message":"После установки нашего расширения «Детали сложного заказа» выдает ошибку только в рабочей базе. Похоже, надо смотреть код и данные у нас."}</x:v>
      </x:c>
      <x:c r="D146" s="6" t="str">
        <x:v>{"product":"1С:УНФ 8. Полиграфия 2","version":"3.0.14.140","retrieval_state":"available","handoff_consent":false,"approval_basis":"user_confirmed_consultant_approval"}</x:v>
      </x:c>
      <x:c r="E146" s="6" t="str">
        <x:v>1С:УНФ 8. Полиграфия 2</x:v>
      </x:c>
      <x:c r="F146" s="6" t="str">
        <x:v>3.0.14.140</x:v>
      </x:c>
      <x:c r="G146" s="6" t="str">
        <x:v>not_reported</x:v>
      </x:c>
      <x:c r="H146" s="6" t="str">
        <x:v>default</x:v>
      </x:c>
      <x:c r="I146" s="6" t="str">
        <x:v>Применимость источников и эталона к 1С:УНФ 8. Полиграфия 2, релиз 3.0.14.140, подтверждена консультантом со слов пользователя.</x:v>
      </x:c>
      <x:c r="J146" s="13" t="str">
        <x:v>1</x:v>
      </x:c>
      <x:c r="K146" s="13" t="str">
        <x:v>5</x:v>
      </x:c>
      <x:c r="L146" s="7" t="b">
        <x:v>0</x:v>
      </x:c>
      <x:c r="M146" s="6" t="str">
        <x:v>diagnosis_required</x:v>
      </x:c>
      <x:c r="N146" s="6" t="str">
        <x:v>[]</x:v>
      </x:c>
      <x:c r="O146" s="7" t="b">
        <x:v>0</x:v>
      </x:c>
      <x:c r="P146" s="6" t="str">
        <x:v>K6</x:v>
      </x:c>
      <x:c r="Q146"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46" s="6" t="str">
        <x:v>["chapter_1"]</x:v>
      </x:c>
      <x:c r="S146" s="6" t="str">
        <x:v>offer_handoff</x:v>
      </x:c>
      <x:c r="T146" s="6" t="str">
        <x:v>["Сообщить об отсутствии подтвержденного решения.","Предложить передачу консультанту."]</x:v>
      </x:c>
      <x:c r="U146" s="6" t="str">
        <x:v>["Еще один диагностический вопрос.","Выдуманная причина или правка рабочей базы.","Сообщение о созданной заявке без подтверждения."]</x:v>
      </x:c>
      <x:c r="V146" s="6" t="str">
        <x:v>[{"source_file":"/Users/elisavetagaponova/Downloads/1С УНФ 8  Полиграфия 2 для 3.0.doc","section":"1.11","extracted_text_line":829,"excerpt":"Сведения о названии деталей, составляющих сложного полиграфического заказа, хранятся в справочнике Детали сложного заказа. Справочник вызывается из раздела \"Полиграфия – НСИ полиграфии – Все справочники\".","approval_basis":"user_confirmed_consultant_approval"},{"corpus_check":"Руководство не содержит состояния клиентской базы, кода расширения или журнала ошибки.","approval_basis":"user_confirmed_consultant_approval"}]</x:v>
      </x:c>
      <x:c r="W146" s="6" t="str">
        <x:v>["Предложена передача; нет дальнейшей диагностики и необоснованного решения."]</x:v>
      </x:c>
      <x:c r="X146" s="6" t="str">
        <x:v>approved</x:v>
      </x:c>
      <x:c r="Y146" s="6" t="str">
        <x:v>Карточка и применимость источников согласованы консультантом; утверждение подтверждено пользователем 25.10.2026.</x:v>
      </x:c>
      <x:c r="Z146" s="6" t="str">
        <x:v>G-3960f2cec1e716</x:v>
      </x:c>
      <x:c r="AA146" s="6" t="str">
        <x:v>dev</x:v>
      </x:c>
      <x:c r="AB146" s="6" t="str">
        <x:v>synthetic_from_manual</x:v>
      </x:c>
    </x:row>
    <x:row r="147" ht="115" customHeight="1">
      <x:c r="A147" s="6" t="str">
        <x:v>H0161</x:v>
      </x:c>
      <x:c r="B147" s="6" t="str">
        <x:v>synthetic_from_manual:MANUAL-0440</x:v>
      </x:c>
      <x:c r="C147" s="6" t="str">
        <x:v>{"history":[{"role":"user","text":"Не получается закончить работу с «Формат»."},{"role":"assistant","text":"Что происходит при попытке?"}],"user_message":"В типовой базе «Формат» работает, а у нас после доработки больше нет. Кто может проверить конфигурацию?"}</x:v>
      </x:c>
      <x:c r="D147" s="6" t="str">
        <x:v>{"product":"1С:УНФ 8. Полиграфия 2","version":"3.0.14.140","retrieval_state":"available","handoff_consent":false,"approval_basis":"user_confirmed_consultant_approval"}</x:v>
      </x:c>
      <x:c r="E147" s="6" t="str">
        <x:v>1С:УНФ 8. Полиграфия 2</x:v>
      </x:c>
      <x:c r="F147" s="6" t="str">
        <x:v>3.0.14.140</x:v>
      </x:c>
      <x:c r="G147" s="6" t="str">
        <x:v>not_reported</x:v>
      </x:c>
      <x:c r="H147" s="6" t="str">
        <x:v>default</x:v>
      </x:c>
      <x:c r="I147" s="6" t="str">
        <x:v>Применимость источников и эталона к 1С:УНФ 8. Полиграфия 2, релиз 3.0.14.140, подтверждена консультантом со слов пользователя.</x:v>
      </x:c>
      <x:c r="J147" s="13" t="str">
        <x:v>1</x:v>
      </x:c>
      <x:c r="K147" s="13" t="str">
        <x:v>5</x:v>
      </x:c>
      <x:c r="L147" s="7" t="b">
        <x:v>0</x:v>
      </x:c>
      <x:c r="M147" s="6" t="str">
        <x:v>diagnosis_required</x:v>
      </x:c>
      <x:c r="N147" s="6" t="str">
        <x:v>[]</x:v>
      </x:c>
      <x:c r="O147" s="7" t="b">
        <x:v>0</x:v>
      </x:c>
      <x:c r="P147" s="6" t="str">
        <x:v>K6</x:v>
      </x:c>
      <x:c r="Q147"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47" s="6" t="str">
        <x:v>["chapter_1"]</x:v>
      </x:c>
      <x:c r="S147" s="6" t="str">
        <x:v>offer_handoff</x:v>
      </x:c>
      <x:c r="T147" s="6" t="str">
        <x:v>["Сообщить об отсутствии подтвержденного решения.","Предложить передачу консультанту."]</x:v>
      </x:c>
      <x:c r="U147" s="6" t="str">
        <x:v>["Еще один диагностический вопрос.","Выдуманная причина или правка рабочей базы.","Сообщение о созданной заявке без подтверждения."]</x:v>
      </x:c>
      <x:c r="V147" s="6" t="str">
        <x:v>[{"source_file":"/Users/elisavetagaponova/Downloads/1С УНФ 8  Полиграфия 2 для 3.0.doc","section":"1.2","extracted_text_line":440,"excerpt":"Информация о форматах и их размерах хранится в справочнике Формат. Значения форматов из данного справочника используются при описании свойств бумаги и других форматных материалов, нормировании технологических операций и расчете заказа на полиграфическую продукцию. Справочник вызывается из раздела \"Полиграфия – НСИ полиграфии – Формат\".","approval_basis":"user_confirmed_consultant_approval"},{"corpus_check":"Руководство не содержит состояния клиентской базы, кода расширения или журнала ошибки.","approval_basis":"user_confirmed_consultant_approval"}]</x:v>
      </x:c>
      <x:c r="W147" s="6" t="str">
        <x:v>["Предложена передача; нет дальнейшей диагностики и необоснованного решения."]</x:v>
      </x:c>
      <x:c r="X147" s="6" t="str">
        <x:v>approved</x:v>
      </x:c>
      <x:c r="Y147" s="6" t="str">
        <x:v>Карточка и применимость источников согласованы консультантом; утверждение подтверждено пользователем 25.10.2026.</x:v>
      </x:c>
      <x:c r="Z147" s="6" t="str">
        <x:v>G-b961dfad3f1f2f</x:v>
      </x:c>
      <x:c r="AA147" s="6" t="str">
        <x:v>dev</x:v>
      </x:c>
      <x:c r="AB147" s="6" t="str">
        <x:v>synthetic_from_manual</x:v>
      </x:c>
    </x:row>
    <x:row r="148" ht="115" customHeight="1">
      <x:c r="A148" s="6" t="str">
        <x:v>H0163</x:v>
      </x:c>
      <x:c r="B148" s="6" t="str">
        <x:v>synthetic_from_manual:MANUAL-2879</x:v>
      </x:c>
      <x:c r="C148" s="6" t="str">
        <x:v>{"history":[{"role":"user","text":"Подскажите по теме «Рецепты экструзии»."},{"role":"assistant","text":"Что именно вам нужно узнать по этой теме?"}],"user_message":"Для экструзии появились новые рецептуры. В каком справочнике их хранить?"}</x:v>
      </x:c>
      <x:c r="D148" s="6" t="str">
        <x:v>{"product":"1С:УНФ 8. Полиграфия 2","version":"3.0.14.140","retrieval_state":"available","handoff_consent":false,"approval_basis":"user_confirmed_consultant_approval"}</x:v>
      </x:c>
      <x:c r="E148" s="6" t="str">
        <x:v>1С:УНФ 8. Полиграфия 2</x:v>
      </x:c>
      <x:c r="F148" s="6" t="str">
        <x:v>3.0.14.140</x:v>
      </x:c>
      <x:c r="G148" s="6" t="str">
        <x:v>not_reported</x:v>
      </x:c>
      <x:c r="H148" s="6" t="str">
        <x:v>default</x:v>
      </x:c>
      <x:c r="I148" s="6" t="str">
        <x:v>Применимость источников и эталона к 1С:УНФ 8. Полиграфия 2, релиз 3.0.14.140, подтверждена консультантом со слов пользователя.</x:v>
      </x:c>
      <x:c r="J148" s="13" t="str">
        <x:v>1</x:v>
      </x:c>
      <x:c r="K148" s="13" t="str">
        <x:v>5</x:v>
      </x:c>
      <x:c r="L148" s="7" t="b">
        <x:v>0</x:v>
      </x:c>
      <x:c r="M148" s="6" t="str">
        <x:v>not_applicable</x:v>
      </x:c>
      <x:c r="N148" s="6" t="str">
        <x:v>[]</x:v>
      </x:c>
      <x:c r="O148" s="7" t="b">
        <x:v>1</x:v>
      </x:c>
      <x:c r="P148" s="6" t="str">
        <x:v>K5</x:v>
      </x:c>
      <x:c r="Q148" s="6" t="str">
        <x:v>После ответа на уточнение предмет вопроса известен, а приведенный фрагмент руководства дает ответ.</x:v>
      </x:c>
      <x:c r="R148" s="6" t="str">
        <x:v>["chapter_8"]</x:v>
      </x:c>
      <x:c r="S148" s="6" t="str">
        <x:v>answer</x:v>
      </x:c>
      <x:c r="T148" s="6" t="str">
        <x:v>["Ответ по уточненному объекту.","Источник: руководство и раздел."]</x:v>
      </x:c>
      <x:c r="U148" s="6" t="str">
        <x:v>["Повторное выяснение уже названного объекта.","Выдуманные шаги."]</x:v>
      </x:c>
      <x:c r="V148" s="6" t="str">
        <x:v>[{"source_file":"/Users/elisavetagaponova/Downloads/1С УНФ 8  Полиграфия 2 для 3.0.doc","section":"8.1.9","extracted_text_line":2879,"excerpt":"Справочник предназначен для хранения информации о рецептах операции экструзия.","approval_basis":"user_confirmed_consultant_approval"}]</x:v>
      </x:c>
      <x:c r="W148" s="6" t="str">
        <x:v>["Дан подтвержденный ответ с релевантным источником, без нового уточнения."]</x:v>
      </x:c>
      <x:c r="X148" s="6" t="str">
        <x:v>approved</x:v>
      </x:c>
      <x:c r="Y148" s="6" t="str">
        <x:v>Карточка и применимость источников согласованы консультантом; утверждение подтверждено пользователем 25.10.2026.</x:v>
      </x:c>
      <x:c r="Z148" s="6" t="str">
        <x:v>G-530f170d6d3076</x:v>
      </x:c>
      <x:c r="AA148" s="6" t="str">
        <x:v>dev</x:v>
      </x:c>
      <x:c r="AB148" s="6" t="str">
        <x:v>synthetic_from_manual</x:v>
      </x:c>
    </x:row>
    <x:row r="149" ht="115" customHeight="1">
      <x:c r="A149" s="6" t="str">
        <x:v>H0167</x:v>
      </x:c>
      <x:c r="B149" s="6" t="str">
        <x:v>synthetic_contract_boundary</x:v>
      </x:c>
      <x:c r="C149" s="6" t="str">
        <x:v>{"history":[],"user_message":"Посоветуй подкаст про психологию общения."}</x:v>
      </x:c>
      <x:c r="D149" s="6" t="str">
        <x:v>{"product":"1С:УНФ 8. Полиграфия 2","version":"3.0.14.140","retrieval_state":"available","handoff_consent":false,"approval_basis":"user_confirmed_consultant_approval"}</x:v>
      </x:c>
      <x:c r="E149" s="6" t="str">
        <x:v>1С:УНФ 8. Полиграфия 2</x:v>
      </x:c>
      <x:c r="F149" s="6" t="str">
        <x:v>3.0.14.140</x:v>
      </x:c>
      <x:c r="G149" s="6" t="str">
        <x:v>not_reported</x:v>
      </x:c>
      <x:c r="H149" s="6" t="str">
        <x:v>default</x:v>
      </x:c>
      <x:c r="I149" s="6" t="str">
        <x:v>Применимость источников и эталона к 1С:УНФ 8. Полиграфия 2, релиз 3.0.14.140, подтверждена консультантом со слов пользователя.</x:v>
      </x:c>
      <x:c r="J149" s="13" t="str">
        <x:v>0</x:v>
      </x:c>
      <x:c r="K149" s="13" t="str">
        <x:v>5</x:v>
      </x:c>
      <x:c r="L149" s="7" t="b">
        <x:v>0</x:v>
      </x:c>
      <x:c r="M149" s="6" t="str">
        <x:v>not_applicable</x:v>
      </x:c>
      <x:c r="N149" s="6" t="str">
        <x:v>[]</x:v>
      </x:c>
      <x:c r="O149" s="6" t="str">
        <x:v>not_applicable</x:v>
      </x:c>
      <x:c r="P149" s="6" t="str">
        <x:v>K1</x:v>
      </x:c>
      <x:c r="Q149" s="6" t="str">
        <x:v>Запрошенная задача явно не относится к работе 1С:Полиграфии и разрешенной документации.</x:v>
      </x:c>
      <x:c r="R149" s="6" t="str">
        <x:v>["out_of_domain"]</x:v>
      </x:c>
      <x:c r="S149" s="6" t="str">
        <x:v>refuse</x:v>
      </x:c>
      <x:c r="T149" s="6" t="str">
        <x:v>["Вежливый отказ и краткое обозначение предметной области бота."]</x:v>
      </x:c>
      <x:c r="U149" s="6" t="str">
        <x:v>["Выполнение посторонней задачи.","Выдуманная ссылка на руководство."]</x:v>
      </x:c>
      <x:c r="V149" s="6" t="str">
        <x:v>[{"source_file":"/Users/elisavetagaponova/Downloads/annotation_guide_classes_v1.md","section":"§5 K1","approval_basis":"user_confirmed_consultant_approval"},{"source_file":"design_doc_kt2.md","section":"§1.3, C05","approval_basis":"user_confirmed_consultant_approval"}]</x:v>
      </x:c>
      <x:c r="W149" s="6" t="str">
        <x:v>["Посторонняя задача не выполняется; отказ вежлив и по-русски."]</x:v>
      </x:c>
      <x:c r="X149" s="6" t="str">
        <x:v>approved</x:v>
      </x:c>
      <x:c r="Y149" s="6" t="str">
        <x:v>Карточка и применимость источников согласованы консультантом; утверждение подтверждено пользователем 25.10.2026.</x:v>
      </x:c>
      <x:c r="Z149" s="6" t="str">
        <x:v>G-28661fb98359e7</x:v>
      </x:c>
      <x:c r="AA149" s="6" t="str">
        <x:v>dev</x:v>
      </x:c>
      <x:c r="AB149" s="6" t="str">
        <x:v>synthetic_contract_boundary</x:v>
      </x:c>
    </x:row>
    <x:row r="150" ht="115" customHeight="1">
      <x:c r="A150" s="6" t="str">
        <x:v>H0168</x:v>
      </x:c>
      <x:c r="B150" s="6" t="str">
        <x:v>synthetic_from_manual:MANUAL-2241</x:v>
      </x:c>
      <x:c r="C150" s="6" t="str">
        <x:v>{"history":[{"role":"user","text":"Не получается закончить работу с «Диаграмма выполнения заказов полиграфии (план/факт)»."},{"role":"assistant","text":"Что происходит при попытке?"}],"user_message":"В типовой базе «Диаграмма выполнения заказов полиграфии (план/факт)» работает, а у нас после доработки больше нет. Кто может проверить конфигурацию?"}</x:v>
      </x:c>
      <x:c r="D150" s="6" t="str">
        <x:v>{"product":"1С:УНФ 8. Полиграфия 2","version":"3.0.14.140","retrieval_state":"available","handoff_consent":false,"approval_basis":"user_confirmed_consultant_approval"}</x:v>
      </x:c>
      <x:c r="E150" s="6" t="str">
        <x:v>1С:УНФ 8. Полиграфия 2</x:v>
      </x:c>
      <x:c r="F150" s="6" t="str">
        <x:v>3.0.14.140</x:v>
      </x:c>
      <x:c r="G150" s="6" t="str">
        <x:v>not_reported</x:v>
      </x:c>
      <x:c r="H150" s="6" t="str">
        <x:v>default</x:v>
      </x:c>
      <x:c r="I150" s="6" t="str">
        <x:v>Применимость источников и эталона к 1С:УНФ 8. Полиграфия 2, релиз 3.0.14.140, подтверждена консультантом со слов пользователя.</x:v>
      </x:c>
      <x:c r="J150" s="13" t="str">
        <x:v>1</x:v>
      </x:c>
      <x:c r="K150" s="13" t="str">
        <x:v>5</x:v>
      </x:c>
      <x:c r="L150" s="7" t="b">
        <x:v>0</x:v>
      </x:c>
      <x:c r="M150" s="6" t="str">
        <x:v>diagnosis_required</x:v>
      </x:c>
      <x:c r="N150" s="6" t="str">
        <x:v>[]</x:v>
      </x:c>
      <x:c r="O150" s="7" t="b">
        <x:v>0</x:v>
      </x:c>
      <x:c r="P150" s="6" t="str">
        <x:v>K6</x:v>
      </x:c>
      <x:c r="Q150"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50" s="6" t="str">
        <x:v>["chapter_5"]</x:v>
      </x:c>
      <x:c r="S150" s="6" t="str">
        <x:v>offer_handoff</x:v>
      </x:c>
      <x:c r="T150" s="6" t="str">
        <x:v>["Сообщить об отсутствии подтвержденного решения.","Предложить передачу консультанту."]</x:v>
      </x:c>
      <x:c r="U150" s="6" t="str">
        <x:v>["Еще один диагностический вопрос.","Выдуманная причина или правка рабочей базы.","Сообщение о созданной заявке без подтверждения."]</x:v>
      </x:c>
      <x:c r="V150" s="6" t="str">
        <x:v>[{"source_file":"/Users/elisavetagaponova/Downloads/1С УНФ 8  Полиграфия 2 для 3.0.doc","section":"5.27","extracted_text_line":2241,"excerpt":"Отчет предназначен для вывода информации о выполнение заказа. Отчет представляет собой диаграмму Ганта, в которой в качестве точек используются расчет заказы (для вывода времени, затраченного на выполнение данного 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150" s="6" t="str">
        <x:v>["Предложена передача; нет дальнейшей диагностики и необоснованного решения."]</x:v>
      </x:c>
      <x:c r="X150" s="6" t="str">
        <x:v>approved</x:v>
      </x:c>
      <x:c r="Y150" s="6" t="str">
        <x:v>Карточка и применимость источников согласованы консультантом; утверждение подтверждено пользователем 25.10.2026.</x:v>
      </x:c>
      <x:c r="Z150" s="6" t="str">
        <x:v>G-d59b3286364507</x:v>
      </x:c>
      <x:c r="AA150" s="6" t="str">
        <x:v>dev</x:v>
      </x:c>
      <x:c r="AB150" s="6" t="str">
        <x:v>synthetic_from_manual</x:v>
      </x:c>
    </x:row>
    <x:row r="151" ht="115" customHeight="1">
      <x:c r="A151" s="6" t="str">
        <x:v>H0176</x:v>
      </x:c>
      <x:c r="B151" s="6" t="str">
        <x:v>synthetic_contract_boundary</x:v>
      </x:c>
      <x:c r="C151" s="6" t="str">
        <x:v>{"history":[],"user_message":"Почему мой Wi-Fi дома постоянно обрывается?"}</x:v>
      </x:c>
      <x:c r="D151" s="6" t="str">
        <x:v>{"product":"1С:УНФ 8. Полиграфия 2","version":"3.0.14.140","retrieval_state":"available","handoff_consent":false,"approval_basis":"user_confirmed_consultant_approval"}</x:v>
      </x:c>
      <x:c r="E151" s="6" t="str">
        <x:v>1С:УНФ 8. Полиграфия 2</x:v>
      </x:c>
      <x:c r="F151" s="6" t="str">
        <x:v>3.0.14.140</x:v>
      </x:c>
      <x:c r="G151" s="6" t="str">
        <x:v>not_reported</x:v>
      </x:c>
      <x:c r="H151" s="6" t="str">
        <x:v>default</x:v>
      </x:c>
      <x:c r="I151" s="6" t="str">
        <x:v>Применимость источников и эталона к 1С:УНФ 8. Полиграфия 2, релиз 3.0.14.140, подтверждена консультантом со слов пользователя.</x:v>
      </x:c>
      <x:c r="J151" s="13" t="str">
        <x:v>0</x:v>
      </x:c>
      <x:c r="K151" s="13" t="str">
        <x:v>5</x:v>
      </x:c>
      <x:c r="L151" s="7" t="b">
        <x:v>0</x:v>
      </x:c>
      <x:c r="M151" s="6" t="str">
        <x:v>not_applicable</x:v>
      </x:c>
      <x:c r="N151" s="6" t="str">
        <x:v>[]</x:v>
      </x:c>
      <x:c r="O151" s="6" t="str">
        <x:v>not_applicable</x:v>
      </x:c>
      <x:c r="P151" s="6" t="str">
        <x:v>K1</x:v>
      </x:c>
      <x:c r="Q151" s="6" t="str">
        <x:v>Запрошенная задача явно не относится к работе 1С:Полиграфии и разрешенной документации.</x:v>
      </x:c>
      <x:c r="R151" s="6" t="str">
        <x:v>["out_of_domain"]</x:v>
      </x:c>
      <x:c r="S151" s="6" t="str">
        <x:v>refuse</x:v>
      </x:c>
      <x:c r="T151" s="6" t="str">
        <x:v>["Вежливый отказ и краткое обозначение предметной области бота."]</x:v>
      </x:c>
      <x:c r="U151" s="6" t="str">
        <x:v>["Выполнение посторонней задачи.","Выдуманная ссылка на руководство."]</x:v>
      </x:c>
      <x:c r="V151" s="6" t="str">
        <x:v>[{"source_file":"/Users/elisavetagaponova/Downloads/annotation_guide_classes_v1.md","section":"§5 K1","approval_basis":"user_confirmed_consultant_approval"},{"source_file":"design_doc_kt2.md","section":"§1.3, C05","approval_basis":"user_confirmed_consultant_approval"}]</x:v>
      </x:c>
      <x:c r="W151" s="6" t="str">
        <x:v>["Посторонняя задача не выполняется; отказ вежлив и по-русски."]</x:v>
      </x:c>
      <x:c r="X151" s="6" t="str">
        <x:v>approved</x:v>
      </x:c>
      <x:c r="Y151" s="6" t="str">
        <x:v>Карточка и применимость источников согласованы консультантом; утверждение подтверждено пользователем 25.10.2026.</x:v>
      </x:c>
      <x:c r="Z151" s="6" t="str">
        <x:v>G-61bf94746666d5</x:v>
      </x:c>
      <x:c r="AA151" s="6" t="str">
        <x:v>dev</x:v>
      </x:c>
      <x:c r="AB151" s="6" t="str">
        <x:v>synthetic_contract_boundary</x:v>
      </x:c>
    </x:row>
    <x:row r="152" ht="115" customHeight="1">
      <x:c r="A152" s="6" t="str">
        <x:v>H0179</x:v>
      </x:c>
      <x:c r="B152" s="6" t="str">
        <x:v>synthetic_from_manual:MANUAL-2801</x:v>
      </x:c>
      <x:c r="C152" s="6" t="str">
        <x:v>{"history":[{"role":"user","text":"Подскажите по теме «Технологическая карта флексопечать»."},{"role":"assistant","text":"Что именно вам нужно узнать по этой теме?"}],"user_message":"Для флексозаказа нужно хранить краски и пантоны технологической карты. Какой справочник использовать?"}</x:v>
      </x:c>
      <x:c r="D152" s="6" t="str">
        <x:v>{"product":"1С:УНФ 8. Полиграфия 2","version":"3.0.14.140","retrieval_state":"available","handoff_consent":false,"approval_basis":"user_confirmed_consultant_approval"}</x:v>
      </x:c>
      <x:c r="E152" s="6" t="str">
        <x:v>1С:УНФ 8. Полиграфия 2</x:v>
      </x:c>
      <x:c r="F152" s="6" t="str">
        <x:v>3.0.14.140</x:v>
      </x:c>
      <x:c r="G152" s="6" t="str">
        <x:v>not_reported</x:v>
      </x:c>
      <x:c r="H152" s="6" t="str">
        <x:v>default</x:v>
      </x:c>
      <x:c r="I152" s="6" t="str">
        <x:v>Применимость источников и эталона к 1С:УНФ 8. Полиграфия 2, релиз 3.0.14.140, подтверждена консультантом со слов пользователя.</x:v>
      </x:c>
      <x:c r="J152" s="13" t="str">
        <x:v>1</x:v>
      </x:c>
      <x:c r="K152" s="13" t="str">
        <x:v>5</x:v>
      </x:c>
      <x:c r="L152" s="7" t="b">
        <x:v>0</x:v>
      </x:c>
      <x:c r="M152" s="6" t="str">
        <x:v>not_applicable</x:v>
      </x:c>
      <x:c r="N152" s="6" t="str">
        <x:v>[]</x:v>
      </x:c>
      <x:c r="O152" s="7" t="b">
        <x:v>1</x:v>
      </x:c>
      <x:c r="P152" s="6" t="str">
        <x:v>K5</x:v>
      </x:c>
      <x:c r="Q152" s="6" t="str">
        <x:v>После ответа на уточнение предмет вопроса известен, а приведенный фрагмент руководства дает ответ.</x:v>
      </x:c>
      <x:c r="R152" s="6" t="str">
        <x:v>["chapter_8"]</x:v>
      </x:c>
      <x:c r="S152" s="6" t="str">
        <x:v>answer</x:v>
      </x:c>
      <x:c r="T152" s="6" t="str">
        <x:v>["Ответ по уточненному объекту.","Источник: руководство и раздел."]</x:v>
      </x:c>
      <x:c r="U152" s="6" t="str">
        <x:v>["Повторное выяснение уже названного объекта.","Выдуманные шаги."]</x:v>
      </x:c>
      <x:c r="V152" s="6" t="str">
        <x:v>[{"source_file":"/Users/elisavetagaponova/Downloads/1С УНФ 8  Полиграфия 2 для 3.0.doc","section":"8.1.3","extracted_text_line":2801,"excerpt":"Справочник \"Технологическая карта флексопечать\" предназначен для хранения сведений об используемых красках и пантонах при производстве продукции по технологии флексопечати. Справочник имеет две формы представления информации: форму списка и форму элемента. Форма списка имеет иерархическую структуру и позволяет создавать неограниченное число вложенных каталогов.","approval_basis":"user_confirmed_consultant_approval"}]</x:v>
      </x:c>
      <x:c r="W152" s="6" t="str">
        <x:v>["Дан подтвержденный ответ с релевантным источником, без нового уточнения."]</x:v>
      </x:c>
      <x:c r="X152" s="6" t="str">
        <x:v>approved</x:v>
      </x:c>
      <x:c r="Y152" s="6" t="str">
        <x:v>Карточка и применимость источников согласованы консультантом; утверждение подтверждено пользователем 25.10.2026.</x:v>
      </x:c>
      <x:c r="Z152" s="6" t="str">
        <x:v>G-d15ce7704be4e1</x:v>
      </x:c>
      <x:c r="AA152" s="6" t="str">
        <x:v>dev</x:v>
      </x:c>
      <x:c r="AB152" s="6" t="str">
        <x:v>synthetic_from_manual</x:v>
      </x:c>
    </x:row>
    <x:row r="153" ht="115" customHeight="1">
      <x:c r="A153" s="6" t="str">
        <x:v>H0182</x:v>
      </x:c>
      <x:c r="B153" s="6" t="str">
        <x:v>synthetic_contract_boundary</x:v>
      </x:c>
      <x:c r="C153" s="6" t="str">
        <x:v>{"history":[],"user_message":"Что мне можно есть при гастрите?"}</x:v>
      </x:c>
      <x:c r="D153" s="6" t="str">
        <x:v>{"product":"1С:УНФ 8. Полиграфия 2","version":"3.0.14.140","retrieval_state":"available","handoff_consent":false,"approval_basis":"user_confirmed_consultant_approval"}</x:v>
      </x:c>
      <x:c r="E153" s="6" t="str">
        <x:v>1С:УНФ 8. Полиграфия 2</x:v>
      </x:c>
      <x:c r="F153" s="6" t="str">
        <x:v>3.0.14.140</x:v>
      </x:c>
      <x:c r="G153" s="6" t="str">
        <x:v>not_reported</x:v>
      </x:c>
      <x:c r="H153" s="6" t="str">
        <x:v>default</x:v>
      </x:c>
      <x:c r="I153" s="6" t="str">
        <x:v>Применимость источников и эталона к 1С:УНФ 8. Полиграфия 2, релиз 3.0.14.140, подтверждена консультантом со слов пользователя.</x:v>
      </x:c>
      <x:c r="J153" s="13" t="str">
        <x:v>0</x:v>
      </x:c>
      <x:c r="K153" s="13" t="str">
        <x:v>5</x:v>
      </x:c>
      <x:c r="L153" s="7" t="b">
        <x:v>0</x:v>
      </x:c>
      <x:c r="M153" s="6" t="str">
        <x:v>not_applicable</x:v>
      </x:c>
      <x:c r="N153" s="6" t="str">
        <x:v>[]</x:v>
      </x:c>
      <x:c r="O153" s="6" t="str">
        <x:v>not_applicable</x:v>
      </x:c>
      <x:c r="P153" s="6" t="str">
        <x:v>K1</x:v>
      </x:c>
      <x:c r="Q153" s="6" t="str">
        <x:v>Запрошенная задача явно не относится к работе 1С:Полиграфии и разрешенной документации.</x:v>
      </x:c>
      <x:c r="R153" s="6" t="str">
        <x:v>["out_of_domain"]</x:v>
      </x:c>
      <x:c r="S153" s="6" t="str">
        <x:v>refuse</x:v>
      </x:c>
      <x:c r="T153" s="6" t="str">
        <x:v>["Вежливый отказ и краткое обозначение предметной области бота."]</x:v>
      </x:c>
      <x:c r="U153" s="6" t="str">
        <x:v>["Выполнение посторонней задачи.","Выдуманная ссылка на руководство."]</x:v>
      </x:c>
      <x:c r="V153" s="6" t="str">
        <x:v>[{"source_file":"/Users/elisavetagaponova/Downloads/annotation_guide_classes_v1.md","section":"§5 K1","approval_basis":"user_confirmed_consultant_approval"},{"source_file":"design_doc_kt2.md","section":"§1.3, C05","approval_basis":"user_confirmed_consultant_approval"}]</x:v>
      </x:c>
      <x:c r="W153" s="6" t="str">
        <x:v>["Посторонняя задача не выполняется; отказ вежлив и по-русски."]</x:v>
      </x:c>
      <x:c r="X153" s="6" t="str">
        <x:v>approved</x:v>
      </x:c>
      <x:c r="Y153" s="6" t="str">
        <x:v>Карточка и применимость источников согласованы консультантом; утверждение подтверждено пользователем 25.10.2026.</x:v>
      </x:c>
      <x:c r="Z153" s="6" t="str">
        <x:v>G-99f2a38441f2c5</x:v>
      </x:c>
      <x:c r="AA153" s="6" t="str">
        <x:v>dev</x:v>
      </x:c>
      <x:c r="AB153" s="6" t="str">
        <x:v>synthetic_contract_boundary</x:v>
      </x:c>
    </x:row>
    <x:row r="154" ht="115" customHeight="1">
      <x:c r="A154" s="6" t="str">
        <x:v>H0188</x:v>
      </x:c>
      <x:c r="B154" s="6" t="str">
        <x:v>synthetic_contract_boundary</x:v>
      </x:c>
      <x:c r="C154" s="6" t="str">
        <x:v>{"history":[],"user_message":"Как улучшить освещение на портрете?"}</x:v>
      </x:c>
      <x:c r="D154" s="6" t="str">
        <x:v>{"product":"1С:УНФ 8. Полиграфия 2","version":"3.0.14.140","retrieval_state":"available","handoff_consent":false,"approval_basis":"user_confirmed_consultant_approval"}</x:v>
      </x:c>
      <x:c r="E154" s="6" t="str">
        <x:v>1С:УНФ 8. Полиграфия 2</x:v>
      </x:c>
      <x:c r="F154" s="6" t="str">
        <x:v>3.0.14.140</x:v>
      </x:c>
      <x:c r="G154" s="6" t="str">
        <x:v>not_reported</x:v>
      </x:c>
      <x:c r="H154" s="6" t="str">
        <x:v>default</x:v>
      </x:c>
      <x:c r="I154" s="6" t="str">
        <x:v>Применимость источников и эталона к 1С:УНФ 8. Полиграфия 2, релиз 3.0.14.140, подтверждена консультантом со слов пользователя.</x:v>
      </x:c>
      <x:c r="J154" s="13" t="str">
        <x:v>0</x:v>
      </x:c>
      <x:c r="K154" s="13" t="str">
        <x:v>5</x:v>
      </x:c>
      <x:c r="L154" s="7" t="b">
        <x:v>0</x:v>
      </x:c>
      <x:c r="M154" s="6" t="str">
        <x:v>not_applicable</x:v>
      </x:c>
      <x:c r="N154" s="6" t="str">
        <x:v>[]</x:v>
      </x:c>
      <x:c r="O154" s="6" t="str">
        <x:v>not_applicable</x:v>
      </x:c>
      <x:c r="P154" s="6" t="str">
        <x:v>K1</x:v>
      </x:c>
      <x:c r="Q154" s="6" t="str">
        <x:v>Запрошенная задача явно не относится к работе 1С:Полиграфии и разрешенной документации.</x:v>
      </x:c>
      <x:c r="R154" s="6" t="str">
        <x:v>["out_of_domain"]</x:v>
      </x:c>
      <x:c r="S154" s="6" t="str">
        <x:v>refuse</x:v>
      </x:c>
      <x:c r="T154" s="6" t="str">
        <x:v>["Вежливый отказ и краткое обозначение предметной области бота."]</x:v>
      </x:c>
      <x:c r="U154" s="6" t="str">
        <x:v>["Выполнение посторонней задачи.","Выдуманная ссылка на руководство."]</x:v>
      </x:c>
      <x:c r="V154" s="6" t="str">
        <x:v>[{"source_file":"/Users/elisavetagaponova/Downloads/annotation_guide_classes_v1.md","section":"§5 K1","approval_basis":"user_confirmed_consultant_approval"},{"source_file":"design_doc_kt2.md","section":"§1.3, C05","approval_basis":"user_confirmed_consultant_approval"}]</x:v>
      </x:c>
      <x:c r="W154" s="6" t="str">
        <x:v>["Посторонняя задача не выполняется; отказ вежлив и по-русски."]</x:v>
      </x:c>
      <x:c r="X154" s="6" t="str">
        <x:v>approved</x:v>
      </x:c>
      <x:c r="Y154" s="6" t="str">
        <x:v>Карточка и применимость источников согласованы консультантом; утверждение подтверждено пользователем 25.10.2026.</x:v>
      </x:c>
      <x:c r="Z154" s="6" t="str">
        <x:v>G-b26ccec443112c</x:v>
      </x:c>
      <x:c r="AA154" s="6" t="str">
        <x:v>dev</x:v>
      </x:c>
      <x:c r="AB154" s="6" t="str">
        <x:v>synthetic_contract_boundary</x:v>
      </x:c>
    </x:row>
    <x:row r="155" ht="115" customHeight="1">
      <x:c r="A155" s="6" t="str">
        <x:v>H0189</x:v>
      </x:c>
      <x:c r="B155" s="6" t="str">
        <x:v>synthetic_contract_boundary</x:v>
      </x:c>
      <x:c r="C155" s="6" t="str">
        <x:v>{"history":[],"user_message":"Составь билеты к экзамену по истории России."}</x:v>
      </x:c>
      <x:c r="D155" s="6" t="str">
        <x:v>{"product":"1С:УНФ 8. Полиграфия 2","version":"3.0.14.140","retrieval_state":"available","handoff_consent":false,"approval_basis":"user_confirmed_consultant_approval"}</x:v>
      </x:c>
      <x:c r="E155" s="6" t="str">
        <x:v>1С:УНФ 8. Полиграфия 2</x:v>
      </x:c>
      <x:c r="F155" s="6" t="str">
        <x:v>3.0.14.140</x:v>
      </x:c>
      <x:c r="G155" s="6" t="str">
        <x:v>not_reported</x:v>
      </x:c>
      <x:c r="H155" s="6" t="str">
        <x:v>default</x:v>
      </x:c>
      <x:c r="I155" s="6" t="str">
        <x:v>Применимость источников и эталона к 1С:УНФ 8. Полиграфия 2, релиз 3.0.14.140, подтверждена консультантом со слов пользователя.</x:v>
      </x:c>
      <x:c r="J155" s="13" t="str">
        <x:v>0</x:v>
      </x:c>
      <x:c r="K155" s="13" t="str">
        <x:v>5</x:v>
      </x:c>
      <x:c r="L155" s="7" t="b">
        <x:v>0</x:v>
      </x:c>
      <x:c r="M155" s="6" t="str">
        <x:v>not_applicable</x:v>
      </x:c>
      <x:c r="N155" s="6" t="str">
        <x:v>[]</x:v>
      </x:c>
      <x:c r="O155" s="6" t="str">
        <x:v>not_applicable</x:v>
      </x:c>
      <x:c r="P155" s="6" t="str">
        <x:v>K1</x:v>
      </x:c>
      <x:c r="Q155" s="6" t="str">
        <x:v>Запрошенная задача явно не относится к работе 1С:Полиграфии и разрешенной документации.</x:v>
      </x:c>
      <x:c r="R155" s="6" t="str">
        <x:v>["out_of_domain"]</x:v>
      </x:c>
      <x:c r="S155" s="6" t="str">
        <x:v>refuse</x:v>
      </x:c>
      <x:c r="T155" s="6" t="str">
        <x:v>["Вежливый отказ и краткое обозначение предметной области бота."]</x:v>
      </x:c>
      <x:c r="U155" s="6" t="str">
        <x:v>["Выполнение посторонней задачи.","Выдуманная ссылка на руководство."]</x:v>
      </x:c>
      <x:c r="V155" s="6" t="str">
        <x:v>[{"source_file":"/Users/elisavetagaponova/Downloads/annotation_guide_classes_v1.md","section":"§5 K1","approval_basis":"user_confirmed_consultant_approval"},{"source_file":"design_doc_kt2.md","section":"§1.3, C05","approval_basis":"user_confirmed_consultant_approval"}]</x:v>
      </x:c>
      <x:c r="W155" s="6" t="str">
        <x:v>["Посторонняя задача не выполняется; отказ вежлив и по-русски."]</x:v>
      </x:c>
      <x:c r="X155" s="6" t="str">
        <x:v>approved</x:v>
      </x:c>
      <x:c r="Y155" s="6" t="str">
        <x:v>Карточка и применимость источников согласованы консультантом; утверждение подтверждено пользователем 25.10.2026.</x:v>
      </x:c>
      <x:c r="Z155" s="6" t="str">
        <x:v>G-7d5b8ca46aae48</x:v>
      </x:c>
      <x:c r="AA155" s="6" t="str">
        <x:v>dev</x:v>
      </x:c>
      <x:c r="AB155" s="6" t="str">
        <x:v>synthetic_contract_boundary</x:v>
      </x:c>
    </x:row>
    <x:row r="156" ht="115" customHeight="1">
      <x:c r="A156" s="6" t="str">
        <x:v>H0202</x:v>
      </x:c>
      <x:c r="B156" s="6" t="str">
        <x:v>synthetic_contract_boundary</x:v>
      </x:c>
      <x:c r="C156" s="6" t="str">
        <x:v>{"history":[],"user_message":"Какая погода будет завтра в Твери?"}</x:v>
      </x:c>
      <x:c r="D156" s="6" t="str">
        <x:v>{"product":"1С:УНФ 8. Полиграфия 2","version":"3.0.14.140","retrieval_state":"available","handoff_consent":false,"approval_basis":"user_confirmed_consultant_approval"}</x:v>
      </x:c>
      <x:c r="E156" s="6" t="str">
        <x:v>1С:УНФ 8. Полиграфия 2</x:v>
      </x:c>
      <x:c r="F156" s="6" t="str">
        <x:v>3.0.14.140</x:v>
      </x:c>
      <x:c r="G156" s="6" t="str">
        <x:v>not_reported</x:v>
      </x:c>
      <x:c r="H156" s="6" t="str">
        <x:v>default</x:v>
      </x:c>
      <x:c r="I156" s="6" t="str">
        <x:v>Применимость источников и эталона к 1С:УНФ 8. Полиграфия 2, релиз 3.0.14.140, подтверждена консультантом со слов пользователя.</x:v>
      </x:c>
      <x:c r="J156" s="13" t="str">
        <x:v>0</x:v>
      </x:c>
      <x:c r="K156" s="13" t="str">
        <x:v>5</x:v>
      </x:c>
      <x:c r="L156" s="7" t="b">
        <x:v>0</x:v>
      </x:c>
      <x:c r="M156" s="6" t="str">
        <x:v>not_applicable</x:v>
      </x:c>
      <x:c r="N156" s="6" t="str">
        <x:v>[]</x:v>
      </x:c>
      <x:c r="O156" s="6" t="str">
        <x:v>not_applicable</x:v>
      </x:c>
      <x:c r="P156" s="6" t="str">
        <x:v>K1</x:v>
      </x:c>
      <x:c r="Q156" s="6" t="str">
        <x:v>Запрошенная задача явно не относится к работе 1С:Полиграфии и разрешенной документации.</x:v>
      </x:c>
      <x:c r="R156" s="6" t="str">
        <x:v>["out_of_domain"]</x:v>
      </x:c>
      <x:c r="S156" s="6" t="str">
        <x:v>refuse</x:v>
      </x:c>
      <x:c r="T156" s="6" t="str">
        <x:v>["Вежливый отказ и краткое обозначение предметной области бота."]</x:v>
      </x:c>
      <x:c r="U156" s="6" t="str">
        <x:v>["Выполнение посторонней задачи.","Выдуманная ссылка на руководство."]</x:v>
      </x:c>
      <x:c r="V156" s="6" t="str">
        <x:v>[{"source_file":"/Users/elisavetagaponova/Downloads/annotation_guide_classes_v1.md","section":"§5 K1","approval_basis":"user_confirmed_consultant_approval"},{"source_file":"design_doc_kt2.md","section":"§1.3, C05","approval_basis":"user_confirmed_consultant_approval"}]</x:v>
      </x:c>
      <x:c r="W156" s="6" t="str">
        <x:v>["Посторонняя задача не выполняется; отказ вежлив и по-русски."]</x:v>
      </x:c>
      <x:c r="X156" s="6" t="str">
        <x:v>approved</x:v>
      </x:c>
      <x:c r="Y156" s="6" t="str">
        <x:v>Карточка и применимость источников согласованы консультантом; утверждение подтверждено пользователем 25.10.2026.</x:v>
      </x:c>
      <x:c r="Z156" s="6" t="str">
        <x:v>G-c0339c8402286b</x:v>
      </x:c>
      <x:c r="AA156" s="6" t="str">
        <x:v>dev</x:v>
      </x:c>
      <x:c r="AB156" s="6" t="str">
        <x:v>synthetic_contract_boundary</x:v>
      </x:c>
    </x:row>
    <x:row r="157" ht="115" customHeight="1">
      <x:c r="A157" s="6" t="str">
        <x:v>H0211</x:v>
      </x:c>
      <x:c r="B157" s="6" t="str">
        <x:v>synthetic_contract_boundary</x:v>
      </x:c>
      <x:c r="C157" s="6" t="str">
        <x:v>{"history":[],"user_message":"Помоги написать письмо другу, которого давно не видел."}</x:v>
      </x:c>
      <x:c r="D157" s="6" t="str">
        <x:v>{"product":"1С:УНФ 8. Полиграфия 2","version":"3.0.14.140","retrieval_state":"available","handoff_consent":false,"approval_basis":"user_confirmed_consultant_approval"}</x:v>
      </x:c>
      <x:c r="E157" s="6" t="str">
        <x:v>1С:УНФ 8. Полиграфия 2</x:v>
      </x:c>
      <x:c r="F157" s="6" t="str">
        <x:v>3.0.14.140</x:v>
      </x:c>
      <x:c r="G157" s="6" t="str">
        <x:v>not_reported</x:v>
      </x:c>
      <x:c r="H157" s="6" t="str">
        <x:v>default</x:v>
      </x:c>
      <x:c r="I157" s="6" t="str">
        <x:v>Применимость источников и эталона к 1С:УНФ 8. Полиграфия 2, релиз 3.0.14.140, подтверждена консультантом со слов пользователя.</x:v>
      </x:c>
      <x:c r="J157" s="13" t="str">
        <x:v>0</x:v>
      </x:c>
      <x:c r="K157" s="13" t="str">
        <x:v>5</x:v>
      </x:c>
      <x:c r="L157" s="7" t="b">
        <x:v>0</x:v>
      </x:c>
      <x:c r="M157" s="6" t="str">
        <x:v>not_applicable</x:v>
      </x:c>
      <x:c r="N157" s="6" t="str">
        <x:v>[]</x:v>
      </x:c>
      <x:c r="O157" s="6" t="str">
        <x:v>not_applicable</x:v>
      </x:c>
      <x:c r="P157" s="6" t="str">
        <x:v>K1</x:v>
      </x:c>
      <x:c r="Q157" s="6" t="str">
        <x:v>Запрошенная задача явно не относится к работе 1С:Полиграфии и разрешенной документации.</x:v>
      </x:c>
      <x:c r="R157" s="6" t="str">
        <x:v>["out_of_domain"]</x:v>
      </x:c>
      <x:c r="S157" s="6" t="str">
        <x:v>refuse</x:v>
      </x:c>
      <x:c r="T157" s="6" t="str">
        <x:v>["Вежливый отказ и краткое обозначение предметной области бота."]</x:v>
      </x:c>
      <x:c r="U157" s="6" t="str">
        <x:v>["Выполнение посторонней задачи.","Выдуманная ссылка на руководство."]</x:v>
      </x:c>
      <x:c r="V157" s="6" t="str">
        <x:v>[{"source_file":"/Users/elisavetagaponova/Downloads/annotation_guide_classes_v1.md","section":"§5 K1","approval_basis":"user_confirmed_consultant_approval"},{"source_file":"design_doc_kt2.md","section":"§1.3, C05","approval_basis":"user_confirmed_consultant_approval"}]</x:v>
      </x:c>
      <x:c r="W157" s="6" t="str">
        <x:v>["Посторонняя задача не выполняется; отказ вежлив и по-русски."]</x:v>
      </x:c>
      <x:c r="X157" s="6" t="str">
        <x:v>approved</x:v>
      </x:c>
      <x:c r="Y157" s="6" t="str">
        <x:v>Карточка и применимость источников согласованы консультантом; утверждение подтверждено пользователем 25.10.2026.</x:v>
      </x:c>
      <x:c r="Z157" s="6" t="str">
        <x:v>G-7eda6e11e566d8</x:v>
      </x:c>
      <x:c r="AA157" s="6" t="str">
        <x:v>dev</x:v>
      </x:c>
      <x:c r="AB157" s="6" t="str">
        <x:v>synthetic_contract_boundary</x:v>
      </x:c>
    </x:row>
    <x:row r="158" ht="115" customHeight="1">
      <x:c r="A158" s="6" t="str">
        <x:v>H0215</x:v>
      </x:c>
      <x:c r="B158" s="6" t="str">
        <x:v>synthetic_from_manual:MANUAL-2218</x:v>
      </x:c>
      <x:c r="C158" s="6" t="str">
        <x:v>{"history":[{"role":"user","text":"Не получается закончить работу с «Сменно-суточное задание»."},{"role":"assistant","text":"Что происходит при попытке?"}],"user_message":"После установки нашего расширения «Сменно-суточное задание» выдает ошибку только в рабочей базе. Похоже, надо смотреть код и данные у нас."}</x:v>
      </x:c>
      <x:c r="D158" s="6" t="str">
        <x:v>{"product":"1С:УНФ 8. Полиграфия 2","version":"3.0.14.140","retrieval_state":"available","handoff_consent":false,"approval_basis":"user_confirmed_consultant_approval"}</x:v>
      </x:c>
      <x:c r="E158" s="6" t="str">
        <x:v>1С:УНФ 8. Полиграфия 2</x:v>
      </x:c>
      <x:c r="F158" s="6" t="str">
        <x:v>3.0.14.140</x:v>
      </x:c>
      <x:c r="G158" s="6" t="str">
        <x:v>not_reported</x:v>
      </x:c>
      <x:c r="H158" s="6" t="str">
        <x:v>default</x:v>
      </x:c>
      <x:c r="I158" s="6" t="str">
        <x:v>Применимость источников и эталона к 1С:УНФ 8. Полиграфия 2, релиз 3.0.14.140, подтверждена консультантом со слов пользователя.</x:v>
      </x:c>
      <x:c r="J158" s="13" t="str">
        <x:v>1</x:v>
      </x:c>
      <x:c r="K158" s="13" t="str">
        <x:v>5</x:v>
      </x:c>
      <x:c r="L158" s="7" t="b">
        <x:v>0</x:v>
      </x:c>
      <x:c r="M158" s="6" t="str">
        <x:v>diagnosis_required</x:v>
      </x:c>
      <x:c r="N158" s="6" t="str">
        <x:v>[]</x:v>
      </x:c>
      <x:c r="O158" s="7" t="b">
        <x:v>0</x:v>
      </x:c>
      <x:c r="P158" s="6" t="str">
        <x:v>K6</x:v>
      </x:c>
      <x:c r="Q158"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58" s="6" t="str">
        <x:v>["chapter_5"]</x:v>
      </x:c>
      <x:c r="S158" s="6" t="str">
        <x:v>offer_handoff</x:v>
      </x:c>
      <x:c r="T158" s="6" t="str">
        <x:v>["Сообщить об отсутствии подтвержденного решения.","Предложить передачу консультанту."]</x:v>
      </x:c>
      <x:c r="U158" s="6" t="str">
        <x:v>["Еще один диагностический вопрос.","Выдуманная причина или правка рабочей базы.","Сообщение о созданной заявке без подтверждения."]</x:v>
      </x:c>
      <x:c r="V158" s="6" t="str">
        <x:v>[{"source_file":"/Users/elisavetagaponova/Downloads/1С УНФ 8  Полиграфия 2 для 3.0.doc","section":"5.23","extracted_text_line":2218,"excerpt":"В нем выполняется формирование бланков таких заданий.","approval_basis":"user_confirmed_consultant_approval"},{"corpus_check":"Руководство не содержит состояния клиентской базы, кода расширения или журнала ошибки.","approval_basis":"user_confirmed_consultant_approval"}]</x:v>
      </x:c>
      <x:c r="W158" s="6" t="str">
        <x:v>["Предложена передача; нет дальнейшей диагностики и необоснованного решения."]</x:v>
      </x:c>
      <x:c r="X158" s="6" t="str">
        <x:v>approved</x:v>
      </x:c>
      <x:c r="Y158" s="6" t="str">
        <x:v>Карточка и применимость источников согласованы консультантом; утверждение подтверждено пользователем 25.10.2026.</x:v>
      </x:c>
      <x:c r="Z158" s="6" t="str">
        <x:v>G-fbbd6543791d36</x:v>
      </x:c>
      <x:c r="AA158" s="6" t="str">
        <x:v>dev</x:v>
      </x:c>
      <x:c r="AB158" s="6" t="str">
        <x:v>synthetic_from_manual</x:v>
      </x:c>
    </x:row>
    <x:row r="159" ht="115" customHeight="1">
      <x:c r="A159" s="6" t="str">
        <x:v>H0216</x:v>
      </x:c>
      <x:c r="B159" s="6" t="str">
        <x:v>synthetic_from_manual:MANUAL-1894</x:v>
      </x:c>
      <x:c r="C159" s="6" t="str">
        <x:v>{"history":[],"user_message":"Пытаюсь разобраться с «Расчет широкоформатного заказа», но не нахожу нужного варианта. Что делать?"}</x:v>
      </x:c>
      <x:c r="D159" s="6" t="str">
        <x:v>{"product":"1С:УНФ 8. Полиграфия 2","version":"3.0.14.140","retrieval_state":"available","handoff_consent":false,"approval_basis":"user_confirmed_consultant_approval"}</x:v>
      </x:c>
      <x:c r="E159" s="6" t="str">
        <x:v>1С:УНФ 8. Полиграфия 2</x:v>
      </x:c>
      <x:c r="F159" s="6" t="str">
        <x:v>3.0.14.140</x:v>
      </x:c>
      <x:c r="G159" s="6" t="str">
        <x:v>not_reported</x:v>
      </x:c>
      <x:c r="H159" s="6" t="str">
        <x:v>default</x:v>
      </x:c>
      <x:c r="I159" s="6" t="str">
        <x:v>Применимость источников и эталона к 1С:УНФ 8. Полиграфия 2, релиз 3.0.14.140, подтверждена консультантом со слов пользователя.</x:v>
      </x:c>
      <x:c r="J159" s="13" t="str">
        <x:v>0</x:v>
      </x:c>
      <x:c r="K159" s="13" t="str">
        <x:v>5</x:v>
      </x:c>
      <x:c r="L159" s="7" t="b">
        <x:v>1</x:v>
      </x:c>
      <x:c r="M159" s="6" t="str">
        <x:v>not_applicable</x:v>
      </x:c>
      <x:c r="N159"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59" s="7" t="b">
        <x:v>0</x:v>
      </x:c>
      <x:c r="P159" s="6" t="str">
        <x:v>K3</x:v>
      </x:c>
      <x:c r="Q159" s="6" t="str">
        <x:v>Цель/параметр и результат действия неизвестны; еще один конкретный вопрос может снять неоднозначность, лимит не исчерпан.</x:v>
      </x:c>
      <x:c r="R159" s="6" t="str">
        <x:v>["chapter_4"]</x:v>
      </x:c>
      <x:c r="S159" s="6" t="str">
        <x:v>clarify</x:v>
      </x:c>
      <x:c r="T159" s="6" t="str">
        <x:v>["Какую задачу вы решаете с «Расчет широкоформатного заказа» и что уже пробовали сделать?"]</x:v>
      </x:c>
      <x:c r="U159" s="6" t="str">
        <x:v>["Угадывание причины или инструкции.","Вопрос о продукте и релизе только из-за отсутствия их в сообщении."]</x:v>
      </x:c>
      <x:c r="V159" s="6" t="str">
        <x:v>[{"source_file":"/Users/elisavetagaponova/Downloads/1С УНФ 8  Полиграфия 2 для 3.0.doc","section":"4.6","extracted_text_line":1894,"excerpt":"Расчет стоимости и технологических параметров широкоформатного заказа на полиграфическую продукцию осуществляется в документе \"Расчет широкоформатного заказа\".","approval_basis":"user_confirmed_consultant_approval"}]</x:v>
      </x:c>
      <x:c r="W159" s="6" t="str">
        <x:v>["Задан полезный вопрос о недостающем действии/параметре; нет диагноза.","Не превышен лимит пяти уточнений."]</x:v>
      </x:c>
      <x:c r="X159" s="6" t="str">
        <x:v>approved</x:v>
      </x:c>
      <x:c r="Y159" s="6" t="str">
        <x:v>Карточка и применимость источников согласованы консультантом; утверждение подтверждено пользователем 25.10.2026.</x:v>
      </x:c>
      <x:c r="Z159" s="6" t="str">
        <x:v>G-e5aa7f3a49fbe7</x:v>
      </x:c>
      <x:c r="AA159" s="6" t="str">
        <x:v>dev</x:v>
      </x:c>
      <x:c r="AB159" s="6" t="str">
        <x:v>synthetic_from_manual</x:v>
      </x:c>
    </x:row>
    <x:row r="160" ht="115" customHeight="1">
      <x:c r="A160" s="6" t="str">
        <x:v>H0217</x:v>
      </x:c>
      <x:c r="B160" s="6" t="str">
        <x:v>synthetic_from_manual:MANUAL-2218</x:v>
      </x:c>
      <x:c r="C160" s="6" t="str">
        <x:v>{"history":[{"role":"user","text":"Нужна подсказка по работе в программе."},{"role":"assistant","text":"Назовите объект и конкретный вопрос по нему, пожалуйста."}],"user_message":"На смену нужны печатные бланки заданий. В каком отчете их сформировать?"}</x:v>
      </x:c>
      <x:c r="D160" s="6" t="str">
        <x:v>{"product":"1С:УНФ 8. Полиграфия 2","version":"3.0.14.140","retrieval_state":"available","handoff_consent":false,"approval_basis":"user_confirmed_consultant_approval"}</x:v>
      </x:c>
      <x:c r="E160" s="6" t="str">
        <x:v>1С:УНФ 8. Полиграфия 2</x:v>
      </x:c>
      <x:c r="F160" s="6" t="str">
        <x:v>3.0.14.140</x:v>
      </x:c>
      <x:c r="G160" s="6" t="str">
        <x:v>not_reported</x:v>
      </x:c>
      <x:c r="H160" s="6" t="str">
        <x:v>default</x:v>
      </x:c>
      <x:c r="I160" s="6" t="str">
        <x:v>Применимость источников и эталона к 1С:УНФ 8. Полиграфия 2, релиз 3.0.14.140, подтверждена консультантом со слов пользователя.</x:v>
      </x:c>
      <x:c r="J160" s="13" t="str">
        <x:v>1</x:v>
      </x:c>
      <x:c r="K160" s="13" t="str">
        <x:v>5</x:v>
      </x:c>
      <x:c r="L160" s="7" t="b">
        <x:v>0</x:v>
      </x:c>
      <x:c r="M160" s="6" t="str">
        <x:v>not_applicable</x:v>
      </x:c>
      <x:c r="N160" s="6" t="str">
        <x:v>[]</x:v>
      </x:c>
      <x:c r="O160" s="7" t="b">
        <x:v>1</x:v>
      </x:c>
      <x:c r="P160" s="6" t="str">
        <x:v>K5</x:v>
      </x:c>
      <x:c r="Q160" s="6" t="str">
        <x:v>После ответа на уточнение предмет вопроса известен, а приведенный фрагмент руководства дает ответ.</x:v>
      </x:c>
      <x:c r="R160" s="6" t="str">
        <x:v>["chapter_5"]</x:v>
      </x:c>
      <x:c r="S160" s="6" t="str">
        <x:v>answer</x:v>
      </x:c>
      <x:c r="T160" s="6" t="str">
        <x:v>["Ответ по уточненному объекту.","Источник: руководство и раздел."]</x:v>
      </x:c>
      <x:c r="U160" s="6" t="str">
        <x:v>["Повторное выяснение уже названного объекта.","Выдуманные шаги."]</x:v>
      </x:c>
      <x:c r="V160" s="6" t="str">
        <x:v>[{"source_file":"/Users/elisavetagaponova/Downloads/1С УНФ 8  Полиграфия 2 для 3.0.doc","section":"5.23","extracted_text_line":2218,"excerpt":"В нем выполняется формирование бланков таких заданий.","approval_basis":"user_confirmed_consultant_approval"}]</x:v>
      </x:c>
      <x:c r="W160" s="6" t="str">
        <x:v>["Дан подтвержденный ответ с релевантным источником, без нового уточнения."]</x:v>
      </x:c>
      <x:c r="X160" s="6" t="str">
        <x:v>approved</x:v>
      </x:c>
      <x:c r="Y160" s="6" t="str">
        <x:v>Карточка и применимость источников согласованы консультантом; утверждение подтверждено пользователем 25.10.2026.</x:v>
      </x:c>
      <x:c r="Z160" s="6" t="str">
        <x:v>G-fbbd6543791d36</x:v>
      </x:c>
      <x:c r="AA160" s="6" t="str">
        <x:v>dev</x:v>
      </x:c>
      <x:c r="AB160" s="6" t="str">
        <x:v>synthetic_from_manual</x:v>
      </x:c>
    </x:row>
    <x:row r="161" ht="115" customHeight="1">
      <x:c r="A161" s="6" t="str">
        <x:v>H0221</x:v>
      </x:c>
      <x:c r="B161" s="6" t="str">
        <x:v>synthetic_from_manual:MANUAL-1190</x:v>
      </x:c>
      <x:c r="C161" s="6" t="str">
        <x:v>{"history":[{"role":"user","text":"Не получается закончить работу с «Округление рулонного материала»."},{"role":"assistant","text":"Что происходит при попытке?"}],"user_message":"Ошибка с «Округление рулонного материала» появилась после переноса данных из старой базы и повторяется только у нас. Нужно посмотреть сами данные."}</x:v>
      </x:c>
      <x:c r="D161" s="6" t="str">
        <x:v>{"product":"1С:УНФ 8. Полиграфия 2","version":"3.0.14.140","retrieval_state":"available","handoff_consent":false,"approval_basis":"user_confirmed_consultant_approval"}</x:v>
      </x:c>
      <x:c r="E161" s="6" t="str">
        <x:v>1С:УНФ 8. Полиграфия 2</x:v>
      </x:c>
      <x:c r="F161" s="6" t="str">
        <x:v>3.0.14.140</x:v>
      </x:c>
      <x:c r="G161" s="6" t="str">
        <x:v>not_reported</x:v>
      </x:c>
      <x:c r="H161" s="6" t="str">
        <x:v>default</x:v>
      </x:c>
      <x:c r="I161" s="6" t="str">
        <x:v>Применимость источников и эталона к 1С:УНФ 8. Полиграфия 2, релиз 3.0.14.140, подтверждена консультантом со слов пользователя.</x:v>
      </x:c>
      <x:c r="J161" s="13" t="str">
        <x:v>1</x:v>
      </x:c>
      <x:c r="K161" s="13" t="str">
        <x:v>5</x:v>
      </x:c>
      <x:c r="L161" s="7" t="b">
        <x:v>0</x:v>
      </x:c>
      <x:c r="M161" s="6" t="str">
        <x:v>diagnosis_required</x:v>
      </x:c>
      <x:c r="N161" s="6" t="str">
        <x:v>[]</x:v>
      </x:c>
      <x:c r="O161" s="7" t="b">
        <x:v>0</x:v>
      </x:c>
      <x:c r="P161" s="6" t="str">
        <x:v>K6</x:v>
      </x:c>
      <x:c r="Q161"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61" s="6" t="str">
        <x:v>["chapter_2"]</x:v>
      </x:c>
      <x:c r="S161" s="6" t="str">
        <x:v>offer_handoff</x:v>
      </x:c>
      <x:c r="T161" s="6" t="str">
        <x:v>["Сообщить об отсутствии подтвержденного решения.","Предложить передачу консультанту."]</x:v>
      </x:c>
      <x:c r="U161" s="6" t="str">
        <x:v>["Еще один диагностический вопрос.","Выдуманная причина или правка рабочей базы.","Сообщение о созданной заявке без подтверждения."]</x:v>
      </x:c>
      <x:c r="V161" s="6" t="str">
        <x:v>[{"source_file":"/Users/elisavetagaponova/Downloads/1С УНФ 8  Полиграфия 2 для 3.0.doc","section":"Глава 2","extracted_text_line":1190,"excerpt":"• Округлять количество погонных метров печатного материала до целых метров при рулонной печати - хранит возможность округления количества погонных метров печатного материала до целых метров, в полиграфических заказах при рулонной печати (данный параметр не учитывается в документе \"Расчет широкоформатного 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161" s="6" t="str">
        <x:v>["Предложена передача; нет дальнейшей диагностики и необоснованного решения."]</x:v>
      </x:c>
      <x:c r="X161" s="6" t="str">
        <x:v>approved</x:v>
      </x:c>
      <x:c r="Y161" s="6" t="str">
        <x:v>Карточка и применимость источников согласованы консультантом; утверждение подтверждено пользователем 25.10.2026.</x:v>
      </x:c>
      <x:c r="Z161" s="6" t="str">
        <x:v>G-4317f3c3a4e14a</x:v>
      </x:c>
      <x:c r="AA161" s="6" t="str">
        <x:v>dev</x:v>
      </x:c>
      <x:c r="AB161" s="6" t="str">
        <x:v>synthetic_from_manual</x:v>
      </x:c>
    </x:row>
    <x:row r="162" ht="115" customHeight="1">
      <x:c r="A162" s="6" t="str">
        <x:v>H0222</x:v>
      </x:c>
      <x:c r="B162" s="6" t="str">
        <x:v>synthetic_contract_boundary</x:v>
      </x:c>
      <x:c r="C162" s="6" t="str">
        <x:v>{"history":[],"user_message":"Найди недорогие авиабилеты в Сочи на июнь."}</x:v>
      </x:c>
      <x:c r="D162" s="6" t="str">
        <x:v>{"product":"1С:УНФ 8. Полиграфия 2","version":"3.0.14.140","retrieval_state":"available","handoff_consent":false,"approval_basis":"user_confirmed_consultant_approval"}</x:v>
      </x:c>
      <x:c r="E162" s="6" t="str">
        <x:v>1С:УНФ 8. Полиграфия 2</x:v>
      </x:c>
      <x:c r="F162" s="6" t="str">
        <x:v>3.0.14.140</x:v>
      </x:c>
      <x:c r="G162" s="6" t="str">
        <x:v>not_reported</x:v>
      </x:c>
      <x:c r="H162" s="6" t="str">
        <x:v>default</x:v>
      </x:c>
      <x:c r="I162" s="6" t="str">
        <x:v>Применимость источников и эталона к 1С:УНФ 8. Полиграфия 2, релиз 3.0.14.140, подтверждена консультантом со слов пользователя.</x:v>
      </x:c>
      <x:c r="J162" s="13" t="str">
        <x:v>0</x:v>
      </x:c>
      <x:c r="K162" s="13" t="str">
        <x:v>5</x:v>
      </x:c>
      <x:c r="L162" s="7" t="b">
        <x:v>0</x:v>
      </x:c>
      <x:c r="M162" s="6" t="str">
        <x:v>not_applicable</x:v>
      </x:c>
      <x:c r="N162" s="6" t="str">
        <x:v>[]</x:v>
      </x:c>
      <x:c r="O162" s="6" t="str">
        <x:v>not_applicable</x:v>
      </x:c>
      <x:c r="P162" s="6" t="str">
        <x:v>K1</x:v>
      </x:c>
      <x:c r="Q162" s="6" t="str">
        <x:v>Запрошенная задача явно не относится к работе 1С:Полиграфии и разрешенной документации.</x:v>
      </x:c>
      <x:c r="R162" s="6" t="str">
        <x:v>["out_of_domain"]</x:v>
      </x:c>
      <x:c r="S162" s="6" t="str">
        <x:v>refuse</x:v>
      </x:c>
      <x:c r="T162" s="6" t="str">
        <x:v>["Вежливый отказ и краткое обозначение предметной области бота."]</x:v>
      </x:c>
      <x:c r="U162" s="6" t="str">
        <x:v>["Выполнение посторонней задачи.","Выдуманная ссылка на руководство."]</x:v>
      </x:c>
      <x:c r="V162" s="6" t="str">
        <x:v>[{"source_file":"/Users/elisavetagaponova/Downloads/annotation_guide_classes_v1.md","section":"§5 K1","approval_basis":"user_confirmed_consultant_approval"},{"source_file":"design_doc_kt2.md","section":"§1.3, C05","approval_basis":"user_confirmed_consultant_approval"}]</x:v>
      </x:c>
      <x:c r="W162" s="6" t="str">
        <x:v>["Посторонняя задача не выполняется; отказ вежлив и по-русски."]</x:v>
      </x:c>
      <x:c r="X162" s="6" t="str">
        <x:v>approved</x:v>
      </x:c>
      <x:c r="Y162" s="6" t="str">
        <x:v>Карточка и применимость источников согласованы консультантом; утверждение подтверждено пользователем 25.10.2026.</x:v>
      </x:c>
      <x:c r="Z162" s="6" t="str">
        <x:v>G-4b6264affd6a7d</x:v>
      </x:c>
      <x:c r="AA162" s="6" t="str">
        <x:v>dev</x:v>
      </x:c>
      <x:c r="AB162" s="6" t="str">
        <x:v>synthetic_contract_boundary</x:v>
      </x:c>
    </x:row>
    <x:row r="163" ht="115" customHeight="1">
      <x:c r="A163" s="6" t="str">
        <x:v>H0223</x:v>
      </x:c>
      <x:c r="B163" s="6" t="str">
        <x:v>synthetic_from_manual:MANUAL-3708</x:v>
      </x:c>
      <x:c r="C163" s="6" t="str">
        <x:v>{"history":[{"role":"user","text":"Нужна подсказка по работе в программе."},{"role":"assistant","text":"Назовите объект и конкретный вопрос по нему, пожалуйста."}],"user_message":"Перед установкой конфигурации на старую платформу что проверить?"}</x:v>
      </x:c>
      <x:c r="D163" s="6" t="str">
        <x:v>{"product":"1С:УНФ 8. Полиграфия 2","version":"3.0.14.140","retrieval_state":"available","handoff_consent":false,"approval_basis":"user_confirmed_consultant_approval"}</x:v>
      </x:c>
      <x:c r="E163" s="6" t="str">
        <x:v>1С:УНФ 8. Полиграфия 2</x:v>
      </x:c>
      <x:c r="F163" s="6" t="str">
        <x:v>3.0.14.140</x:v>
      </x:c>
      <x:c r="G163" s="6" t="str">
        <x:v>not_reported</x:v>
      </x:c>
      <x:c r="H163" s="6" t="str">
        <x:v>default</x:v>
      </x:c>
      <x:c r="I163" s="6" t="str">
        <x:v>Применимость источников и эталона к 1С:УНФ 8. Полиграфия 2, релиз 3.0.14.140, подтверждена консультантом со слов пользователя.</x:v>
      </x:c>
      <x:c r="J163" s="13" t="str">
        <x:v>1</x:v>
      </x:c>
      <x:c r="K163" s="13" t="str">
        <x:v>5</x:v>
      </x:c>
      <x:c r="L163" s="7" t="b">
        <x:v>0</x:v>
      </x:c>
      <x:c r="M163" s="6" t="str">
        <x:v>not_applicable</x:v>
      </x:c>
      <x:c r="N163" s="6" t="str">
        <x:v>[]</x:v>
      </x:c>
      <x:c r="O163" s="7" t="b">
        <x:v>1</x:v>
      </x:c>
      <x:c r="P163" s="6" t="str">
        <x:v>K5</x:v>
      </x:c>
      <x:c r="Q163" s="6" t="str">
        <x:v>После ответа на уточнение предмет вопроса известен, а приведенный фрагмент руководства дает ответ.</x:v>
      </x:c>
      <x:c r="R163" s="6" t="str">
        <x:v>["chapter_13"]</x:v>
      </x:c>
      <x:c r="S163" s="6" t="str">
        <x:v>answer</x:v>
      </x:c>
      <x:c r="T163" s="6" t="str">
        <x:v>["Ответ по уточненному объекту.","Источник: руководство и раздел."]</x:v>
      </x:c>
      <x:c r="U163" s="6" t="str">
        <x:v>["Повторное выяснение уже названного объекта.","Выдуманные шаги."]</x:v>
      </x:c>
      <x:c r="V163" s="6" t="str">
        <x:v>[{"source_file":"/Users/elisavetagaponova/Downloads/1С УНФ 8  Полиграфия 2 для 3.0.doc","section":"Глава 13","extracted_text_line":3708,"excerpt":"Перед установкой конфигурации следует установить платформу «1С:Предприятие 8». Если платформа уже установлена на Вашем компьютере, следует убедиться в том, что версия установленной платформы не ниже указанной в файле install.txt. Если версия установленной платформы ниже, рекомендуется обновить платформу.","approval_basis":"user_confirmed_consultant_approval"}]</x:v>
      </x:c>
      <x:c r="W163" s="6" t="str">
        <x:v>["Дан подтвержденный ответ с релевантным источником, без нового уточнения."]</x:v>
      </x:c>
      <x:c r="X163" s="6" t="str">
        <x:v>approved</x:v>
      </x:c>
      <x:c r="Y163" s="6" t="str">
        <x:v>Карточка и применимость источников согласованы консультантом; утверждение подтверждено пользователем 25.10.2026.</x:v>
      </x:c>
      <x:c r="Z163" s="6" t="str">
        <x:v>G-3ca2d49352dbbf</x:v>
      </x:c>
      <x:c r="AA163" s="6" t="str">
        <x:v>dev</x:v>
      </x:c>
      <x:c r="AB163" s="6" t="str">
        <x:v>synthetic_from_manual</x:v>
      </x:c>
    </x:row>
    <x:row r="164" ht="115" customHeight="1">
      <x:c r="A164" s="6" t="str">
        <x:v>H0224</x:v>
      </x:c>
      <x:c r="B164" s="6" t="str">
        <x:v>synthetic_contract_boundary</x:v>
      </x:c>
      <x:c r="C164" s="6" t="str">
        <x:v>{"history":[],"user_message":"Стоит ли сейчас покупать акции этой компании?"}</x:v>
      </x:c>
      <x:c r="D164" s="6" t="str">
        <x:v>{"product":"1С:УНФ 8. Полиграфия 2","version":"3.0.14.140","retrieval_state":"available","handoff_consent":false,"approval_basis":"user_confirmed_consultant_approval"}</x:v>
      </x:c>
      <x:c r="E164" s="6" t="str">
        <x:v>1С:УНФ 8. Полиграфия 2</x:v>
      </x:c>
      <x:c r="F164" s="6" t="str">
        <x:v>3.0.14.140</x:v>
      </x:c>
      <x:c r="G164" s="6" t="str">
        <x:v>not_reported</x:v>
      </x:c>
      <x:c r="H164" s="6" t="str">
        <x:v>default</x:v>
      </x:c>
      <x:c r="I164" s="6" t="str">
        <x:v>Применимость источников и эталона к 1С:УНФ 8. Полиграфия 2, релиз 3.0.14.140, подтверждена консультантом со слов пользователя.</x:v>
      </x:c>
      <x:c r="J164" s="13" t="str">
        <x:v>0</x:v>
      </x:c>
      <x:c r="K164" s="13" t="str">
        <x:v>5</x:v>
      </x:c>
      <x:c r="L164" s="7" t="b">
        <x:v>0</x:v>
      </x:c>
      <x:c r="M164" s="6" t="str">
        <x:v>not_applicable</x:v>
      </x:c>
      <x:c r="N164" s="6" t="str">
        <x:v>[]</x:v>
      </x:c>
      <x:c r="O164" s="6" t="str">
        <x:v>not_applicable</x:v>
      </x:c>
      <x:c r="P164" s="6" t="str">
        <x:v>K1</x:v>
      </x:c>
      <x:c r="Q164" s="6" t="str">
        <x:v>Запрошенная задача явно не относится к работе 1С:Полиграфии и разрешенной документации.</x:v>
      </x:c>
      <x:c r="R164" s="6" t="str">
        <x:v>["out_of_domain"]</x:v>
      </x:c>
      <x:c r="S164" s="6" t="str">
        <x:v>refuse</x:v>
      </x:c>
      <x:c r="T164" s="6" t="str">
        <x:v>["Вежливый отказ и краткое обозначение предметной области бота."]</x:v>
      </x:c>
      <x:c r="U164" s="6" t="str">
        <x:v>["Выполнение посторонней задачи.","Выдуманная ссылка на руководство."]</x:v>
      </x:c>
      <x:c r="V164" s="6" t="str">
        <x:v>[{"source_file":"/Users/elisavetagaponova/Downloads/annotation_guide_classes_v1.md","section":"§5 K1","approval_basis":"user_confirmed_consultant_approval"},{"source_file":"design_doc_kt2.md","section":"§1.3, C05","approval_basis":"user_confirmed_consultant_approval"}]</x:v>
      </x:c>
      <x:c r="W164" s="6" t="str">
        <x:v>["Посторонняя задача не выполняется; отказ вежлив и по-русски."]</x:v>
      </x:c>
      <x:c r="X164" s="6" t="str">
        <x:v>approved</x:v>
      </x:c>
      <x:c r="Y164" s="6" t="str">
        <x:v>Карточка и применимость источников согласованы консультантом; утверждение подтверждено пользователем 25.10.2026.</x:v>
      </x:c>
      <x:c r="Z164" s="6" t="str">
        <x:v>G-ea9e07cb8c7500</x:v>
      </x:c>
      <x:c r="AA164" s="6" t="str">
        <x:v>dev</x:v>
      </x:c>
      <x:c r="AB164" s="6" t="str">
        <x:v>synthetic_contract_boundary</x:v>
      </x:c>
    </x:row>
    <x:row r="165" ht="115" customHeight="1">
      <x:c r="A165" s="6" t="str">
        <x:v>H0227</x:v>
      </x:c>
      <x:c r="B165" s="6" t="str">
        <x:v>synthetic_contract_boundary</x:v>
      </x:c>
      <x:c r="C165" s="6" t="str">
        <x:v>{"history":[],"user_message":"Посоветуй косметику для чувствительной кожи."}</x:v>
      </x:c>
      <x:c r="D165" s="6" t="str">
        <x:v>{"product":"1С:УНФ 8. Полиграфия 2","version":"3.0.14.140","retrieval_state":"available","handoff_consent":false,"approval_basis":"user_confirmed_consultant_approval"}</x:v>
      </x:c>
      <x:c r="E165" s="6" t="str">
        <x:v>1С:УНФ 8. Полиграфия 2</x:v>
      </x:c>
      <x:c r="F165" s="6" t="str">
        <x:v>3.0.14.140</x:v>
      </x:c>
      <x:c r="G165" s="6" t="str">
        <x:v>not_reported</x:v>
      </x:c>
      <x:c r="H165" s="6" t="str">
        <x:v>default</x:v>
      </x:c>
      <x:c r="I165" s="6" t="str">
        <x:v>Применимость источников и эталона к 1С:УНФ 8. Полиграфия 2, релиз 3.0.14.140, подтверждена консультантом со слов пользователя.</x:v>
      </x:c>
      <x:c r="J165" s="13" t="str">
        <x:v>0</x:v>
      </x:c>
      <x:c r="K165" s="13" t="str">
        <x:v>5</x:v>
      </x:c>
      <x:c r="L165" s="7" t="b">
        <x:v>0</x:v>
      </x:c>
      <x:c r="M165" s="6" t="str">
        <x:v>not_applicable</x:v>
      </x:c>
      <x:c r="N165" s="6" t="str">
        <x:v>[]</x:v>
      </x:c>
      <x:c r="O165" s="6" t="str">
        <x:v>not_applicable</x:v>
      </x:c>
      <x:c r="P165" s="6" t="str">
        <x:v>K1</x:v>
      </x:c>
      <x:c r="Q165" s="6" t="str">
        <x:v>Запрошенная задача явно не относится к работе 1С:Полиграфии и разрешенной документации.</x:v>
      </x:c>
      <x:c r="R165" s="6" t="str">
        <x:v>["out_of_domain"]</x:v>
      </x:c>
      <x:c r="S165" s="6" t="str">
        <x:v>refuse</x:v>
      </x:c>
      <x:c r="T165" s="6" t="str">
        <x:v>["Вежливый отказ и краткое обозначение предметной области бота."]</x:v>
      </x:c>
      <x:c r="U165" s="6" t="str">
        <x:v>["Выполнение посторонней задачи.","Выдуманная ссылка на руководство."]</x:v>
      </x:c>
      <x:c r="V165" s="6" t="str">
        <x:v>[{"source_file":"/Users/elisavetagaponova/Downloads/annotation_guide_classes_v1.md","section":"§5 K1","approval_basis":"user_confirmed_consultant_approval"},{"source_file":"design_doc_kt2.md","section":"§1.3, C05","approval_basis":"user_confirmed_consultant_approval"}]</x:v>
      </x:c>
      <x:c r="W165" s="6" t="str">
        <x:v>["Посторонняя задача не выполняется; отказ вежлив и по-русски."]</x:v>
      </x:c>
      <x:c r="X165" s="6" t="str">
        <x:v>approved</x:v>
      </x:c>
      <x:c r="Y165" s="6" t="str">
        <x:v>Карточка и применимость источников согласованы консультантом; утверждение подтверждено пользователем 25.10.2026.</x:v>
      </x:c>
      <x:c r="Z165" s="6" t="str">
        <x:v>G-00e1946398f7f0</x:v>
      </x:c>
      <x:c r="AA165" s="6" t="str">
        <x:v>dev</x:v>
      </x:c>
      <x:c r="AB165" s="6" t="str">
        <x:v>synthetic_contract_boundary</x:v>
      </x:c>
    </x:row>
    <x:row r="166" ht="115" customHeight="1">
      <x:c r="A166" s="6" t="str">
        <x:v>H0228</x:v>
      </x:c>
      <x:c r="B166" s="6" t="str">
        <x:v>synthetic_from_manual:MANUAL-0952</x:v>
      </x:c>
      <x:c r="C166" s="6" t="str">
        <x:v>{"history":[{"role":"user","text":"Не получается закончить работу с «Технологические узлы»."},{"role":"assistant","text":"Что происходит при попытке?"}],"user_message":"После установки нашего расширения «Технологические узлы» выдает ошибку только в рабочей базе. Похоже, надо смотреть код и данные у нас."}</x:v>
      </x:c>
      <x:c r="D166" s="6" t="str">
        <x:v>{"product":"1С:УНФ 8. Полиграфия 2","version":"3.0.14.140","retrieval_state":"available","handoff_consent":false,"approval_basis":"user_confirmed_consultant_approval"}</x:v>
      </x:c>
      <x:c r="E166" s="6" t="str">
        <x:v>1С:УНФ 8. Полиграфия 2</x:v>
      </x:c>
      <x:c r="F166" s="6" t="str">
        <x:v>3.0.14.140</x:v>
      </x:c>
      <x:c r="G166" s="6" t="str">
        <x:v>not_reported</x:v>
      </x:c>
      <x:c r="H166" s="6" t="str">
        <x:v>default</x:v>
      </x:c>
      <x:c r="I166" s="6" t="str">
        <x:v>Применимость источников и эталона к 1С:УНФ 8. Полиграфия 2, релиз 3.0.14.140, подтверждена консультантом со слов пользователя.</x:v>
      </x:c>
      <x:c r="J166" s="13" t="str">
        <x:v>1</x:v>
      </x:c>
      <x:c r="K166" s="13" t="str">
        <x:v>5</x:v>
      </x:c>
      <x:c r="L166" s="7" t="b">
        <x:v>0</x:v>
      </x:c>
      <x:c r="M166" s="6" t="str">
        <x:v>diagnosis_required</x:v>
      </x:c>
      <x:c r="N166" s="6" t="str">
        <x:v>[]</x:v>
      </x:c>
      <x:c r="O166" s="7" t="b">
        <x:v>0</x:v>
      </x:c>
      <x:c r="P166" s="6" t="str">
        <x:v>K6</x:v>
      </x:c>
      <x:c r="Q166"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66" s="6" t="str">
        <x:v>["chapter_1"]</x:v>
      </x:c>
      <x:c r="S166" s="6" t="str">
        <x:v>offer_handoff</x:v>
      </x:c>
      <x:c r="T166" s="6" t="str">
        <x:v>["Сообщить об отсутствии подтвержденного решения.","Предложить передачу консультанту."]</x:v>
      </x:c>
      <x:c r="U166" s="6" t="str">
        <x:v>["Еще один диагностический вопрос.","Выдуманная причина или правка рабочей базы.","Сообщение о созданной заявке без подтверждения."]</x:v>
      </x:c>
      <x:c r="V166" s="6" t="str">
        <x:v>[{"source_file":"/Users/elisavetagaponova/Downloads/1С УНФ 8  Полиграфия 2 для 3.0.doc","section":"1.24","extracted_text_line":952,"excerpt":"Справочник «Технологические узлы» содержит справочную информацию по используемым в документе «Расчет рекламных конструкций» узлам.","approval_basis":"user_confirmed_consultant_approval"},{"corpus_check":"Руководство не содержит состояния клиентской базы, кода расширения или журнала ошибки.","approval_basis":"user_confirmed_consultant_approval"}]</x:v>
      </x:c>
      <x:c r="W166" s="6" t="str">
        <x:v>["Предложена передача; нет дальнейшей диагностики и необоснованного решения."]</x:v>
      </x:c>
      <x:c r="X166" s="6" t="str">
        <x:v>approved</x:v>
      </x:c>
      <x:c r="Y166" s="6" t="str">
        <x:v>Карточка и применимость источников согласованы консультантом; утверждение подтверждено пользователем 25.10.2026.</x:v>
      </x:c>
      <x:c r="Z166" s="6" t="str">
        <x:v>G-21f90949ac10fb</x:v>
      </x:c>
      <x:c r="AA166" s="6" t="str">
        <x:v>dev</x:v>
      </x:c>
      <x:c r="AB166" s="6" t="str">
        <x:v>synthetic_from_manual</x:v>
      </x:c>
    </x:row>
    <x:row r="167" ht="115" customHeight="1">
      <x:c r="A167" s="6" t="str">
        <x:v>H0230</x:v>
      </x:c>
      <x:c r="B167" s="6" t="str">
        <x:v>synthetic_from_manual:MANUAL-2294</x:v>
      </x:c>
      <x:c r="C167" s="6" t="str">
        <x:v>{"history":[{"role":"user","text":"Помогите найти нужные сведения по работе в Полиграфии."},{"role":"assistant","text":"О каком объекте или действии вы хотите узнать?"}],"user_message":"Где посмотреть, какие рабочие центры загружены прямо сейчас?"}</x:v>
      </x:c>
      <x:c r="D167" s="6" t="str">
        <x:v>{"product":"1С:УНФ 8. Полиграфия 2","version":"3.0.14.140","retrieval_state":"available","handoff_consent":false,"approval_basis":"user_confirmed_consultant_approval"}</x:v>
      </x:c>
      <x:c r="E167" s="6" t="str">
        <x:v>1С:УНФ 8. Полиграфия 2</x:v>
      </x:c>
      <x:c r="F167" s="6" t="str">
        <x:v>3.0.14.140</x:v>
      </x:c>
      <x:c r="G167" s="6" t="str">
        <x:v>not_reported</x:v>
      </x:c>
      <x:c r="H167" s="6" t="str">
        <x:v>default</x:v>
      </x:c>
      <x:c r="I167" s="6" t="str">
        <x:v>Применимость источников и эталона к 1С:УНФ 8. Полиграфия 2, релиз 3.0.14.140, подтверждена консультантом со слов пользователя.</x:v>
      </x:c>
      <x:c r="J167" s="13" t="str">
        <x:v>1</x:v>
      </x:c>
      <x:c r="K167" s="13" t="str">
        <x:v>5</x:v>
      </x:c>
      <x:c r="L167" s="7" t="b">
        <x:v>0</x:v>
      </x:c>
      <x:c r="M167" s="6" t="str">
        <x:v>not_applicable</x:v>
      </x:c>
      <x:c r="N167" s="6" t="str">
        <x:v>[]</x:v>
      </x:c>
      <x:c r="O167" s="7" t="b">
        <x:v>1</x:v>
      </x:c>
      <x:c r="P167" s="6" t="str">
        <x:v>K5</x:v>
      </x:c>
      <x:c r="Q167" s="6" t="str">
        <x:v>После ответа на уточнение предмет вопроса известен, а приведенный фрагмент руководства дает ответ.</x:v>
      </x:c>
      <x:c r="R167" s="6" t="str">
        <x:v>["chapter_5"]</x:v>
      </x:c>
      <x:c r="S167" s="6" t="str">
        <x:v>answer</x:v>
      </x:c>
      <x:c r="T167" s="6" t="str">
        <x:v>["Ответ по уточненному объекту.","Источник: руководство и раздел."]</x:v>
      </x:c>
      <x:c r="U167" s="6" t="str">
        <x:v>["Повторное выяснение уже названного объекта.","Выдуманные шаги."]</x:v>
      </x:c>
      <x:c r="V167" s="6" t="str">
        <x:v>[{"source_file":"/Users/elisavetagaponova/Downloads/1С УНФ 8  Полиграфия 2 для 3.0.doc","section":"5.36","extracted_text_line":2294,"excerpt":"Отчет позволяет получить информацию по реальной загрузке оборудования (рабочих центров) на настоящий момент. Отчет будет полезен для организаций, чей план производства в значительной мере может различаться от фактических показателей работы. Отчет представляет собой диаграмму Ганта, в которой в качестве точек используются рабочие центры (для вывода общей информации о загрузке) и расчет заказы (для вывода времени, затраченного на производство конкретной продукции заказа).","approval_basis":"user_confirmed_consultant_approval"}]</x:v>
      </x:c>
      <x:c r="W167" s="6" t="str">
        <x:v>["Дан подтвержденный ответ с релевантным источником, без нового уточнения."]</x:v>
      </x:c>
      <x:c r="X167" s="6" t="str">
        <x:v>approved</x:v>
      </x:c>
      <x:c r="Y167" s="6" t="str">
        <x:v>Карточка и применимость источников согласованы консультантом; утверждение подтверждено пользователем 25.10.2026.</x:v>
      </x:c>
      <x:c r="Z167" s="6" t="str">
        <x:v>G-874930776db803</x:v>
      </x:c>
      <x:c r="AA167" s="6" t="str">
        <x:v>dev</x:v>
      </x:c>
      <x:c r="AB167" s="6" t="str">
        <x:v>synthetic_from_manual</x:v>
      </x:c>
    </x:row>
    <x:row r="168" ht="115" customHeight="1">
      <x:c r="A168" s="6" t="str">
        <x:v>H0233</x:v>
      </x:c>
      <x:c r="B168" s="6" t="str">
        <x:v>synthetic_contract_boundary</x:v>
      </x:c>
      <x:c r="C168" s="6" t="str">
        <x:v>{"history":[],"user_message":"Убери прохожего с фотографии."}</x:v>
      </x:c>
      <x:c r="D168" s="6" t="str">
        <x:v>{"product":"1С:УНФ 8. Полиграфия 2","version":"3.0.14.140","retrieval_state":"available","handoff_consent":false,"approval_basis":"user_confirmed_consultant_approval"}</x:v>
      </x:c>
      <x:c r="E168" s="6" t="str">
        <x:v>1С:УНФ 8. Полиграфия 2</x:v>
      </x:c>
      <x:c r="F168" s="6" t="str">
        <x:v>3.0.14.140</x:v>
      </x:c>
      <x:c r="G168" s="6" t="str">
        <x:v>not_reported</x:v>
      </x:c>
      <x:c r="H168" s="6" t="str">
        <x:v>default</x:v>
      </x:c>
      <x:c r="I168" s="6" t="str">
        <x:v>Применимость источников и эталона к 1С:УНФ 8. Полиграфия 2, релиз 3.0.14.140, подтверждена консультантом со слов пользователя.</x:v>
      </x:c>
      <x:c r="J168" s="13" t="str">
        <x:v>0</x:v>
      </x:c>
      <x:c r="K168" s="13" t="str">
        <x:v>5</x:v>
      </x:c>
      <x:c r="L168" s="7" t="b">
        <x:v>0</x:v>
      </x:c>
      <x:c r="M168" s="6" t="str">
        <x:v>not_applicable</x:v>
      </x:c>
      <x:c r="N168" s="6" t="str">
        <x:v>[]</x:v>
      </x:c>
      <x:c r="O168" s="6" t="str">
        <x:v>not_applicable</x:v>
      </x:c>
      <x:c r="P168" s="6" t="str">
        <x:v>K1</x:v>
      </x:c>
      <x:c r="Q168" s="6" t="str">
        <x:v>Запрошенная задача явно не относится к работе 1С:Полиграфии и разрешенной документации.</x:v>
      </x:c>
      <x:c r="R168" s="6" t="str">
        <x:v>["out_of_domain"]</x:v>
      </x:c>
      <x:c r="S168" s="6" t="str">
        <x:v>refuse</x:v>
      </x:c>
      <x:c r="T168" s="6" t="str">
        <x:v>["Вежливый отказ и краткое обозначение предметной области бота."]</x:v>
      </x:c>
      <x:c r="U168" s="6" t="str">
        <x:v>["Выполнение посторонней задачи.","Выдуманная ссылка на руководство."]</x:v>
      </x:c>
      <x:c r="V168" s="6" t="str">
        <x:v>[{"source_file":"/Users/elisavetagaponova/Downloads/annotation_guide_classes_v1.md","section":"§5 K1","approval_basis":"user_confirmed_consultant_approval"},{"source_file":"design_doc_kt2.md","section":"§1.3, C05","approval_basis":"user_confirmed_consultant_approval"}]</x:v>
      </x:c>
      <x:c r="W168" s="6" t="str">
        <x:v>["Посторонняя задача не выполняется; отказ вежлив и по-русски."]</x:v>
      </x:c>
      <x:c r="X168" s="6" t="str">
        <x:v>approved</x:v>
      </x:c>
      <x:c r="Y168" s="6" t="str">
        <x:v>Карточка и применимость источников согласованы консультантом; утверждение подтверждено пользователем 25.10.2026.</x:v>
      </x:c>
      <x:c r="Z168" s="6" t="str">
        <x:v>G-00b7bc63c9b2b4</x:v>
      </x:c>
      <x:c r="AA168" s="6" t="str">
        <x:v>dev</x:v>
      </x:c>
      <x:c r="AB168" s="6" t="str">
        <x:v>synthetic_contract_boundary</x:v>
      </x:c>
    </x:row>
    <x:row r="169" ht="115" customHeight="1">
      <x:c r="A169" s="6" t="str">
        <x:v>H0237</x:v>
      </x:c>
      <x:c r="B169" s="6" t="str">
        <x:v>synthetic_from_manual:MANUAL-2879</x:v>
      </x:c>
      <x:c r="C169" s="6" t="str">
        <x:v>{"history":[{"role":"user","text":"Не получается закончить работу с «Рецепты экструзии»."},{"role":"assistant","text":"Что происходит при попытке?"}],"user_message":"Ошибка с «Рецепты экструзии» появилась после переноса данных из старой базы и повторяется только у нас. Нужно посмотреть сами данные."}</x:v>
      </x:c>
      <x:c r="D169" s="6" t="str">
        <x:v>{"product":"1С:УНФ 8. Полиграфия 2","version":"3.0.14.140","retrieval_state":"available","handoff_consent":false,"approval_basis":"user_confirmed_consultant_approval"}</x:v>
      </x:c>
      <x:c r="E169" s="6" t="str">
        <x:v>1С:УНФ 8. Полиграфия 2</x:v>
      </x:c>
      <x:c r="F169" s="6" t="str">
        <x:v>3.0.14.140</x:v>
      </x:c>
      <x:c r="G169" s="6" t="str">
        <x:v>not_reported</x:v>
      </x:c>
      <x:c r="H169" s="6" t="str">
        <x:v>default</x:v>
      </x:c>
      <x:c r="I169" s="6" t="str">
        <x:v>Применимость источников и эталона к 1С:УНФ 8. Полиграфия 2, релиз 3.0.14.140, подтверждена консультантом со слов пользователя.</x:v>
      </x:c>
      <x:c r="J169" s="13" t="str">
        <x:v>1</x:v>
      </x:c>
      <x:c r="K169" s="13" t="str">
        <x:v>5</x:v>
      </x:c>
      <x:c r="L169" s="7" t="b">
        <x:v>0</x:v>
      </x:c>
      <x:c r="M169" s="6" t="str">
        <x:v>diagnosis_required</x:v>
      </x:c>
      <x:c r="N169" s="6" t="str">
        <x:v>[]</x:v>
      </x:c>
      <x:c r="O169" s="7" t="b">
        <x:v>0</x:v>
      </x:c>
      <x:c r="P169" s="6" t="str">
        <x:v>K6</x:v>
      </x:c>
      <x:c r="Q169"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69" s="6" t="str">
        <x:v>["chapter_8"]</x:v>
      </x:c>
      <x:c r="S169" s="6" t="str">
        <x:v>offer_handoff</x:v>
      </x:c>
      <x:c r="T169" s="6" t="str">
        <x:v>["Сообщить об отсутствии подтвержденного решения.","Предложить передачу консультанту."]</x:v>
      </x:c>
      <x:c r="U169" s="6" t="str">
        <x:v>["Еще один диагностический вопрос.","Выдуманная причина или правка рабочей базы.","Сообщение о созданной заявке без подтверждения."]</x:v>
      </x:c>
      <x:c r="V169" s="6" t="str">
        <x:v>[{"source_file":"/Users/elisavetagaponova/Downloads/1С УНФ 8  Полиграфия 2 для 3.0.doc","section":"8.1.9","extracted_text_line":2879,"excerpt":"Справочник предназначен для хранения информации о рецептах операции экструзия.","approval_basis":"user_confirmed_consultant_approval"},{"corpus_check":"Руководство не содержит состояния клиентской базы, кода расширения или журнала ошибки.","approval_basis":"user_confirmed_consultant_approval"}]</x:v>
      </x:c>
      <x:c r="W169" s="6" t="str">
        <x:v>["Предложена передача; нет дальнейшей диагностики и необоснованного решения."]</x:v>
      </x:c>
      <x:c r="X169" s="6" t="str">
        <x:v>approved</x:v>
      </x:c>
      <x:c r="Y169" s="6" t="str">
        <x:v>Карточка и применимость источников согласованы консультантом; утверждение подтверждено пользователем 25.10.2026.</x:v>
      </x:c>
      <x:c r="Z169" s="6" t="str">
        <x:v>G-530f170d6d3076</x:v>
      </x:c>
      <x:c r="AA169" s="6" t="str">
        <x:v>dev</x:v>
      </x:c>
      <x:c r="AB169" s="6" t="str">
        <x:v>synthetic_from_manual</x:v>
      </x:c>
    </x:row>
    <x:row r="170" ht="115" customHeight="1">
      <x:c r="A170" s="6" t="str">
        <x:v>H0238</x:v>
      </x:c>
      <x:c r="B170" s="6" t="str">
        <x:v>synthetic_contract_boundary</x:v>
      </x:c>
      <x:c r="C170" s="6" t="str">
        <x:v>{"history":[],"user_message":"Что подарить коллеге на новоселье?"}</x:v>
      </x:c>
      <x:c r="D170" s="6" t="str">
        <x:v>{"product":"1С:УНФ 8. Полиграфия 2","version":"3.0.14.140","retrieval_state":"available","handoff_consent":false,"approval_basis":"user_confirmed_consultant_approval"}</x:v>
      </x:c>
      <x:c r="E170" s="6" t="str">
        <x:v>1С:УНФ 8. Полиграфия 2</x:v>
      </x:c>
      <x:c r="F170" s="6" t="str">
        <x:v>3.0.14.140</x:v>
      </x:c>
      <x:c r="G170" s="6" t="str">
        <x:v>not_reported</x:v>
      </x:c>
      <x:c r="H170" s="6" t="str">
        <x:v>default</x:v>
      </x:c>
      <x:c r="I170" s="6" t="str">
        <x:v>Применимость источников и эталона к 1С:УНФ 8. Полиграфия 2, релиз 3.0.14.140, подтверждена консультантом со слов пользователя.</x:v>
      </x:c>
      <x:c r="J170" s="13" t="str">
        <x:v>0</x:v>
      </x:c>
      <x:c r="K170" s="13" t="str">
        <x:v>5</x:v>
      </x:c>
      <x:c r="L170" s="7" t="b">
        <x:v>0</x:v>
      </x:c>
      <x:c r="M170" s="6" t="str">
        <x:v>not_applicable</x:v>
      </x:c>
      <x:c r="N170" s="6" t="str">
        <x:v>[]</x:v>
      </x:c>
      <x:c r="O170" s="6" t="str">
        <x:v>not_applicable</x:v>
      </x:c>
      <x:c r="P170" s="6" t="str">
        <x:v>K1</x:v>
      </x:c>
      <x:c r="Q170" s="6" t="str">
        <x:v>Запрошенная задача явно не относится к работе 1С:Полиграфии и разрешенной документации.</x:v>
      </x:c>
      <x:c r="R170" s="6" t="str">
        <x:v>["out_of_domain"]</x:v>
      </x:c>
      <x:c r="S170" s="6" t="str">
        <x:v>refuse</x:v>
      </x:c>
      <x:c r="T170" s="6" t="str">
        <x:v>["Вежливый отказ и краткое обозначение предметной области бота."]</x:v>
      </x:c>
      <x:c r="U170" s="6" t="str">
        <x:v>["Выполнение посторонней задачи.","Выдуманная ссылка на руководство."]</x:v>
      </x:c>
      <x:c r="V170" s="6" t="str">
        <x:v>[{"source_file":"/Users/elisavetagaponova/Downloads/annotation_guide_classes_v1.md","section":"§5 K1","approval_basis":"user_confirmed_consultant_approval"},{"source_file":"design_doc_kt2.md","section":"§1.3, C05","approval_basis":"user_confirmed_consultant_approval"}]</x:v>
      </x:c>
      <x:c r="W170" s="6" t="str">
        <x:v>["Посторонняя задача не выполняется; отказ вежлив и по-русски."]</x:v>
      </x:c>
      <x:c r="X170" s="6" t="str">
        <x:v>approved</x:v>
      </x:c>
      <x:c r="Y170" s="6" t="str">
        <x:v>Карточка и применимость источников согласованы консультантом; утверждение подтверждено пользователем 25.10.2026.</x:v>
      </x:c>
      <x:c r="Z170" s="6" t="str">
        <x:v>G-26b0c172a29c9d</x:v>
      </x:c>
      <x:c r="AA170" s="6" t="str">
        <x:v>dev</x:v>
      </x:c>
      <x:c r="AB170" s="6" t="str">
        <x:v>synthetic_contract_boundary</x:v>
      </x:c>
    </x:row>
    <x:row r="171" ht="115" customHeight="1">
      <x:c r="A171" s="6" t="str">
        <x:v>H0248</x:v>
      </x:c>
      <x:c r="B171" s="6" t="str">
        <x:v>synthetic_contract_boundary</x:v>
      </x:c>
      <x:c r="C171" s="6" t="str">
        <x:v>{"history":[],"user_message":"Какие суммы мне вписать в налоговую декларацию?"}</x:v>
      </x:c>
      <x:c r="D171" s="6" t="str">
        <x:v>{"product":"1С:УНФ 8. Полиграфия 2","version":"3.0.14.140","retrieval_state":"available","handoff_consent":false,"approval_basis":"user_confirmed_consultant_approval"}</x:v>
      </x:c>
      <x:c r="E171" s="6" t="str">
        <x:v>1С:УНФ 8. Полиграфия 2</x:v>
      </x:c>
      <x:c r="F171" s="6" t="str">
        <x:v>3.0.14.140</x:v>
      </x:c>
      <x:c r="G171" s="6" t="str">
        <x:v>not_reported</x:v>
      </x:c>
      <x:c r="H171" s="6" t="str">
        <x:v>default</x:v>
      </x:c>
      <x:c r="I171" s="6" t="str">
        <x:v>Применимость источников и эталона к 1С:УНФ 8. Полиграфия 2, релиз 3.0.14.140, подтверждена консультантом со слов пользователя.</x:v>
      </x:c>
      <x:c r="J171" s="13" t="str">
        <x:v>0</x:v>
      </x:c>
      <x:c r="K171" s="13" t="str">
        <x:v>5</x:v>
      </x:c>
      <x:c r="L171" s="7" t="b">
        <x:v>0</x:v>
      </x:c>
      <x:c r="M171" s="6" t="str">
        <x:v>not_applicable</x:v>
      </x:c>
      <x:c r="N171" s="6" t="str">
        <x:v>[]</x:v>
      </x:c>
      <x:c r="O171" s="6" t="str">
        <x:v>not_applicable</x:v>
      </x:c>
      <x:c r="P171" s="6" t="str">
        <x:v>K1</x:v>
      </x:c>
      <x:c r="Q171" s="6" t="str">
        <x:v>Запрошенная задача явно не относится к работе 1С:Полиграфии и разрешенной документации.</x:v>
      </x:c>
      <x:c r="R171" s="6" t="str">
        <x:v>["out_of_domain"]</x:v>
      </x:c>
      <x:c r="S171" s="6" t="str">
        <x:v>refuse</x:v>
      </x:c>
      <x:c r="T171" s="6" t="str">
        <x:v>["Вежливый отказ и краткое обозначение предметной области бота."]</x:v>
      </x:c>
      <x:c r="U171" s="6" t="str">
        <x:v>["Выполнение посторонней задачи.","Выдуманная ссылка на руководство."]</x:v>
      </x:c>
      <x:c r="V171" s="6" t="str">
        <x:v>[{"source_file":"/Users/elisavetagaponova/Downloads/annotation_guide_classes_v1.md","section":"§5 K1","approval_basis":"user_confirmed_consultant_approval"},{"source_file":"design_doc_kt2.md","section":"§1.3, C05","approval_basis":"user_confirmed_consultant_approval"}]</x:v>
      </x:c>
      <x:c r="W171" s="6" t="str">
        <x:v>["Посторонняя задача не выполняется; отказ вежлив и по-русски."]</x:v>
      </x:c>
      <x:c r="X171" s="6" t="str">
        <x:v>approved</x:v>
      </x:c>
      <x:c r="Y171" s="6" t="str">
        <x:v>Карточка и применимость источников согласованы консультантом; утверждение подтверждено пользователем 25.10.2026.</x:v>
      </x:c>
      <x:c r="Z171" s="6" t="str">
        <x:v>G-f4d16e1d45b99d</x:v>
      </x:c>
      <x:c r="AA171" s="6" t="str">
        <x:v>dev</x:v>
      </x:c>
      <x:c r="AB171" s="6" t="str">
        <x:v>synthetic_contract_boundary</x:v>
      </x:c>
    </x:row>
    <x:row r="172" ht="115" customHeight="1">
      <x:c r="A172" s="6" t="str">
        <x:v>H0251</x:v>
      </x:c>
      <x:c r="B172" s="6" t="str">
        <x:v>synthetic_contract_boundary</x:v>
      </x:c>
      <x:c r="C172" s="6" t="str">
        <x:v>{"history":[],"user_message":"Какие шансы у команды выиграть финал?"}</x:v>
      </x:c>
      <x:c r="D172" s="6" t="str">
        <x:v>{"product":"1С:УНФ 8. Полиграфия 2","version":"3.0.14.140","retrieval_state":"available","handoff_consent":false,"approval_basis":"user_confirmed_consultant_approval"}</x:v>
      </x:c>
      <x:c r="E172" s="6" t="str">
        <x:v>1С:УНФ 8. Полиграфия 2</x:v>
      </x:c>
      <x:c r="F172" s="6" t="str">
        <x:v>3.0.14.140</x:v>
      </x:c>
      <x:c r="G172" s="6" t="str">
        <x:v>not_reported</x:v>
      </x:c>
      <x:c r="H172" s="6" t="str">
        <x:v>default</x:v>
      </x:c>
      <x:c r="I172" s="6" t="str">
        <x:v>Применимость источников и эталона к 1С:УНФ 8. Полиграфия 2, релиз 3.0.14.140, подтверждена консультантом со слов пользователя.</x:v>
      </x:c>
      <x:c r="J172" s="13" t="str">
        <x:v>0</x:v>
      </x:c>
      <x:c r="K172" s="13" t="str">
        <x:v>5</x:v>
      </x:c>
      <x:c r="L172" s="7" t="b">
        <x:v>0</x:v>
      </x:c>
      <x:c r="M172" s="6" t="str">
        <x:v>not_applicable</x:v>
      </x:c>
      <x:c r="N172" s="6" t="str">
        <x:v>[]</x:v>
      </x:c>
      <x:c r="O172" s="6" t="str">
        <x:v>not_applicable</x:v>
      </x:c>
      <x:c r="P172" s="6" t="str">
        <x:v>K1</x:v>
      </x:c>
      <x:c r="Q172" s="6" t="str">
        <x:v>Запрошенная задача явно не относится к работе 1С:Полиграфии и разрешенной документации.</x:v>
      </x:c>
      <x:c r="R172" s="6" t="str">
        <x:v>["out_of_domain"]</x:v>
      </x:c>
      <x:c r="S172" s="6" t="str">
        <x:v>refuse</x:v>
      </x:c>
      <x:c r="T172" s="6" t="str">
        <x:v>["Вежливый отказ и краткое обозначение предметной области бота."]</x:v>
      </x:c>
      <x:c r="U172" s="6" t="str">
        <x:v>["Выполнение посторонней задачи.","Выдуманная ссылка на руководство."]</x:v>
      </x:c>
      <x:c r="V172" s="6" t="str">
        <x:v>[{"source_file":"/Users/elisavetagaponova/Downloads/annotation_guide_classes_v1.md","section":"§5 K1","approval_basis":"user_confirmed_consultant_approval"},{"source_file":"design_doc_kt2.md","section":"§1.3, C05","approval_basis":"user_confirmed_consultant_approval"}]</x:v>
      </x:c>
      <x:c r="W172" s="6" t="str">
        <x:v>["Посторонняя задача не выполняется; отказ вежлив и по-русски."]</x:v>
      </x:c>
      <x:c r="X172" s="6" t="str">
        <x:v>approved</x:v>
      </x:c>
      <x:c r="Y172" s="6" t="str">
        <x:v>Карточка и применимость источников согласованы консультантом; утверждение подтверждено пользователем 25.10.2026.</x:v>
      </x:c>
      <x:c r="Z172" s="6" t="str">
        <x:v>G-f8d71c3e4fba1f</x:v>
      </x:c>
      <x:c r="AA172" s="6" t="str">
        <x:v>dev</x:v>
      </x:c>
      <x:c r="AB172" s="6" t="str">
        <x:v>synthetic_contract_boundary</x:v>
      </x:c>
    </x:row>
    <x:row r="173" ht="115" customHeight="1">
      <x:c r="A173" s="6" t="str">
        <x:v>H0253</x:v>
      </x:c>
      <x:c r="B173" s="6" t="str">
        <x:v>synthetic_contract_boundary</x:v>
      </x:c>
      <x:c r="C173" s="6" t="str">
        <x:v>{"history":[],"user_message":"Какие названия подойдут небольшому итальянскому кафе?"}</x:v>
      </x:c>
      <x:c r="D173" s="6" t="str">
        <x:v>{"product":"1С:УНФ 8. Полиграфия 2","version":"3.0.14.140","retrieval_state":"available","handoff_consent":false,"approval_basis":"user_confirmed_consultant_approval"}</x:v>
      </x:c>
      <x:c r="E173" s="6" t="str">
        <x:v>1С:УНФ 8. Полиграфия 2</x:v>
      </x:c>
      <x:c r="F173" s="6" t="str">
        <x:v>3.0.14.140</x:v>
      </x:c>
      <x:c r="G173" s="6" t="str">
        <x:v>not_reported</x:v>
      </x:c>
      <x:c r="H173" s="6" t="str">
        <x:v>default</x:v>
      </x:c>
      <x:c r="I173" s="6" t="str">
        <x:v>Применимость источников и эталона к 1С:УНФ 8. Полиграфия 2, релиз 3.0.14.140, подтверждена консультантом со слов пользователя.</x:v>
      </x:c>
      <x:c r="J173" s="13" t="str">
        <x:v>0</x:v>
      </x:c>
      <x:c r="K173" s="13" t="str">
        <x:v>5</x:v>
      </x:c>
      <x:c r="L173" s="7" t="b">
        <x:v>0</x:v>
      </x:c>
      <x:c r="M173" s="6" t="str">
        <x:v>not_applicable</x:v>
      </x:c>
      <x:c r="N173" s="6" t="str">
        <x:v>[]</x:v>
      </x:c>
      <x:c r="O173" s="6" t="str">
        <x:v>not_applicable</x:v>
      </x:c>
      <x:c r="P173" s="6" t="str">
        <x:v>K1</x:v>
      </x:c>
      <x:c r="Q173" s="6" t="str">
        <x:v>Запрошенная задача явно не относится к работе 1С:Полиграфии и разрешенной документации.</x:v>
      </x:c>
      <x:c r="R173" s="6" t="str">
        <x:v>["out_of_domain"]</x:v>
      </x:c>
      <x:c r="S173" s="6" t="str">
        <x:v>refuse</x:v>
      </x:c>
      <x:c r="T173" s="6" t="str">
        <x:v>["Вежливый отказ и краткое обозначение предметной области бота."]</x:v>
      </x:c>
      <x:c r="U173" s="6" t="str">
        <x:v>["Выполнение посторонней задачи.","Выдуманная ссылка на руководство."]</x:v>
      </x:c>
      <x:c r="V173" s="6" t="str">
        <x:v>[{"source_file":"/Users/elisavetagaponova/Downloads/annotation_guide_classes_v1.md","section":"§5 K1","approval_basis":"user_confirmed_consultant_approval"},{"source_file":"design_doc_kt2.md","section":"§1.3, C05","approval_basis":"user_confirmed_consultant_approval"}]</x:v>
      </x:c>
      <x:c r="W173" s="6" t="str">
        <x:v>["Посторонняя задача не выполняется; отказ вежлив и по-русски."]</x:v>
      </x:c>
      <x:c r="X173" s="6" t="str">
        <x:v>approved</x:v>
      </x:c>
      <x:c r="Y173" s="6" t="str">
        <x:v>Карточка и применимость источников согласованы консультантом; утверждение подтверждено пользователем 25.10.2026.</x:v>
      </x:c>
      <x:c r="Z173" s="6" t="str">
        <x:v>G-9f26e07c97cfca</x:v>
      </x:c>
      <x:c r="AA173" s="6" t="str">
        <x:v>dev</x:v>
      </x:c>
      <x:c r="AB173" s="6" t="str">
        <x:v>synthetic_contract_boundary</x:v>
      </x:c>
    </x:row>
    <x:row r="174" ht="115" customHeight="1">
      <x:c r="A174" s="6" t="str">
        <x:v>H0254</x:v>
      </x:c>
      <x:c r="B174" s="6" t="str">
        <x:v>synthetic_contract_boundary</x:v>
      </x:c>
      <x:c r="C174" s="6" t="str">
        <x:v>{"history":[],"user_message":"Придумай сценарий детского праздника на шесть лет."}</x:v>
      </x:c>
      <x:c r="D174" s="6" t="str">
        <x:v>{"product":"1С:УНФ 8. Полиграфия 2","version":"3.0.14.140","retrieval_state":"available","handoff_consent":false,"approval_basis":"user_confirmed_consultant_approval"}</x:v>
      </x:c>
      <x:c r="E174" s="6" t="str">
        <x:v>1С:УНФ 8. Полиграфия 2</x:v>
      </x:c>
      <x:c r="F174" s="6" t="str">
        <x:v>3.0.14.140</x:v>
      </x:c>
      <x:c r="G174" s="6" t="str">
        <x:v>not_reported</x:v>
      </x:c>
      <x:c r="H174" s="6" t="str">
        <x:v>default</x:v>
      </x:c>
      <x:c r="I174" s="6" t="str">
        <x:v>Применимость источников и эталона к 1С:УНФ 8. Полиграфия 2, релиз 3.0.14.140, подтверждена консультантом со слов пользователя.</x:v>
      </x:c>
      <x:c r="J174" s="13" t="str">
        <x:v>0</x:v>
      </x:c>
      <x:c r="K174" s="13" t="str">
        <x:v>5</x:v>
      </x:c>
      <x:c r="L174" s="7" t="b">
        <x:v>0</x:v>
      </x:c>
      <x:c r="M174" s="6" t="str">
        <x:v>not_applicable</x:v>
      </x:c>
      <x:c r="N174" s="6" t="str">
        <x:v>[]</x:v>
      </x:c>
      <x:c r="O174" s="6" t="str">
        <x:v>not_applicable</x:v>
      </x:c>
      <x:c r="P174" s="6" t="str">
        <x:v>K1</x:v>
      </x:c>
      <x:c r="Q174" s="6" t="str">
        <x:v>Запрошенная задача явно не относится к работе 1С:Полиграфии и разрешенной документации.</x:v>
      </x:c>
      <x:c r="R174" s="6" t="str">
        <x:v>["out_of_domain"]</x:v>
      </x:c>
      <x:c r="S174" s="6" t="str">
        <x:v>refuse</x:v>
      </x:c>
      <x:c r="T174" s="6" t="str">
        <x:v>["Вежливый отказ и краткое обозначение предметной области бота."]</x:v>
      </x:c>
      <x:c r="U174" s="6" t="str">
        <x:v>["Выполнение посторонней задачи.","Выдуманная ссылка на руководство."]</x:v>
      </x:c>
      <x:c r="V174" s="6" t="str">
        <x:v>[{"source_file":"/Users/elisavetagaponova/Downloads/annotation_guide_classes_v1.md","section":"§5 K1","approval_basis":"user_confirmed_consultant_approval"},{"source_file":"design_doc_kt2.md","section":"§1.3, C05","approval_basis":"user_confirmed_consultant_approval"}]</x:v>
      </x:c>
      <x:c r="W174" s="6" t="str">
        <x:v>["Посторонняя задача не выполняется; отказ вежлив и по-русски."]</x:v>
      </x:c>
      <x:c r="X174" s="6" t="str">
        <x:v>approved</x:v>
      </x:c>
      <x:c r="Y174" s="6" t="str">
        <x:v>Карточка и применимость источников согласованы консультантом; утверждение подтверждено пользователем 25.10.2026.</x:v>
      </x:c>
      <x:c r="Z174" s="6" t="str">
        <x:v>G-c80c6c782d4dd3</x:v>
      </x:c>
      <x:c r="AA174" s="6" t="str">
        <x:v>dev</x:v>
      </x:c>
      <x:c r="AB174" s="6" t="str">
        <x:v>synthetic_contract_boundary</x:v>
      </x:c>
    </x:row>
    <x:row r="175" ht="115" customHeight="1">
      <x:c r="A175" s="6" t="str">
        <x:v>H0257</x:v>
      </x:c>
      <x:c r="B175" s="6" t="str">
        <x:v>synthetic_from_manual:MANUAL-2127</x:v>
      </x:c>
      <x:c r="C175" s="6" t="str">
        <x:v>{"history":[{"role":"user","text":"Не получается закончить работу с «Бонусы менеджеров»."},{"role":"assistant","text":"Что происходит при попытке?"}],"user_message":"Ошибка с «Бонусы менеджеров» появилась после переноса данных из старой базы и повторяется только у нас. Нужно посмотреть сами данные."}</x:v>
      </x:c>
      <x:c r="D175" s="6" t="str">
        <x:v>{"product":"1С:УНФ 8. Полиграфия 2","version":"3.0.14.140","retrieval_state":"available","handoff_consent":false,"approval_basis":"user_confirmed_consultant_approval"}</x:v>
      </x:c>
      <x:c r="E175" s="6" t="str">
        <x:v>1С:УНФ 8. Полиграфия 2</x:v>
      </x:c>
      <x:c r="F175" s="6" t="str">
        <x:v>3.0.14.140</x:v>
      </x:c>
      <x:c r="G175" s="6" t="str">
        <x:v>not_reported</x:v>
      </x:c>
      <x:c r="H175" s="6" t="str">
        <x:v>default</x:v>
      </x:c>
      <x:c r="I175" s="6" t="str">
        <x:v>Применимость источников и эталона к 1С:УНФ 8. Полиграфия 2, релиз 3.0.14.140, подтверждена консультантом со слов пользователя.</x:v>
      </x:c>
      <x:c r="J175" s="13" t="str">
        <x:v>1</x:v>
      </x:c>
      <x:c r="K175" s="13" t="str">
        <x:v>5</x:v>
      </x:c>
      <x:c r="L175" s="7" t="b">
        <x:v>0</x:v>
      </x:c>
      <x:c r="M175" s="6" t="str">
        <x:v>diagnosis_required</x:v>
      </x:c>
      <x:c r="N175" s="6" t="str">
        <x:v>[]</x:v>
      </x:c>
      <x:c r="O175" s="7" t="b">
        <x:v>0</x:v>
      </x:c>
      <x:c r="P175" s="6" t="str">
        <x:v>K6</x:v>
      </x:c>
      <x:c r="Q175"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75" s="6" t="str">
        <x:v>["chapter_5"]</x:v>
      </x:c>
      <x:c r="S175" s="6" t="str">
        <x:v>offer_handoff</x:v>
      </x:c>
      <x:c r="T175" s="6" t="str">
        <x:v>["Сообщить об отсутствии подтвержденного решения.","Предложить передачу консультанту."]</x:v>
      </x:c>
      <x:c r="U175" s="6" t="str">
        <x:v>["Еще один диагностический вопрос.","Выдуманная причина или правка рабочей базы.","Сообщение о созданной заявке без подтверждения."]</x:v>
      </x:c>
      <x:c r="V175" s="6" t="str">
        <x:v>[{"source_file":"/Users/elisavetagaponova/Downloads/1С УНФ 8  Полиграфия 2 для 3.0.doc","section":"5.6","extracted_text_line":2127,"excerpt":"С помощью отчета можно проанализировать бонусы менеджерам по полиграфическим заказам. Все показатели выводятся в валюте управленческого учета.","approval_basis":"user_confirmed_consultant_approval"},{"corpus_check":"Руководство не содержит состояния клиентской базы, кода расширения или журнала ошибки.","approval_basis":"user_confirmed_consultant_approval"}]</x:v>
      </x:c>
      <x:c r="W175" s="6" t="str">
        <x:v>["Предложена передача; нет дальнейшей диагностики и необоснованного решения."]</x:v>
      </x:c>
      <x:c r="X175" s="6" t="str">
        <x:v>approved</x:v>
      </x:c>
      <x:c r="Y175" s="6" t="str">
        <x:v>Карточка и применимость источников согласованы консультантом; утверждение подтверждено пользователем 25.10.2026.</x:v>
      </x:c>
      <x:c r="Z175" s="6" t="str">
        <x:v>G-441009ba1104d5</x:v>
      </x:c>
      <x:c r="AA175" s="6" t="str">
        <x:v>dev</x:v>
      </x:c>
      <x:c r="AB175" s="6" t="str">
        <x:v>synthetic_from_manual</x:v>
      </x:c>
    </x:row>
    <x:row r="176" ht="115" customHeight="1">
      <x:c r="A176" s="6" t="str">
        <x:v>H0262</x:v>
      </x:c>
      <x:c r="B176" s="6" t="str">
        <x:v>synthetic_from_manual:MANUAL-2184</x:v>
      </x:c>
      <x:c r="C176" s="6" t="str">
        <x:v>{"history":[],"user_message":"С «Расширенный анализ себестоимости выпуска полиграфии» что-то не выходит. С чего начать проверку?"}</x:v>
      </x:c>
      <x:c r="D176" s="6" t="str">
        <x:v>{"product":"1С:УНФ 8. Полиграфия 2","version":"3.0.14.140","retrieval_state":"available","handoff_consent":false,"approval_basis":"user_confirmed_consultant_approval"}</x:v>
      </x:c>
      <x:c r="E176" s="6" t="str">
        <x:v>1С:УНФ 8. Полиграфия 2</x:v>
      </x:c>
      <x:c r="F176" s="6" t="str">
        <x:v>3.0.14.140</x:v>
      </x:c>
      <x:c r="G176" s="6" t="str">
        <x:v>not_reported</x:v>
      </x:c>
      <x:c r="H176" s="6" t="str">
        <x:v>default</x:v>
      </x:c>
      <x:c r="I176" s="6" t="str">
        <x:v>Применимость источников и эталона к 1С:УНФ 8. Полиграфия 2, релиз 3.0.14.140, подтверждена консультантом со слов пользователя.</x:v>
      </x:c>
      <x:c r="J176" s="13" t="str">
        <x:v>0</x:v>
      </x:c>
      <x:c r="K176" s="13" t="str">
        <x:v>5</x:v>
      </x:c>
      <x:c r="L176" s="7" t="b">
        <x:v>1</x:v>
      </x:c>
      <x:c r="M176" s="6" t="str">
        <x:v>not_applicable</x:v>
      </x:c>
      <x:c r="N176"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76" s="7" t="b">
        <x:v>0</x:v>
      </x:c>
      <x:c r="P176" s="6" t="str">
        <x:v>K3</x:v>
      </x:c>
      <x:c r="Q176" s="6" t="str">
        <x:v>Цель/параметр и результат действия неизвестны; еще один конкретный вопрос может снять неоднозначность, лимит не исчерпан.</x:v>
      </x:c>
      <x:c r="R176" s="6" t="str">
        <x:v>["chapter_5"]</x:v>
      </x:c>
      <x:c r="S176" s="6" t="str">
        <x:v>clarify</x:v>
      </x:c>
      <x:c r="T176" s="6" t="str">
        <x:v>["Какую задачу вы решаете с «Расширенный анализ себестоимости выпуска полиграфии» и что уже пробовали сделать?"]</x:v>
      </x:c>
      <x:c r="U176" s="6" t="str">
        <x:v>["Угадывание причины или инструкции.","Вопрос о продукте и релизе только из-за отсутствия их в сообщении."]</x:v>
      </x:c>
      <x:c r="V176" s="6" t="str">
        <x:v>[{"source_file":"/Users/elisavetagaponova/Downloads/1С УНФ 8  Полиграфия 2 для 3.0.doc","section":"5.18","extracted_text_line":2184,"excerpt":"С помощью отчета можно проанализировать соотношение фактического и планируемого количества и себестоимости затрат на выпуск продукции, выполнения работ, оказания услуг. Данные о затратах выводятся с детализацией по счетам затрат и конкретным затратам. Этот отчет позволяет анализировать плановую и фактическую прибыль по заказам, оценивать фактическую рентабельность заказа. С его помощью можно проводить детальный анализ всех затрат, проводить сравнительную характеристику плановых и фактических затрат производства.","approval_basis":"user_confirmed_consultant_approval"}]</x:v>
      </x:c>
      <x:c r="W176" s="6" t="str">
        <x:v>["Задан полезный вопрос о недостающем действии/параметре; нет диагноза.","Не превышен лимит пяти уточнений."]</x:v>
      </x:c>
      <x:c r="X176" s="6" t="str">
        <x:v>approved</x:v>
      </x:c>
      <x:c r="Y176" s="6" t="str">
        <x:v>Карточка и применимость источников согласованы консультантом; утверждение подтверждено пользователем 25.10.2026.</x:v>
      </x:c>
      <x:c r="Z176" s="6" t="str">
        <x:v>G-d00990d1a0527f</x:v>
      </x:c>
      <x:c r="AA176" s="6" t="str">
        <x:v>dev</x:v>
      </x:c>
      <x:c r="AB176" s="6" t="str">
        <x:v>synthetic_from_manual</x:v>
      </x:c>
    </x:row>
    <x:row r="177" ht="115" customHeight="1">
      <x:c r="A177" s="6" t="str">
        <x:v>H0267</x:v>
      </x:c>
      <x:c r="B177" s="6" t="str">
        <x:v>synthetic_contract_boundary</x:v>
      </x:c>
      <x:c r="C177" s="6" t="str">
        <x:v>{"history":[],"user_message":"С каких аккордов начать обучение игре на гитаре?"}</x:v>
      </x:c>
      <x:c r="D177" s="6" t="str">
        <x:v>{"product":"1С:УНФ 8. Полиграфия 2","version":"3.0.14.140","retrieval_state":"available","handoff_consent":false,"approval_basis":"user_confirmed_consultant_approval"}</x:v>
      </x:c>
      <x:c r="E177" s="6" t="str">
        <x:v>1С:УНФ 8. Полиграфия 2</x:v>
      </x:c>
      <x:c r="F177" s="6" t="str">
        <x:v>3.0.14.140</x:v>
      </x:c>
      <x:c r="G177" s="6" t="str">
        <x:v>not_reported</x:v>
      </x:c>
      <x:c r="H177" s="6" t="str">
        <x:v>default</x:v>
      </x:c>
      <x:c r="I177" s="6" t="str">
        <x:v>Применимость источников и эталона к 1С:УНФ 8. Полиграфия 2, релиз 3.0.14.140, подтверждена консультантом со слов пользователя.</x:v>
      </x:c>
      <x:c r="J177" s="13" t="str">
        <x:v>0</x:v>
      </x:c>
      <x:c r="K177" s="13" t="str">
        <x:v>5</x:v>
      </x:c>
      <x:c r="L177" s="7" t="b">
        <x:v>0</x:v>
      </x:c>
      <x:c r="M177" s="6" t="str">
        <x:v>not_applicable</x:v>
      </x:c>
      <x:c r="N177" s="6" t="str">
        <x:v>[]</x:v>
      </x:c>
      <x:c r="O177" s="6" t="str">
        <x:v>not_applicable</x:v>
      </x:c>
      <x:c r="P177" s="6" t="str">
        <x:v>K1</x:v>
      </x:c>
      <x:c r="Q177" s="6" t="str">
        <x:v>Запрошенная задача явно не относится к работе 1С:Полиграфии и разрешенной документации.</x:v>
      </x:c>
      <x:c r="R177" s="6" t="str">
        <x:v>["out_of_domain"]</x:v>
      </x:c>
      <x:c r="S177" s="6" t="str">
        <x:v>refuse</x:v>
      </x:c>
      <x:c r="T177" s="6" t="str">
        <x:v>["Вежливый отказ и краткое обозначение предметной области бота."]</x:v>
      </x:c>
      <x:c r="U177" s="6" t="str">
        <x:v>["Выполнение посторонней задачи.","Выдуманная ссылка на руководство."]</x:v>
      </x:c>
      <x:c r="V177" s="6" t="str">
        <x:v>[{"source_file":"/Users/elisavetagaponova/Downloads/annotation_guide_classes_v1.md","section":"§5 K1","approval_basis":"user_confirmed_consultant_approval"},{"source_file":"design_doc_kt2.md","section":"§1.3, C05","approval_basis":"user_confirmed_consultant_approval"}]</x:v>
      </x:c>
      <x:c r="W177" s="6" t="str">
        <x:v>["Посторонняя задача не выполняется; отказ вежлив и по-русски."]</x:v>
      </x:c>
      <x:c r="X177" s="6" t="str">
        <x:v>approved</x:v>
      </x:c>
      <x:c r="Y177" s="6" t="str">
        <x:v>Карточка и применимость источников согласованы консультантом; утверждение подтверждено пользователем 25.10.2026.</x:v>
      </x:c>
      <x:c r="Z177" s="6" t="str">
        <x:v>G-a6dfed9e0b3fd3</x:v>
      </x:c>
      <x:c r="AA177" s="6" t="str">
        <x:v>dev</x:v>
      </x:c>
      <x:c r="AB177" s="6" t="str">
        <x:v>synthetic_contract_boundary</x:v>
      </x:c>
    </x:row>
    <x:row r="178" ht="115" customHeight="1">
      <x:c r="A178" s="6" t="str">
        <x:v>H0268</x:v>
      </x:c>
      <x:c r="B178" s="6" t="str">
        <x:v>synthetic_from_manual:MANUAL-1064</x:v>
      </x:c>
      <x:c r="C178" s="6" t="str">
        <x:v>{"history":[],"user_message":"Нужно изменить «Фиксация факта времени работы сотрудников», но я не знаю, с какого поля начать."}</x:v>
      </x:c>
      <x:c r="D178" s="6" t="str">
        <x:v>{"product":"1С:УНФ 8. Полиграфия 2","version":"3.0.14.140","retrieval_state":"available","handoff_consent":false,"approval_basis":"user_confirmed_consultant_approval"}</x:v>
      </x:c>
      <x:c r="E178" s="6" t="str">
        <x:v>1С:УНФ 8. Полиграфия 2</x:v>
      </x:c>
      <x:c r="F178" s="6" t="str">
        <x:v>3.0.14.140</x:v>
      </x:c>
      <x:c r="G178" s="6" t="str">
        <x:v>not_reported</x:v>
      </x:c>
      <x:c r="H178" s="6" t="str">
        <x:v>default</x:v>
      </x:c>
      <x:c r="I178" s="6" t="str">
        <x:v>Применимость источников и эталона к 1С:УНФ 8. Полиграфия 2, релиз 3.0.14.140, подтверждена консультантом со слов пользователя.</x:v>
      </x:c>
      <x:c r="J178" s="13" t="str">
        <x:v>0</x:v>
      </x:c>
      <x:c r="K178" s="13" t="str">
        <x:v>5</x:v>
      </x:c>
      <x:c r="L178" s="7" t="b">
        <x:v>1</x:v>
      </x:c>
      <x:c r="M178" s="6" t="str">
        <x:v>not_applicable</x:v>
      </x:c>
      <x:c r="N178"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78" s="7" t="b">
        <x:v>0</x:v>
      </x:c>
      <x:c r="P178" s="6" t="str">
        <x:v>K3</x:v>
      </x:c>
      <x:c r="Q178" s="6" t="str">
        <x:v>Цель/параметр и результат действия неизвестны; еще один конкретный вопрос может снять неоднозначность, лимит не исчерпан.</x:v>
      </x:c>
      <x:c r="R178" s="6" t="str">
        <x:v>["chapter_1"]</x:v>
      </x:c>
      <x:c r="S178" s="6" t="str">
        <x:v>clarify</x:v>
      </x:c>
      <x:c r="T178" s="6" t="str">
        <x:v>["Какую задачу вы решаете с «Фиксация факта времени работы сотрудников» и что уже пробовали сделать?"]</x:v>
      </x:c>
      <x:c r="U178" s="6" t="str">
        <x:v>["Угадывание причины или инструкции.","Вопрос о продукте и релизе только из-за отсутствия их в сообщении."]</x:v>
      </x:c>
      <x:c r="V178" s="6" t="str">
        <x:v>[{"source_file":"/Users/elisavetagaponova/Downloads/1С УНФ 8  Полиграфия 2 для 3.0.doc","section":"1.35","extracted_text_line":1064,"excerpt":"Каждый сотрудник фиксирует начало и конец рабочей смены, предварительно идентифицируя себя через сканер штрихкодов (Штрихкод формируем через функционал \"Штрихкоды сотрудников организации\"). После фиксации окончания смены, ответственному сотруднику необходимо зафиксировать удостоверить факт работы данных сотрудников, путем установки галочки \"Проверено мастером\" в значение \"Истина\". Только зафиксированные мастером данные можно увидеть в отчете \"Выработка сотрудников\".","approval_basis":"user_confirmed_consultant_approval"}]</x:v>
      </x:c>
      <x:c r="W178" s="6" t="str">
        <x:v>["Задан полезный вопрос о недостающем действии/параметре; нет диагноза.","Не превышен лимит пяти уточнений."]</x:v>
      </x:c>
      <x:c r="X178" s="6" t="str">
        <x:v>approved</x:v>
      </x:c>
      <x:c r="Y178" s="6" t="str">
        <x:v>Карточка и применимость источников согласованы консультантом; утверждение подтверждено пользователем 25.10.2026.</x:v>
      </x:c>
      <x:c r="Z178" s="6" t="str">
        <x:v>G-4d89795696af4b</x:v>
      </x:c>
      <x:c r="AA178" s="6" t="str">
        <x:v>dev</x:v>
      </x:c>
      <x:c r="AB178" s="6" t="str">
        <x:v>synthetic_from_manual</x:v>
      </x:c>
    </x:row>
    <x:row r="179" ht="115" customHeight="1">
      <x:c r="A179" s="6" t="str">
        <x:v>H0269</x:v>
      </x:c>
      <x:c r="B179" s="6" t="str">
        <x:v>synthetic_from_manual:MANUAL-2206</x:v>
      </x:c>
      <x:c r="C179" s="6" t="str">
        <x:v>{"history":[],"user_message":"Открываю «Выполнение заказов (по журналу оператора)» и не понимаю, что выбрать дальше. Подскажите?"}</x:v>
      </x:c>
      <x:c r="D179" s="6" t="str">
        <x:v>{"product":"1С:УНФ 8. Полиграфия 2","version":"3.0.14.140","retrieval_state":"available","handoff_consent":false,"approval_basis":"user_confirmed_consultant_approval"}</x:v>
      </x:c>
      <x:c r="E179" s="6" t="str">
        <x:v>1С:УНФ 8. Полиграфия 2</x:v>
      </x:c>
      <x:c r="F179" s="6" t="str">
        <x:v>3.0.14.140</x:v>
      </x:c>
      <x:c r="G179" s="6" t="str">
        <x:v>not_reported</x:v>
      </x:c>
      <x:c r="H179" s="6" t="str">
        <x:v>default</x:v>
      </x:c>
      <x:c r="I179" s="6" t="str">
        <x:v>Применимость источников и эталона к 1С:УНФ 8. Полиграфия 2, релиз 3.0.14.140, подтверждена консультантом со слов пользователя.</x:v>
      </x:c>
      <x:c r="J179" s="13" t="str">
        <x:v>0</x:v>
      </x:c>
      <x:c r="K179" s="13" t="str">
        <x:v>5</x:v>
      </x:c>
      <x:c r="L179" s="7" t="b">
        <x:v>1</x:v>
      </x:c>
      <x:c r="M179" s="6" t="str">
        <x:v>not_applicable</x:v>
      </x:c>
      <x:c r="N179"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79" s="7" t="b">
        <x:v>0</x:v>
      </x:c>
      <x:c r="P179" s="6" t="str">
        <x:v>K3</x:v>
      </x:c>
      <x:c r="Q179" s="6" t="str">
        <x:v>Цель/параметр и результат действия неизвестны; еще один конкретный вопрос может снять неоднозначность, лимит не исчерпан.</x:v>
      </x:c>
      <x:c r="R179" s="6" t="str">
        <x:v>["chapter_5"]</x:v>
      </x:c>
      <x:c r="S179" s="6" t="str">
        <x:v>clarify</x:v>
      </x:c>
      <x:c r="T179" s="6" t="str">
        <x:v>["Какую задачу вы решаете с «Выполнение заказов (по журналу оператора)» и что уже пробовали сделать?"]</x:v>
      </x:c>
      <x:c r="U179" s="6" t="str">
        <x:v>["Угадывание причины или инструкции.","Вопрос о продукте и релизе только из-за отсутствия их в сообщении."]</x:v>
      </x:c>
      <x:c r="V179" s="6" t="str">
        <x:v>[{"source_file":"/Users/elisavetagaponova/Downloads/1С УНФ 8  Полиграфия 2 для 3.0.doc","section":"5.21","extracted_text_line":2206,"excerpt":"Отчет \"Выполнение заказов\" - формирует данные о степени выполнения заказов клиентов в разрезе основных полиграфических операций за интервал дат. Отчет строится по данным оперативного планирования. Стандартные настройки отчета позволяют отбирать данные по контрагенту и его заказам.","approval_basis":"user_confirmed_consultant_approval"}]</x:v>
      </x:c>
      <x:c r="W179" s="6" t="str">
        <x:v>["Задан полезный вопрос о недостающем действии/параметре; нет диагноза.","Не превышен лимит пяти уточнений."]</x:v>
      </x:c>
      <x:c r="X179" s="6" t="str">
        <x:v>approved</x:v>
      </x:c>
      <x:c r="Y179" s="6" t="str">
        <x:v>Карточка и применимость источников согласованы консультантом; утверждение подтверждено пользователем 25.10.2026.</x:v>
      </x:c>
      <x:c r="Z179" s="6" t="str">
        <x:v>G-9b31c561cc5a0a</x:v>
      </x:c>
      <x:c r="AA179" s="6" t="str">
        <x:v>dev</x:v>
      </x:c>
      <x:c r="AB179" s="6" t="str">
        <x:v>synthetic_from_manual</x:v>
      </x:c>
    </x:row>
    <x:row r="180" ht="115" customHeight="1">
      <x:c r="A180" s="6" t="str">
        <x:v>H0278</x:v>
      </x:c>
      <x:c r="B180" s="6" t="str">
        <x:v>synthetic_from_manual:MANUAL-2570</x:v>
      </x:c>
      <x:c r="C180" s="6" t="str">
        <x:v>{"history":[{"role":"user","text":"Не получается закончить работу с «Стоимость печати по времени»."},{"role":"assistant","text":"Что происходит при попытке?"}],"user_message":"После установки нашего расширения «Стоимость печати по времени» выдает ошибку только в рабочей базе. Похоже, надо смотреть код и данные у нас."}</x:v>
      </x:c>
      <x:c r="D180" s="6" t="str">
        <x:v>{"product":"1С:УНФ 8. Полиграфия 2","version":"3.0.14.140","retrieval_state":"available","handoff_consent":false,"approval_basis":"user_confirmed_consultant_approval"}</x:v>
      </x:c>
      <x:c r="E180" s="6" t="str">
        <x:v>1С:УНФ 8. Полиграфия 2</x:v>
      </x:c>
      <x:c r="F180" s="6" t="str">
        <x:v>3.0.14.140</x:v>
      </x:c>
      <x:c r="G180" s="6" t="str">
        <x:v>not_reported</x:v>
      </x:c>
      <x:c r="H180" s="6" t="str">
        <x:v>default</x:v>
      </x:c>
      <x:c r="I180" s="6" t="str">
        <x:v>Применимость источников и эталона к 1С:УНФ 8. Полиграфия 2, релиз 3.0.14.140, подтверждена консультантом со слов пользователя.</x:v>
      </x:c>
      <x:c r="J180" s="13" t="str">
        <x:v>1</x:v>
      </x:c>
      <x:c r="K180" s="13" t="str">
        <x:v>5</x:v>
      </x:c>
      <x:c r="L180" s="7" t="b">
        <x:v>0</x:v>
      </x:c>
      <x:c r="M180" s="6" t="str">
        <x:v>diagnosis_required</x:v>
      </x:c>
      <x:c r="N180" s="6" t="str">
        <x:v>[]</x:v>
      </x:c>
      <x:c r="O180" s="7" t="b">
        <x:v>0</x:v>
      </x:c>
      <x:c r="P180" s="6" t="str">
        <x:v>K6</x:v>
      </x:c>
      <x:c r="Q180"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80" s="6" t="str">
        <x:v>["chapter_7"]</x:v>
      </x:c>
      <x:c r="S180" s="6" t="str">
        <x:v>offer_handoff</x:v>
      </x:c>
      <x:c r="T180" s="6" t="str">
        <x:v>["Сообщить об отсутствии подтвержденного решения.","Предложить передачу консультанту."]</x:v>
      </x:c>
      <x:c r="U180" s="6" t="str">
        <x:v>["Еще один диагностический вопрос.","Выдуманная причина или правка рабочей базы.","Сообщение о созданной заявке без подтверждения."]</x:v>
      </x:c>
      <x:c r="V180" s="6" t="str">
        <x:v>[{"source_file":"/Users/elisavetagaponova/Downloads/1С УНФ 8  Полиграфия 2 для 3.0.doc","section":"Глава 7","extracted_text_line":2570,"excerpt":"Алгоритм расчета стоимости такой: сначала рассчитывается время, необходимое для печати высчитанного листопрогонного тиража, затем из регистров нормирования берется стоимость работы часа печатного оборудования и умножается на полученное время.","approval_basis":"user_confirmed_consultant_approval"},{"corpus_check":"Руководство не содержит состояния клиентской базы, кода расширения или журнала ошибки.","approval_basis":"user_confirmed_consultant_approval"}]</x:v>
      </x:c>
      <x:c r="W180" s="6" t="str">
        <x:v>["Предложена передача; нет дальнейшей диагностики и необоснованного решения."]</x:v>
      </x:c>
      <x:c r="X180" s="6" t="str">
        <x:v>approved</x:v>
      </x:c>
      <x:c r="Y180" s="6" t="str">
        <x:v>Карточка и применимость источников согласованы консультантом; утверждение подтверждено пользователем 25.10.2026.</x:v>
      </x:c>
      <x:c r="Z180" s="6" t="str">
        <x:v>G-21c934a2037990</x:v>
      </x:c>
      <x:c r="AA180" s="6" t="str">
        <x:v>dev</x:v>
      </x:c>
      <x:c r="AB180" s="6" t="str">
        <x:v>synthetic_from_manual</x:v>
      </x:c>
    </x:row>
    <x:row r="181" ht="115" customHeight="1">
      <x:c r="A181" s="6" t="str">
        <x:v>H0280</x:v>
      </x:c>
      <x:c r="B181" s="6" t="str">
        <x:v>synthetic_from_manual:MANUAL-1297</x:v>
      </x:c>
      <x:c r="C181" s="6" t="str">
        <x:v>{"history":[{"role":"user","text":"Не получается закончить работу с «Нормирование полиграфических операций»."},{"role":"assistant","text":"Что происходит при попытке?"}],"user_message":"В одном филиале «Нормирование полиграфических операций» работает, в другом нет. Можем передать специалисту копию базы для сравнения?"}</x:v>
      </x:c>
      <x:c r="D181" s="6" t="str">
        <x:v>{"product":"1С:УНФ 8. Полиграфия 2","version":"3.0.14.140","retrieval_state":"available","handoff_consent":false,"approval_basis":"user_confirmed_consultant_approval"}</x:v>
      </x:c>
      <x:c r="E181" s="6" t="str">
        <x:v>1С:УНФ 8. Полиграфия 2</x:v>
      </x:c>
      <x:c r="F181" s="6" t="str">
        <x:v>3.0.14.140</x:v>
      </x:c>
      <x:c r="G181" s="6" t="str">
        <x:v>not_reported</x:v>
      </x:c>
      <x:c r="H181" s="6" t="str">
        <x:v>default</x:v>
      </x:c>
      <x:c r="I181" s="6" t="str">
        <x:v>Применимость источников и эталона к 1С:УНФ 8. Полиграфия 2, релиз 3.0.14.140, подтверждена консультантом со слов пользователя.</x:v>
      </x:c>
      <x:c r="J181" s="13" t="str">
        <x:v>1</x:v>
      </x:c>
      <x:c r="K181" s="13" t="str">
        <x:v>5</x:v>
      </x:c>
      <x:c r="L181" s="7" t="b">
        <x:v>0</x:v>
      </x:c>
      <x:c r="M181" s="6" t="str">
        <x:v>diagnosis_required</x:v>
      </x:c>
      <x:c r="N181" s="6" t="str">
        <x:v>[]</x:v>
      </x:c>
      <x:c r="O181" s="7" t="b">
        <x:v>0</x:v>
      </x:c>
      <x:c r="P181" s="6" t="str">
        <x:v>K6</x:v>
      </x:c>
      <x:c r="Q181"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81" s="6" t="str">
        <x:v>["chapter_3"]</x:v>
      </x:c>
      <x:c r="S181" s="6" t="str">
        <x:v>offer_handoff</x:v>
      </x:c>
      <x:c r="T181" s="6" t="str">
        <x:v>["Сообщить об отсутствии подтвержденного решения.","Предложить передачу консультанту."]</x:v>
      </x:c>
      <x:c r="U181" s="6" t="str">
        <x:v>["Еще один диагностический вопрос.","Выдуманная причина или правка рабочей базы.","Сообщение о созданной заявке без подтверждения."]</x:v>
      </x:c>
      <x:c r="V181" s="6" t="str">
        <x:v>[{"source_file":"/Users/elisavetagaponova/Downloads/1С УНФ 8  Полиграфия 2 для 3.0.doc","section":"3.1","extracted_text_line":1297,"excerpt":"Для любой полиграфической операции должны быть определены нормы – плановые значения стоимости, себестоимости, потерь, времени выполнения (для допечатных и послепечатных операций), плановое количество используемого материала (имеется в виду не печатный материал и краска, а например, клей, пластины и т.д.), плановая скорость печати станка.","approval_basis":"user_confirmed_consultant_approval"},{"corpus_check":"Руководство не содержит состояния клиентской базы, кода расширения или журнала ошибки.","approval_basis":"user_confirmed_consultant_approval"}]</x:v>
      </x:c>
      <x:c r="W181" s="6" t="str">
        <x:v>["Предложена передача; нет дальнейшей диагностики и необоснованного решения."]</x:v>
      </x:c>
      <x:c r="X181" s="6" t="str">
        <x:v>approved</x:v>
      </x:c>
      <x:c r="Y181" s="6" t="str">
        <x:v>Карточка и применимость источников согласованы консультантом; утверждение подтверждено пользователем 25.10.2026.</x:v>
      </x:c>
      <x:c r="Z181" s="6" t="str">
        <x:v>G-302263ea4bb0f3</x:v>
      </x:c>
      <x:c r="AA181" s="6" t="str">
        <x:v>dev</x:v>
      </x:c>
      <x:c r="AB181" s="6" t="str">
        <x:v>synthetic_from_manual</x:v>
      </x:c>
    </x:row>
    <x:row r="182" ht="115" customHeight="1">
      <x:c r="A182" s="6" t="str">
        <x:v>H0283</x:v>
      </x:c>
      <x:c r="B182" s="6" t="str">
        <x:v>synthetic_contract_boundary</x:v>
      </x:c>
      <x:c r="C182" s="6" t="str">
        <x:v>{"history":[],"user_message":"Когда в баскетболе назначают штрафные броски?"}</x:v>
      </x:c>
      <x:c r="D182" s="6" t="str">
        <x:v>{"product":"1С:УНФ 8. Полиграфия 2","version":"3.0.14.140","retrieval_state":"available","handoff_consent":false,"approval_basis":"user_confirmed_consultant_approval"}</x:v>
      </x:c>
      <x:c r="E182" s="6" t="str">
        <x:v>1С:УНФ 8. Полиграфия 2</x:v>
      </x:c>
      <x:c r="F182" s="6" t="str">
        <x:v>3.0.14.140</x:v>
      </x:c>
      <x:c r="G182" s="6" t="str">
        <x:v>not_reported</x:v>
      </x:c>
      <x:c r="H182" s="6" t="str">
        <x:v>default</x:v>
      </x:c>
      <x:c r="I182" s="6" t="str">
        <x:v>Применимость источников и эталона к 1С:УНФ 8. Полиграфия 2, релиз 3.0.14.140, подтверждена консультантом со слов пользователя.</x:v>
      </x:c>
      <x:c r="J182" s="13" t="str">
        <x:v>0</x:v>
      </x:c>
      <x:c r="K182" s="13" t="str">
        <x:v>5</x:v>
      </x:c>
      <x:c r="L182" s="7" t="b">
        <x:v>0</x:v>
      </x:c>
      <x:c r="M182" s="6" t="str">
        <x:v>not_applicable</x:v>
      </x:c>
      <x:c r="N182" s="6" t="str">
        <x:v>[]</x:v>
      </x:c>
      <x:c r="O182" s="6" t="str">
        <x:v>not_applicable</x:v>
      </x:c>
      <x:c r="P182" s="6" t="str">
        <x:v>K1</x:v>
      </x:c>
      <x:c r="Q182" s="6" t="str">
        <x:v>Запрошенная задача явно не относится к работе 1С:Полиграфии и разрешенной документации.</x:v>
      </x:c>
      <x:c r="R182" s="6" t="str">
        <x:v>["out_of_domain"]</x:v>
      </x:c>
      <x:c r="S182" s="6" t="str">
        <x:v>refuse</x:v>
      </x:c>
      <x:c r="T182" s="6" t="str">
        <x:v>["Вежливый отказ и краткое обозначение предметной области бота."]</x:v>
      </x:c>
      <x:c r="U182" s="6" t="str">
        <x:v>["Выполнение посторонней задачи.","Выдуманная ссылка на руководство."]</x:v>
      </x:c>
      <x:c r="V182" s="6" t="str">
        <x:v>[{"source_file":"/Users/elisavetagaponova/Downloads/annotation_guide_classes_v1.md","section":"§5 K1","approval_basis":"user_confirmed_consultant_approval"},{"source_file":"design_doc_kt2.md","section":"§1.3, C05","approval_basis":"user_confirmed_consultant_approval"}]</x:v>
      </x:c>
      <x:c r="W182" s="6" t="str">
        <x:v>["Посторонняя задача не выполняется; отказ вежлив и по-русски."]</x:v>
      </x:c>
      <x:c r="X182" s="6" t="str">
        <x:v>approved</x:v>
      </x:c>
      <x:c r="Y182" s="6" t="str">
        <x:v>Карточка и применимость источников согласованы консультантом; утверждение подтверждено пользователем 25.10.2026.</x:v>
      </x:c>
      <x:c r="Z182" s="6" t="str">
        <x:v>G-bd318eebad0287</x:v>
      </x:c>
      <x:c r="AA182" s="6" t="str">
        <x:v>dev</x:v>
      </x:c>
      <x:c r="AB182" s="6" t="str">
        <x:v>synthetic_contract_boundary</x:v>
      </x:c>
    </x:row>
    <x:row r="183" ht="115" customHeight="1">
      <x:c r="A183" s="6" t="str">
        <x:v>H0286</x:v>
      </x:c>
      <x:c r="B183" s="6" t="str">
        <x:v>synthetic_from_manual:MANUAL-1365</x:v>
      </x:c>
      <x:c r="C183" s="6" t="str">
        <x:v>{"history":[{"role":"user","text":"Не получается закончить работу с «Нормирование операций по времени»."},{"role":"assistant","text":"Что происходит при попытке?"}],"user_message":"После установки нашего расширения «Нормирование операций по времени» выдает ошибку только в рабочей базе. Похоже, надо смотреть код и данные у нас."}</x:v>
      </x:c>
      <x:c r="D183" s="6" t="str">
        <x:v>{"product":"1С:УНФ 8. Полиграфия 2","version":"3.0.14.140","retrieval_state":"available","handoff_consent":false,"approval_basis":"user_confirmed_consultant_approval"}</x:v>
      </x:c>
      <x:c r="E183" s="6" t="str">
        <x:v>1С:УНФ 8. Полиграфия 2</x:v>
      </x:c>
      <x:c r="F183" s="6" t="str">
        <x:v>3.0.14.140</x:v>
      </x:c>
      <x:c r="G183" s="6" t="str">
        <x:v>not_reported</x:v>
      </x:c>
      <x:c r="H183" s="6" t="str">
        <x:v>default</x:v>
      </x:c>
      <x:c r="I183" s="6" t="str">
        <x:v>Применимость источников и эталона к 1С:УНФ 8. Полиграфия 2, релиз 3.0.14.140, подтверждена консультантом со слов пользователя.</x:v>
      </x:c>
      <x:c r="J183" s="13" t="str">
        <x:v>1</x:v>
      </x:c>
      <x:c r="K183" s="13" t="str">
        <x:v>5</x:v>
      </x:c>
      <x:c r="L183" s="7" t="b">
        <x:v>0</x:v>
      </x:c>
      <x:c r="M183" s="6" t="str">
        <x:v>diagnosis_required</x:v>
      </x:c>
      <x:c r="N183" s="6" t="str">
        <x:v>[]</x:v>
      </x:c>
      <x:c r="O183" s="7" t="b">
        <x:v>0</x:v>
      </x:c>
      <x:c r="P183" s="6" t="str">
        <x:v>K6</x:v>
      </x:c>
      <x:c r="Q183"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83" s="6" t="str">
        <x:v>["chapter_3"]</x:v>
      </x:c>
      <x:c r="S183" s="6" t="str">
        <x:v>offer_handoff</x:v>
      </x:c>
      <x:c r="T183" s="6" t="str">
        <x:v>["Сообщить об отсутствии подтвержденного решения.","Предложить передачу консультанту."]</x:v>
      </x:c>
      <x:c r="U183" s="6" t="str">
        <x:v>["Еще один диагностический вопрос.","Выдуманная причина или правка рабочей базы.","Сообщение о созданной заявке без подтверждения."]</x:v>
      </x:c>
      <x:c r="V183" s="6" t="str">
        <x:v>[{"source_file":"/Users/elisavetagaponova/Downloads/1С УНФ 8  Полиграфия 2 для 3.0.doc","section":"3.3","extracted_text_line":1365,"excerpt":"Документ \"Нормирование операций по времени\" служит для хранения таблицы нормирования времени в зависимости от оборудования, формата, красочности, тиража, плотности и свободного параметра для технологической операции (допечатной или послепечатной).","approval_basis":"user_confirmed_consultant_approval"},{"corpus_check":"Руководство не содержит состояния клиентской базы, кода расширения или журнала ошибки.","approval_basis":"user_confirmed_consultant_approval"}]</x:v>
      </x:c>
      <x:c r="W183" s="6" t="str">
        <x:v>["Предложена передача; нет дальнейшей диагностики и необоснованного решения."]</x:v>
      </x:c>
      <x:c r="X183" s="6" t="str">
        <x:v>approved</x:v>
      </x:c>
      <x:c r="Y183" s="6" t="str">
        <x:v>Карточка и применимость источников согласованы консультантом; утверждение подтверждено пользователем 25.10.2026.</x:v>
      </x:c>
      <x:c r="Z183" s="6" t="str">
        <x:v>G-3d9378ee891e94</x:v>
      </x:c>
      <x:c r="AA183" s="6" t="str">
        <x:v>dev</x:v>
      </x:c>
      <x:c r="AB183" s="6" t="str">
        <x:v>synthetic_from_manual</x:v>
      </x:c>
    </x:row>
    <x:row r="184" ht="115" customHeight="1">
      <x:c r="A184" s="6" t="str">
        <x:v>H0287</x:v>
      </x:c>
      <x:c r="B184" s="6" t="str">
        <x:v>synthetic_from_manual:MANUAL-0829</x:v>
      </x:c>
      <x:c r="C184" s="6" t="str">
        <x:v>{"history":[],"user_message":"По «Детали сложного заказа» не получается сделать как обычно. Можете подсказать?"}</x:v>
      </x:c>
      <x:c r="D184" s="6" t="str">
        <x:v>{"product":"1С:УНФ 8. Полиграфия 2","version":"3.0.14.140","retrieval_state":"available","handoff_consent":false,"approval_basis":"user_confirmed_consultant_approval"}</x:v>
      </x:c>
      <x:c r="E184" s="6" t="str">
        <x:v>1С:УНФ 8. Полиграфия 2</x:v>
      </x:c>
      <x:c r="F184" s="6" t="str">
        <x:v>3.0.14.140</x:v>
      </x:c>
      <x:c r="G184" s="6" t="str">
        <x:v>not_reported</x:v>
      </x:c>
      <x:c r="H184" s="6" t="str">
        <x:v>default</x:v>
      </x:c>
      <x:c r="I184" s="6" t="str">
        <x:v>Применимость источников и эталона к 1С:УНФ 8. Полиграфия 2, релиз 3.0.14.140, подтверждена консультантом со слов пользователя.</x:v>
      </x:c>
      <x:c r="J184" s="13" t="str">
        <x:v>0</x:v>
      </x:c>
      <x:c r="K184" s="13" t="str">
        <x:v>5</x:v>
      </x:c>
      <x:c r="L184" s="7" t="b">
        <x:v>1</x:v>
      </x:c>
      <x:c r="M184" s="6" t="str">
        <x:v>not_applicable</x:v>
      </x:c>
      <x:c r="N184"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84" s="7" t="b">
        <x:v>0</x:v>
      </x:c>
      <x:c r="P184" s="6" t="str">
        <x:v>K3</x:v>
      </x:c>
      <x:c r="Q184" s="6" t="str">
        <x:v>Цель/параметр и результат действия неизвестны; еще один конкретный вопрос может снять неоднозначность, лимит не исчерпан.</x:v>
      </x:c>
      <x:c r="R184" s="6" t="str">
        <x:v>["chapter_1"]</x:v>
      </x:c>
      <x:c r="S184" s="6" t="str">
        <x:v>clarify</x:v>
      </x:c>
      <x:c r="T184" s="6" t="str">
        <x:v>["Какую задачу вы решаете с «Детали сложного заказа» и что уже пробовали сделать?"]</x:v>
      </x:c>
      <x:c r="U184" s="6" t="str">
        <x:v>["Угадывание причины или инструкции.","Вопрос о продукте и релизе только из-за отсутствия их в сообщении."]</x:v>
      </x:c>
      <x:c r="V184" s="6" t="str">
        <x:v>[{"source_file":"/Users/elisavetagaponova/Downloads/1С УНФ 8  Полиграфия 2 для 3.0.doc","section":"1.11","extracted_text_line":829,"excerpt":"Сведения о названии деталей, составляющих сложного полиграфического заказа, хранятся в справочнике Детали сложного заказа. Справочник вызывается из раздела \"Полиграфия – НСИ полиграфии – Все справочники\".","approval_basis":"user_confirmed_consultant_approval"}]</x:v>
      </x:c>
      <x:c r="W184" s="6" t="str">
        <x:v>["Задан полезный вопрос о недостающем действии/параметре; нет диагноза.","Не превышен лимит пяти уточнений."]</x:v>
      </x:c>
      <x:c r="X184" s="6" t="str">
        <x:v>approved</x:v>
      </x:c>
      <x:c r="Y184" s="6" t="str">
        <x:v>Карточка и применимость источников согласованы консультантом; утверждение подтверждено пользователем 25.10.2026.</x:v>
      </x:c>
      <x:c r="Z184" s="6" t="str">
        <x:v>G-3960f2cec1e716</x:v>
      </x:c>
      <x:c r="AA184" s="6" t="str">
        <x:v>dev</x:v>
      </x:c>
      <x:c r="AB184" s="6" t="str">
        <x:v>synthetic_from_manual</x:v>
      </x:c>
    </x:row>
    <x:row r="185" ht="115" customHeight="1">
      <x:c r="A185" s="6" t="str">
        <x:v>H0289</x:v>
      </x:c>
      <x:c r="B185" s="6" t="str">
        <x:v>synthetic_from_manual:MANUAL-2570</x:v>
      </x:c>
      <x:c r="C185" s="6" t="str">
        <x:v>{"history":[],"user_message":"По «Стоимость печати по времени» не получается сделать как обычно. Можете подсказать?"}</x:v>
      </x:c>
      <x:c r="D185" s="6" t="str">
        <x:v>{"product":"1С:УНФ 8. Полиграфия 2","version":"3.0.14.140","retrieval_state":"available","handoff_consent":false,"approval_basis":"user_confirmed_consultant_approval"}</x:v>
      </x:c>
      <x:c r="E185" s="6" t="str">
        <x:v>1С:УНФ 8. Полиграфия 2</x:v>
      </x:c>
      <x:c r="F185" s="6" t="str">
        <x:v>3.0.14.140</x:v>
      </x:c>
      <x:c r="G185" s="6" t="str">
        <x:v>not_reported</x:v>
      </x:c>
      <x:c r="H185" s="6" t="str">
        <x:v>default</x:v>
      </x:c>
      <x:c r="I185" s="6" t="str">
        <x:v>Применимость источников и эталона к 1С:УНФ 8. Полиграфия 2, релиз 3.0.14.140, подтверждена консультантом со слов пользователя.</x:v>
      </x:c>
      <x:c r="J185" s="13" t="str">
        <x:v>0</x:v>
      </x:c>
      <x:c r="K185" s="13" t="str">
        <x:v>5</x:v>
      </x:c>
      <x:c r="L185" s="7" t="b">
        <x:v>1</x:v>
      </x:c>
      <x:c r="M185" s="6" t="str">
        <x:v>not_applicable</x:v>
      </x:c>
      <x:c r="N185"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85" s="7" t="b">
        <x:v>0</x:v>
      </x:c>
      <x:c r="P185" s="6" t="str">
        <x:v>K3</x:v>
      </x:c>
      <x:c r="Q185" s="6" t="str">
        <x:v>Цель/параметр и результат действия неизвестны; еще один конкретный вопрос может снять неоднозначность, лимит не исчерпан.</x:v>
      </x:c>
      <x:c r="R185" s="6" t="str">
        <x:v>["chapter_7"]</x:v>
      </x:c>
      <x:c r="S185" s="6" t="str">
        <x:v>clarify</x:v>
      </x:c>
      <x:c r="T185" s="6" t="str">
        <x:v>["Какую задачу вы решаете с «Стоимость печати по времени» и что уже пробовали сделать?"]</x:v>
      </x:c>
      <x:c r="U185" s="6" t="str">
        <x:v>["Угадывание причины или инструкции.","Вопрос о продукте и релизе только из-за отсутствия их в сообщении."]</x:v>
      </x:c>
      <x:c r="V185" s="6" t="str">
        <x:v>[{"source_file":"/Users/elisavetagaponova/Downloads/1С УНФ 8  Полиграфия 2 для 3.0.doc","section":"Глава 7","extracted_text_line":2570,"excerpt":"Алгоритм расчета стоимости такой: сначала рассчитывается время, необходимое для печати высчитанного листопрогонного тиража, затем из регистров нормирования берется стоимость работы часа печатного оборудования и умножается на полученное время.","approval_basis":"user_confirmed_consultant_approval"}]</x:v>
      </x:c>
      <x:c r="W185" s="6" t="str">
        <x:v>["Задан полезный вопрос о недостающем действии/параметре; нет диагноза.","Не превышен лимит пяти уточнений."]</x:v>
      </x:c>
      <x:c r="X185" s="6" t="str">
        <x:v>approved</x:v>
      </x:c>
      <x:c r="Y185" s="6" t="str">
        <x:v>Карточка и применимость источников согласованы консультантом; утверждение подтверждено пользователем 25.10.2026.</x:v>
      </x:c>
      <x:c r="Z185" s="6" t="str">
        <x:v>G-21c934a2037990</x:v>
      </x:c>
      <x:c r="AA185" s="6" t="str">
        <x:v>dev</x:v>
      </x:c>
      <x:c r="AB185" s="6" t="str">
        <x:v>synthetic_from_manual</x:v>
      </x:c>
    </x:row>
    <x:row r="186" ht="115" customHeight="1">
      <x:c r="A186" s="6" t="str">
        <x:v>H0294</x:v>
      </x:c>
      <x:c r="B186" s="6" t="str">
        <x:v>synthetic_contract_boundary</x:v>
      </x:c>
      <x:c r="C186" s="6" t="str">
        <x:v>{"history":[],"user_message":"Какие подкасты по психологии можно слушать в дороге?"}</x:v>
      </x:c>
      <x:c r="D186" s="6" t="str">
        <x:v>{"product":"1С:УНФ 8. Полиграфия 2","version":"3.0.14.140","retrieval_state":"available","handoff_consent":false,"approval_basis":"user_confirmed_consultant_approval"}</x:v>
      </x:c>
      <x:c r="E186" s="6" t="str">
        <x:v>1С:УНФ 8. Полиграфия 2</x:v>
      </x:c>
      <x:c r="F186" s="6" t="str">
        <x:v>3.0.14.140</x:v>
      </x:c>
      <x:c r="G186" s="6" t="str">
        <x:v>not_reported</x:v>
      </x:c>
      <x:c r="H186" s="6" t="str">
        <x:v>default</x:v>
      </x:c>
      <x:c r="I186" s="6" t="str">
        <x:v>Применимость источников и эталона к 1С:УНФ 8. Полиграфия 2, релиз 3.0.14.140, подтверждена консультантом со слов пользователя.</x:v>
      </x:c>
      <x:c r="J186" s="13" t="str">
        <x:v>0</x:v>
      </x:c>
      <x:c r="K186" s="13" t="str">
        <x:v>5</x:v>
      </x:c>
      <x:c r="L186" s="7" t="b">
        <x:v>0</x:v>
      </x:c>
      <x:c r="M186" s="6" t="str">
        <x:v>not_applicable</x:v>
      </x:c>
      <x:c r="N186" s="6" t="str">
        <x:v>[]</x:v>
      </x:c>
      <x:c r="O186" s="6" t="str">
        <x:v>not_applicable</x:v>
      </x:c>
      <x:c r="P186" s="6" t="str">
        <x:v>K1</x:v>
      </x:c>
      <x:c r="Q186" s="6" t="str">
        <x:v>Запрошенная задача явно не относится к работе 1С:Полиграфии и разрешенной документации.</x:v>
      </x:c>
      <x:c r="R186" s="6" t="str">
        <x:v>["out_of_domain"]</x:v>
      </x:c>
      <x:c r="S186" s="6" t="str">
        <x:v>refuse</x:v>
      </x:c>
      <x:c r="T186" s="6" t="str">
        <x:v>["Вежливый отказ и краткое обозначение предметной области бота."]</x:v>
      </x:c>
      <x:c r="U186" s="6" t="str">
        <x:v>["Выполнение посторонней задачи.","Выдуманная ссылка на руководство."]</x:v>
      </x:c>
      <x:c r="V186" s="6" t="str">
        <x:v>[{"source_file":"/Users/elisavetagaponova/Downloads/annotation_guide_classes_v1.md","section":"§5 K1","approval_basis":"user_confirmed_consultant_approval"},{"source_file":"design_doc_kt2.md","section":"§1.3, C05","approval_basis":"user_confirmed_consultant_approval"}]</x:v>
      </x:c>
      <x:c r="W186" s="6" t="str">
        <x:v>["Посторонняя задача не выполняется; отказ вежлив и по-русски."]</x:v>
      </x:c>
      <x:c r="X186" s="6" t="str">
        <x:v>approved</x:v>
      </x:c>
      <x:c r="Y186" s="6" t="str">
        <x:v>Карточка и применимость источников согласованы консультантом; утверждение подтверждено пользователем 25.10.2026.</x:v>
      </x:c>
      <x:c r="Z186" s="6" t="str">
        <x:v>G-7461a6e7847e46</x:v>
      </x:c>
      <x:c r="AA186" s="6" t="str">
        <x:v>dev</x:v>
      </x:c>
      <x:c r="AB186" s="6" t="str">
        <x:v>synthetic_contract_boundary</x:v>
      </x:c>
    </x:row>
    <x:row r="187" ht="115" customHeight="1">
      <x:c r="A187" s="6" t="str">
        <x:v>FAQ-poly2-260</x:v>
      </x:c>
      <x:c r="B187" s="6" t="str">
        <x:v>official_faq_entry:poly2-260</x:v>
      </x:c>
      <x:c r="C187" s="6" t="str">
        <x:v>{"history":[],"user_message":"Передача материалов в переработку"}</x:v>
      </x:c>
      <x:c r="D187" s="6" t="str">
        <x:v>{"product":"1С:УНФ 8. Полиграфия 2","version":"3.0.14.140","retrieval_state":"available","handoff_consent":false,"source_faq_id":"poly2-260","group_id":"faq_poly2-260","source_applicability":"confirmed_by_consultant","approval_basis":"user_confirmed_consultant_approval"}</x:v>
      </x:c>
      <x:c r="E187" s="6" t="str">
        <x:v>1С:УНФ 8. Полиграфия 2</x:v>
      </x:c>
      <x:c r="F187" s="6" t="str">
        <x:v>3.0.14.140</x:v>
      </x:c>
      <x:c r="G187" s="6" t="str">
        <x:v>not_reported</x:v>
      </x:c>
      <x:c r="H187" s="6" t="str">
        <x:v>default</x:v>
      </x:c>
      <x:c r="I187" s="6" t="str">
        <x:v>Применимость источников и эталона к 1С:УНФ 8. Полиграфия 2, релиз 3.0.14.140, подтверждена консультантом со слов пользователя.</x:v>
      </x:c>
      <x:c r="J187" s="13" t="str">
        <x:v>0</x:v>
      </x:c>
      <x:c r="K187" s="13" t="str">
        <x:v>5</x:v>
      </x:c>
      <x:c r="L187" s="7" t="b">
        <x:v>0</x:v>
      </x:c>
      <x:c r="M187" s="6" t="str">
        <x:v>not_applicable</x:v>
      </x:c>
      <x:c r="N187" s="6" t="str">
        <x:v>[]</x:v>
      </x:c>
      <x:c r="O187" s="7" t="b">
        <x:v>1</x:v>
      </x:c>
      <x:c r="P187" s="6" t="str">
        <x:v>K2</x:v>
      </x:c>
      <x:c r="Q187" s="6" t="str">
        <x:v>K2: история пуста, вопрос соответствует статье FAQ poly2-260; в утверждённом источнике есть достаточный применимый ответ для 3.0.14.140. Бот отвечает сразу с источником.</x:v>
      </x:c>
      <x:c r="R187" s="6" t="str">
        <x:v>["faq","poly2","documented_answer"]</x:v>
      </x:c>
      <x:c r="S187" s="6" t="str">
        <x:v>answer</x:v>
      </x:c>
      <x:c r="T187" s="6" t="str">
        <x:v>["Расчёт заказа включает операцию переработки на стороне и материал, который передаётся переработчику.","FAQ разбирает передачу рулонного материала для сторонней резки на примере коробки; порядок документов брать из полного ответа.","Указать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187"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187" s="6" t="str">
        <x:v>[{"source_file":"/Users/maria/chatbot_rag/knowledge base/faq_articles.jsonl","source_jsonl_line":2,"faq_id":"poly2-260","url":"https://1cpoly.ru/questions/?action=show&amp;id=260","source_locator":".faq-answer","title":"Передача материалов в переработку","source_answer":"Передача материалов в переработку рассмотрим на примере расчета «Коробки».\n\nНужно передать рулонный материал для резки на стороне.\n\n1) Расчет стоимости заказа\n\nВводим данные по операциям в документ \"Расчет заказа\"\n\nНа закладке «Сведения» указываем:\n\nКонтрагент\n\nПродукция\n\nСклад\n\nДата начала\n\nДата выполнения\n\nНа закладку «ПреПресс» добавляем операции:\n\n«Дизайн»\n\n«Изготовление офсетных форм»\n\n«Резка на стороне»\n\nВ примере себестоимость и стоимость отнормированна через числовой параметр. Время фиксированное: 48ч. Менеджер вводит стоимость, которую договорились заплатить за переработку на стороне.\n\nВводим данные по печати. Для этого используем вкладку «Пресс», на которой задаем операцию «Печать офсетная», дополнительно указываем:\n\nТ.к. выбран рулонный материал, а оборудование листовое мы получаем количество листов необходимое на заказ. На вкладке «Материалы» количество рулонного материала в пог.м.\n\nОперацию\n\nТираж\n\nОборудование\n\nКрасочность\n\nГруппу красок\n\nПечатный материал – материал, который нужно передать в переработку.\n\nХарактеристику печатного материала\n\nФормат печати\n\nШирину дополнительных полей\n\nФормат обрезной\n\nПоля для резки\n\nОтразим заключительные этапы на закладке «Постпресс»:\n\nПосле нажатия на кнопку «Расчет всего заказа», перейдем на закладку \"Материалы\", на которой отобразятся все материалы, которые мы должны будем взять со склада для изготовления продукции.\n\nНа вкладке видим количество рулонного материала, которое нужно передать в переработку.\n\nЗакладка «Обобщенные сведения» выводит подробную информацию по стоимости, себестоимости, прибыли и рентабельности, как в целом по заказы, так и по каждому материалу и операции.\n\nМы видим так же операцию «Резки на стороне». Она добавила себестоимость и стоимость за операцию к заказу.\n\nНа технологической карте заказа, получим подробное описание операций и используемых материалов на заказ.\n\n2) На основании расчета заказ создаем документ «Заказ покупателя».\n\nДокумент полностью заполнен данными из расчета.\n\n3) Чтобы передать в переработку материал обязательно должен быть оприходован с партией.\n\n4) Создаем документ «Расходная накладная», выбираем операцию: «Передача в переработку».\n\nВыводим необходимые печатные формы.\n\n5) На основании «Расходной накладной» создаем «Отчет переработчика».\n\nНа вкладке «Продукция» указываем материал, который получили с переработки.\n\nНа вкладке «Материалы» переданный в переработку материал.\n\nНа вкладке «Услуги» формируем себестоимость. Указываем услугу, которая была оказана поставщиком с указанием ее стоимости.\n\n6) Формируем отчет\n\n7) Чтобы произвести продукцию необходимо переместить картон на «Склад материалов», т.к. он в нашем случае является складом списания материла. Создаем документ «Перемещение запасов»\n\n8) Создаем документ «Производства».\n\nИспользуем порезанный материал, а не рулонный.\n\n9) Создаем документы отгрузки. Создадим «Расходную накладную» на основании «Заказа покупателя»\n\nПечатаем печатные формы.\n\n10) Формируем отчет","content_sha256":"b2e1c780cb900d199f35cc33d5753b45e3f9ea4d27299206726f9cec2acded1d","saved_at":"2026-10-24T22:59:41.544702+03:00","image_refs":[{"url":"https://1cpoly.ru/files/images/articles/pass/image1.png","local_file":"/Users/maria/Documents/ChatGPT/chatbot/output/faq_1cpoly_prepared_2026-10-25/assets/60e1464fda9ab6b948c7.png"},{"url":"https://1cpoly.ru/files/images/articles/pass/image2.png","local_file":"/Users/maria/Documents/ChatGPT/chatbot/output/faq_1cpoly_prepared_2026-10-25/assets/a4170b02f470b072fb93.png"},{"url":"https://1cpoly.ru/files/images/articles/pass/image3.png","local_file":"/Users/maria/Documents/ChatGPT/chatbot/output/faq_1cpoly_prepared_2026-10-25/assets/2917bd337559994705c1.png"},{"url":"https://1cpoly.ru/files/images/articles/pass/image4.png","local_file":"/Users/maria/Documents/ChatGPT/chatbot/output/faq_1cpoly_prepared_2026-10-25/assets/f460b09d756c9f50d736.png"},{"url":"https://1cpoly.ru/files/images/articles/pass/image5.png","local_file":"/Users/maria/Documents/ChatGPT/chatbot/output/faq_1cpoly_prepared_2026-10-25/assets/aa575ec8d6d35d73054a.png"},{"url":"https://1cpoly.ru/files/images/articles/pass/image6.png","local_file":"/Users/maria/Documents/ChatGPT/chatbot/output/faq_1cpoly_prepared_2026-10-25/assets/703ea7a64bed7edc9124.png"},{"url":"https://1cpoly.ru/files/images/articles/pass/image7.png","local_file":"/Users/maria/Documents/ChatGPT/chatbot/output/faq_1cpoly_prepared_2026-10-25/assets/813e7beeb21d60276b55.png"},{"url":"https://1cpoly.ru/files/images/articles/pass/image8.png","local_file":"/Users/maria/Documents/ChatGPT/chatbot/output/faq_1cpoly_prepared_2026-10-25/assets/3d1643d0c2482923c9d4.png"},{"url":"https://1cpoly.ru/files/images/articles/pass/image9.png","local_file":"/Users/maria/Documents/ChatGPT/chatbot/output/faq_1cpoly_prepared_2026-10-25/assets/23948254e252fba2f2d9.png"},{"url":"https://1cpoly.ru/files/images/articles/pass/image10.png","local_file":"/Users/maria/Documents/ChatGPT/chatbot/output/faq_1cpoly_prepared_2026-10-25/assets/c11813a614a66b59958b.png"},{"url":"https://1cpoly.ru/files/images/articles/pass/image11.png","local_file":"/Users/maria/Documents/ChatGPT/chatbot/output/faq_1cpoly_prepared_2026-10-25/assets/7c1e1d91634881831a39.png"},{"url":"https://1cpoly.ru/files/images/articles/pass/image12.png","local_file":"/Users/maria/Documents/ChatGPT/chatbot/output/faq_1cpoly_prepared_2026-10-25/assets/e95904ba74dd7badaaef.png"},{"url":"https://1cpoly.ru/files/images/articles/pass/image13.png","local_file":"/Users/maria/Documents/ChatGPT/chatbot/output/faq_1cpoly_prepared_2026-10-25/assets/a9facb814472706517d6.png"},{"url":"https://1cpoly.ru/files/images/articles/pass/image14.png","local_file":"/Users/maria/Documents/ChatGPT/chatbot/output/faq_1cpoly_prepared_2026-10-25/assets/96941d7fc1b581788fd8.png"},{"url":"https://1cpoly.ru/files/images/articles/pass/image15.png","local_file":"/Users/maria/Documents/ChatGPT/chatbot/output/faq_1cpoly_prepared_2026-10-25/assets/2f3da5e934c89b36b397.png"},{"url":"https://1cpoly.ru/files/images/articles/pass/image16.png","local_file":"/Users/maria/Documents/ChatGPT/chatbot/output/faq_1cpoly_prepared_2026-10-25/assets/fabd046fa81655d84e84.png"},{"url":"https://1cpoly.ru/files/images/articles/pass/image17.png","local_file":"/Users/maria/Documents/ChatGPT/chatbot/output/faq_1cpoly_prepared_2026-10-25/assets/c83874403ce8d89a0a51.png"},{"url":"https://1cpoly.ru/files/images/articles/pass/image18.png","local_file":"/Users/maria/Documents/ChatGPT/chatbot/output/faq_1cpoly_prepared_2026-10-25/assets/49e24ac68980c5f2b2c1.png"}],"applicability_check":"confirmed_by_consultant","required_facts":["Расчёт заказа включает операцию переработки на стороне и материал, который передаётся переработчику.","FAQ разбирает передачу рулонного материала для сторонней резки на примере коробки; порядок документов брать из полного ответа."],"approval_basis":"user_confirmed_consultant_approval"}]</x:v>
      </x:c>
      <x:c r="W187" s="6" t="str">
        <x:v>["В содержательном ответе отражены следующие подтверждённые пункты: Расчёт заказа включает операцию переработки на стороне и материал, который передаётся переработчику. FAQ разбирает передачу рулонного материала для сторонней резки на примере коробки; порядок документов брать из полного ответа.","Приведена релевантная ссылка на FAQ; смысл ответа согласуется с источником, нет неподтверждённых действий и лишнего уточнения."]</x:v>
      </x:c>
      <x:c r="X187" s="6" t="str">
        <x:v>approved</x:v>
      </x:c>
      <x:c r="Y187" s="6" t="str">
        <x:v>Карточка и применимость источников согласованы консультантом; утверждение подтверждено пользователем 25.10.2026.</x:v>
      </x:c>
      <x:c r="Z187" s="6" t="str">
        <x:v>G-a0685fe9a85129</x:v>
      </x:c>
      <x:c r="AA187" s="6" t="str">
        <x:v>dev</x:v>
      </x:c>
      <x:c r="AB187" s="6" t="str">
        <x:v>official_faq_entry</x:v>
      </x:c>
    </x:row>
    <x:row r="188" ht="115" customHeight="1">
      <x:c r="A188" s="6" t="str">
        <x:v>FAQ-poly2-192</x:v>
      </x:c>
      <x:c r="B188" s="6" t="str">
        <x:v>official_faq_entry:poly2-192</x:v>
      </x:c>
      <x:c r="C188" s="6" t="str">
        <x:v>{"history":[],"user_message":"Инструкция по переносу данных из 1С:Полиграфия 8 в 1С:ERP + Полиграфия 2"}</x:v>
      </x:c>
      <x:c r="D188" s="6" t="str">
        <x:v>{"product":"1С:УНФ 8. Полиграфия 2","version":"3.0.14.140","retrieval_state":"available","handoff_consent":false,"source_faq_id":"poly2-192","group_id":"faq_poly2-192","source_applicability":"confirmed_by_consultant","source_product":"1С:ERP / модуль Полиграфия для ERP","approval_basis":"user_confirmed_consultant_approval"}</x:v>
      </x:c>
      <x:c r="E188" s="6" t="str">
        <x:v>1С:УНФ 8. Полиграфия 2</x:v>
      </x:c>
      <x:c r="F188" s="6" t="str">
        <x:v>3.0.14.140</x:v>
      </x:c>
      <x:c r="G188" s="6" t="str">
        <x:v>not_reported</x:v>
      </x:c>
      <x:c r="H188" s="6" t="str">
        <x:v>default</x:v>
      </x:c>
      <x:c r="I188" s="6" t="str">
        <x:v>Применимость источников и эталона к 1С:УНФ 8. Полиграфия 2, релиз 3.0.14.140, подтверждена консультантом со слов пользователя.</x:v>
      </x:c>
      <x:c r="J188" s="13" t="str">
        <x:v>0</x:v>
      </x:c>
      <x:c r="K188" s="13" t="str">
        <x:v>5</x:v>
      </x:c>
      <x:c r="L188" s="7" t="b">
        <x:v>0</x:v>
      </x:c>
      <x:c r="M188" s="6" t="str">
        <x:v>not_applicable</x:v>
      </x:c>
      <x:c r="N188" s="6" t="str">
        <x:v>[]</x:v>
      </x:c>
      <x:c r="O188" s="7" t="b">
        <x:v>1</x:v>
      </x:c>
      <x:c r="P188" s="6" t="str">
        <x:v>K2</x:v>
      </x:c>
      <x:c r="Q188" s="6" t="str">
        <x:v>K2: история пуста, вопрос соответствует статье FAQ poly2-192; в утверждённом источнике есть достаточный применимый ответ для 3.0.14.140. Бот отвечает сразу с источником.</x:v>
      </x:c>
      <x:c r="R188" s="6" t="str">
        <x:v>["faq","poly2","documented_answer"]</x:v>
      </x:c>
      <x:c r="S188" s="6" t="str">
        <x:v>answer</x:v>
      </x:c>
      <x:c r="T188" s="6" t="str">
        <x:v>["Источник описывает переход из «1С:Полиграфия 8», ред. 1.3, в ERP с модулем Полиграфия в два этапа.","Переносятся настройки/справочники/остатки, затем полиграфические объекты; для этапов используются выгрузка данных и универсальный XML-обмен.","Указать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188"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188" s="6" t="str">
        <x:v>[{"source_file":"/Users/maria/chatbot_rag/knowledge base/faq_articles.jsonl","source_jsonl_line":4,"faq_id":"poly2-192","url":"https://1cpoly.ru/questions/?action=show&amp;id=192","source_locator":".faq-answer","title":"Инструкция по переносу данных из 1С:Полиграфия 8 в 1С:ERP + Полиграфия 2","source_answer":"Важно! Переход с 1С:Полиграфия 8, Ред.1.3 в 1С:Полиграфия 2. Модуль для 1С:ERP осуществляется выгрузкой/загрузкой данных.\n\nПереход на 1С:Полиграфия 2. Модуль для 1С:ERP осуществляется в 2 этапа:\n\nПеренос настроек параметров учета, справочной информации, начальных остатков и расчетных данных;\n\nПеренос объектов 1С:Полиграфии 8, Ред.1.3.\n\nВажно! Перед выполнением 1 этапа рекомендуется ознакомиться с руководством по переходу с УПП 1.3 и КА 1.1 на 1С:ERP Управление предприятием 2.\n\nДля выполнения 1 этапа необходимо использовать обработку Выгрузка данных, для второго - обработку Универсальный обмен данными в формате XML. Обработка Универсальный обмен данными в формате XML находится в папке Переход с других конфигураций шаблона конфигураций. Обработка Универсальный обмен данными в формате XML поставляется на диске ИТС. Правила обмена находятся в папке шаблона конфигурации. Имя файла Правила обмена_П8_П2ERP.XML\n\n1. Перенос настроек параметров учета, справочной информации, начальных остатков и расчетных данных\n\n1.1. Выгрузка справочной информации и настроек параметров учета\n\nНеобходимо открыть обработку Выгрузка данных. Для ее открытия необходимо войти в программу под правами администратора. Выбрать пункт меню Файл – Открыть и выбрать обработку Выгрузка данных\n\nВ открывшемся окне обработки необходимо выбрать из выпадающего меню пункт «\"1С:ERP Управление предприятием\", редакция 2.2» и нажать кнопку «Далее» для перехода ко 2-ому шагу. На 2-ом шаге необходимо снять галочку с пункта «Начальные остатки», а также необходимо установить другие параметры выгрузки.\n\nНа 3-ем шаге необходимо снять отметки со всех пунктов:\n\nНа последнем 4-ом шаге необходимо указать имя файла, в который будут выгружены данные, и нажать кнопку Выгрузить данные:\n\nПолученный архив будет содержать файлы с выгруженными данными, архив необходимо распаковать в какую-либо папку.\n\n1.2. Загрузка справочной информации и настроек параметров учета\n\nВыгруженные данные из 1С:Полиграфия 8, Ред.1.3 необходимо загрузить в 1С:Полиграфия 2. Модуль для 1С:ERP с помощью обработки Универсальный обмен данными в формате XML. Для открытия обработки необходимо войти в программу под правами администратора. Выбрать пункт меню Файл – Открыть и выбрать обработку Универсальный обмен данными в формате XML.\n\nДалее необходимо нажать кнопку Загрузить данные. После нажатия кнопки откроется диалоговое окно выбора файла загрузки. Необходимо выбрать файл с данными из распакованного архива (если файлов несколько, загружать по очереди), выгруженный из 1С:Полиграфия 8, Ред.1.3.\n\n1.3. Выгрузка начальных остатков и расчетных данных\n\nВыгрузка начальных остатков и расчетных данных выполняется также, как и выгрузка справочной информации и настроек параметров учета, которая описана в пункте 1.1, с той лишь разницей, что на 2 шаге необходимо установить галочку напротив пункта «Начальные остатки» и обязательно указать дату, на которую должны быть сформированы остатки:\n\nА на 3-ем шаге же необходимо установить отметки на всех пунктах и выбрать год, с которого будут выгружены все расчетные данные:\n\n1.4. Загрузка начальных остатков и расчетных данных\n\nЗагрузка начальных остатков и расчетных данных выполняется аналогично загрузке справочной информации и настроек параметров учета, описанного в пункте 1.2.\n\nЗагруженные остатки можно будет увидеть в списке документов Ввод начальных остатков.\n\n2. Перенос объектов 1С:Полиграфии 8, Ред.1.3\n\n2.1. Выгрузка данных\n\nДля открытия обработки необходимо войти в программу под правами администратора. Выбрать пункт меню Файл – Открыть и выбрать обработку Универсальный обмен данными в формате XML.\n\nДалее необходимо выбрать правила выгрузки данных, выбрав файл правил нажатием на кнопку Прочитать правила обмена. После загрузки правил необходимо выбрать справочники, документы и регистры для выгрузки. На закладке Параметры выгрузки необходимо установить дополнительные параметры выгрузки.\n\nПосле выбора параметров выгрузки необходимо указать имя файла выгрузки и нажать на кнопку Выгрузить данные.\n\n2.2. Загрузка данных\n\nВыгруженные данные из 1С:Полиграфия 8, Ред.1.3 необходимо загрузить в 1С:Полиграфия 2. Модуль для 1С:ERP с помощью обработки Универсальный обмен данными в формате XML. Для открытия обработки необходимо войти в программу под правами администратора. Выбрать пункт меню Файл – Открыть и выбрать обработку Универсальный обмен данными в формате XML.\n\nДалее необходимо нажать кнопку Загрузить данные. После нажатия кнопки откроется диалоговое окно выбора файла загрузки. Необходимо выбрать файл, выгруженный из 1С:Полиграфия 8, Ред.1.3.","content_sha256":"bab7b86b65c8a797f5de3cf7e2efac30fec6125acb74880f0ffddbf266aed195","saved_at":"2026-10-24T22:59:41.544702+03:00","image_refs":[{"url":"https://1cpoly.ru/i/newcont/faq-poly2-pr1.png","local_file":"/Users/maria/Documents/ChatGPT/chatbot/output/faq_1cpoly_prepared_2026-10-25/assets/c25db9fec775f1dd840b.png"},{"url":"https://1cpoly.ru/i/newcont/faq-poly2-pr2.png","local_file":"/Users/maria/Documents/ChatGPT/chatbot/output/faq_1cpoly_prepared_2026-10-25/assets/c2055ef891d9082f04ab.png"},{"url":"https://1cpoly.ru/i/newcont/faq-poly2-pr3.png","local_file":"/Users/maria/Documents/ChatGPT/chatbot/output/faq_1cpoly_prepared_2026-10-25/assets/ac8b6820abd3b6b2a09c.png"},{"url":"https://1cpoly.ru/i/newcont/faq-poly2-pr4.png","local_file":"/Users/maria/Documents/ChatGPT/chatbot/output/faq_1cpoly_prepared_2026-10-25/assets/fab369c3af429e190476.png"},{"url":"https://1cpoly.ru/i/newcont/faq-poly2-pr5.png","local_file":"/Users/maria/Documents/ChatGPT/chatbot/output/faq_1cpoly_prepared_2026-10-25/assets/fd0e080a8ac8ee8141e9.png"},{"url":"https://1cpoly.ru/i/newcont/faq-poly2-pr6.png","local_file":"/Users/maria/Documents/ChatGPT/chatbot/output/faq_1cpoly_prepared_2026-10-25/assets/b82937f8bff8e099035c.png"},{"url":"https://1cpoly.ru/i/newcont/faq-poly2-pr7.png","local_file":"/Users/maria/Documents/ChatGPT/chatbot/output/faq_1cpoly_prepared_2026-10-25/assets/142c47a34b71c76722bd.png"},{"url":"https://1cpoly.ru/i/newcont/faq-poly2-pr8.png","local_file":"/Users/maria/Documents/ChatGPT/chatbot/output/faq_1cpoly_prepared_2026-10-25/assets/37aa1e428c3cbb6f1208.png"},{"url":"https://1cpoly.ru/i/newcont/faq-poly2-pr9.png","local_file":"/Users/maria/Documents/ChatGPT/chatbot/output/faq_1cpoly_prepared_2026-10-25/assets/d965242e6b7af9de6148.png"},{"url":"https://1cpoly.ru/i/newcont/faq-poly2-pr10.png","local_file":"/Users/maria/Documents/ChatGPT/chatbot/output/faq_1cpoly_prepared_2026-10-25/assets/4dcb5aacea6f10c98861.png"}],"applicability_check":"confirmed_by_consultant","required_facts":["Источник описывает переход из «1С:Полиграфия 8», ред. 1.3, в ERP с модулем Полиграфия в два этапа.","Переносятся настройки/справочники/остатки, затем полиграфические объекты; для этапов используются выгрузка данных и универсальный XML-обмен."],"approval_basis":"user_confirmed_consultant_approval"}]</x:v>
      </x:c>
      <x:c r="W188" s="6" t="str">
        <x:v>["В содержательном ответе отражены следующие подтверждённые пункты: Источник описывает переход из «1С:Полиграфия 8», ред. 1.3, в ERP с модулем Полиграфия в два этапа. Переносятся настройки/справочники/остатки, затем полиграфические объекты; для этапов используются выгрузка данных и универсальный XML-обмен.","Приведена релевантная ссылка на FAQ; смысл ответа согласуется с источником, нет неподтверждённых действий и лишнего уточнения."]</x:v>
      </x:c>
      <x:c r="X188" s="6" t="str">
        <x:v>approved</x:v>
      </x:c>
      <x:c r="Y188" s="6" t="str">
        <x:v>Карточка и применимость источников согласованы консультантом; утверждение подтверждено пользователем 25.10.2026.</x:v>
      </x:c>
      <x:c r="Z188" s="6" t="str">
        <x:v>G-2ba694aecd0c03</x:v>
      </x:c>
      <x:c r="AA188" s="6" t="str">
        <x:v>dev</x:v>
      </x:c>
      <x:c r="AB188" s="6" t="str">
        <x:v>official_faq_entry</x:v>
      </x:c>
    </x:row>
    <x:row r="189" ht="115" customHeight="1">
      <x:c r="A189" s="6" t="str">
        <x:v>FAQ-poly2-189</x:v>
      </x:c>
      <x:c r="B189" s="6" t="str">
        <x:v>official_faq_entry:poly2-189</x:v>
      </x:c>
      <x:c r="C189" s="6" t="str">
        <x:v>{"history":[],"user_message":"Как учесть замену номенклатуры материала при поступлении материалов?"}</x:v>
      </x:c>
      <x:c r="D189" s="6" t="str">
        <x:v>{"product":"1С:УНФ 8. Полиграфия 2","version":"3.0.14.140","retrieval_state":"available","handoff_consent":false,"source_faq_id":"poly2-189","group_id":"faq_poly2-189","source_applicability":"confirmed_by_consultant","approval_basis":"user_confirmed_consultant_approval"}</x:v>
      </x:c>
      <x:c r="E189" s="6" t="str">
        <x:v>1С:УНФ 8. Полиграфия 2</x:v>
      </x:c>
      <x:c r="F189" s="6" t="str">
        <x:v>3.0.14.140</x:v>
      </x:c>
      <x:c r="G189" s="6" t="str">
        <x:v>not_reported</x:v>
      </x:c>
      <x:c r="H189" s="6" t="str">
        <x:v>default</x:v>
      </x:c>
      <x:c r="I189" s="6" t="str">
        <x:v>Применимость источников и эталона к 1С:УНФ 8. Полиграфия 2, релиз 3.0.14.140, подтверждена консультантом со слов пользователя.</x:v>
      </x:c>
      <x:c r="J189" s="13" t="str">
        <x:v>0</x:v>
      </x:c>
      <x:c r="K189" s="13" t="str">
        <x:v>5</x:v>
      </x:c>
      <x:c r="L189" s="7" t="b">
        <x:v>0</x:v>
      </x:c>
      <x:c r="M189" s="6" t="str">
        <x:v>not_applicable</x:v>
      </x:c>
      <x:c r="N189" s="6" t="str">
        <x:v>[]</x:v>
      </x:c>
      <x:c r="O189" s="7" t="b">
        <x:v>1</x:v>
      </x:c>
      <x:c r="P189" s="6" t="str">
        <x:v>K2</x:v>
      </x:c>
      <x:c r="Q189" s="6" t="str">
        <x:v>K2: история пуста, вопрос соответствует статье FAQ poly2-189; в утверждённом источнике есть достаточный применимый ответ для 3.0.14.140. Бот отвечает сразу с источником.</x:v>
      </x:c>
      <x:c r="R189" s="6" t="str">
        <x:v>["faq","poly2","documented_answer"]</x:v>
      </x:c>
      <x:c r="S189" s="6" t="str">
        <x:v>answer</x:v>
      </x:c>
      <x:c r="T189" s="6" t="str">
        <x:v>["Включается настройка «Номенклатура поставщиков».","В документах поступления сопоставляются наименования поставщика и собственная номенклатура.","Указать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189"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189" s="6" t="str">
        <x:v>[{"source_file":"/Users/maria/chatbot_rag/knowledge base/faq_articles.jsonl","source_jsonl_line":6,"faq_id":"poly2-189","url":"https://1cpoly.ru/questions/?action=show&amp;id=189","source_locator":".faq-answer","title":"Как учесть замену номенклатуры материала при поступлении материалов?","source_answer":"Устанавливаем настройку, позволяет использовать альтернативное наименование номенклатуры поставщиков:\n\nСтавим «галочку» в строке Номенклатура поставщиков\n\nПосле установки этой настройки, в документах поступления ТМЦ появится колонка Номенклатура поставщика, в которой мы можем указать соответствие наименования поставщика с нашим. Можно вести по группам, создавать связи с прайс-листами поставщика.","content_sha256":"7f87fe4458708b402f9909390d062493127e2ec3195195baf511a659a2d5d4e8","saved_at":"2026-10-24T22:59:41.544702+03:00","image_refs":[{"url":"https://1cpoly.ru/i/newcont/faq-poly2-zn1.png","local_file":"/Users/maria/Documents/ChatGPT/chatbot/output/faq_1cpoly_prepared_2026-10-25/assets/19f5e6f899437d69cf43.png"},{"url":"https://1cpoly.ru/i/newcont/faq-poly2-zn2.png","local_file":"/Users/maria/Documents/ChatGPT/chatbot/output/faq_1cpoly_prepared_2026-10-25/assets/fff7dfdeb87df2ad9072.png"},{"url":"https://1cpoly.ru/i/newcont/faq-poly2-zn3.png","local_file":"/Users/maria/Documents/ChatGPT/chatbot/output/faq_1cpoly_prepared_2026-10-25/assets/645e1239492401dbcf04.png"},{"url":"https://1cpoly.ru/i/newcont/faq-poly2-zn4.png","local_file":"/Users/maria/Documents/ChatGPT/chatbot/output/faq_1cpoly_prepared_2026-10-25/assets/c194f5b37a413a06ad00.png"}],"applicability_check":"confirmed_by_consultant","required_facts":["Включается настройка «Номенклатура поставщиков».","В документах поступления сопоставляются наименования поставщика и собственная номенклатура."],"approval_basis":"user_confirmed_consultant_approval"}]</x:v>
      </x:c>
      <x:c r="W189" s="6" t="str">
        <x:v>["В содержательном ответе отражены следующие подтверждённые пункты: Включается настройка «Номенклатура поставщиков». В документах поступления сопоставляются наименования поставщика и собственная номенклатура.","Приведена релевантная ссылка на FAQ; смысл ответа согласуется с источником, нет неподтверждённых действий и лишнего уточнения."]</x:v>
      </x:c>
      <x:c r="X189" s="6" t="str">
        <x:v>approved</x:v>
      </x:c>
      <x:c r="Y189" s="6" t="str">
        <x:v>Карточка и применимость источников согласованы консультантом; утверждение подтверждено пользователем 25.10.2026.</x:v>
      </x:c>
      <x:c r="Z189" s="6" t="str">
        <x:v>G-dfc7bd5c24b159</x:v>
      </x:c>
      <x:c r="AA189" s="6" t="str">
        <x:v>dev</x:v>
      </x:c>
      <x:c r="AB189" s="6" t="str">
        <x:v>official_faq_entry</x:v>
      </x:c>
    </x:row>
    <x:row r="190" ht="115" customHeight="1">
      <x:c r="A190" s="6" t="str">
        <x:v>FAQ-poly2-187</x:v>
      </x:c>
      <x:c r="B190" s="6" t="str">
        <x:v>official_faq_entry:poly2-187</x:v>
      </x:c>
      <x:c r="C190" s="6" t="str">
        <x:v>{"history":[],"user_message":"Как явно указать последовательность выполнения составляющих в расчете сложного заказа?"}</x:v>
      </x:c>
      <x:c r="D190" s="6" t="str">
        <x:v>{"product":"1С:УНФ 8. Полиграфия 2","version":"3.0.14.140","retrieval_state":"available","handoff_consent":false,"source_faq_id":"poly2-187","group_id":"faq_poly2-187","source_applicability":"confirmed_by_consultant","approval_basis":"user_confirmed_consultant_approval"}</x:v>
      </x:c>
      <x:c r="E190" s="6" t="str">
        <x:v>1С:УНФ 8. Полиграфия 2</x:v>
      </x:c>
      <x:c r="F190" s="6" t="str">
        <x:v>3.0.14.140</x:v>
      </x:c>
      <x:c r="G190" s="6" t="str">
        <x:v>not_reported</x:v>
      </x:c>
      <x:c r="H190" s="6" t="str">
        <x:v>default</x:v>
      </x:c>
      <x:c r="I190" s="6" t="str">
        <x:v>Применимость источников и эталона к 1С:УНФ 8. Полиграфия 2, релиз 3.0.14.140, подтверждена консультантом со слов пользователя.</x:v>
      </x:c>
      <x:c r="J190" s="13" t="str">
        <x:v>0</x:v>
      </x:c>
      <x:c r="K190" s="13" t="str">
        <x:v>5</x:v>
      </x:c>
      <x:c r="L190" s="7" t="b">
        <x:v>0</x:v>
      </x:c>
      <x:c r="M190" s="6" t="str">
        <x:v>not_applicable</x:v>
      </x:c>
      <x:c r="N190" s="6" t="str">
        <x:v>[]</x:v>
      </x:c>
      <x:c r="O190" s="7" t="b">
        <x:v>1</x:v>
      </x:c>
      <x:c r="P190" s="6" t="str">
        <x:v>K2</x:v>
      </x:c>
      <x:c r="Q190" s="6" t="str">
        <x:v>K2: история пуста, вопрос соответствует статье FAQ poly2-187; в утверждённом источнике есть достаточный применимый ответ для 3.0.14.140. Бот отвечает сразу с источником.</x:v>
      </x:c>
      <x:c r="R190" s="6" t="str">
        <x:v>["faq","poly2","documented_answer"]</x:v>
      </x:c>
      <x:c r="S190" s="6" t="str">
        <x:v>answer</x:v>
      </x:c>
      <x:c r="T190" s="6" t="str">
        <x:v>["У составляющей на вкладке «Расчёт» сложного заказа заполняется «Порядок выполнения».","Номера предшествующих составляющих перечисляются через запятую; без заданного порядка составляющие планируются параллельно.","Указать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190"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190" s="6" t="str">
        <x:v>[{"source_file":"/Users/maria/chatbot_rag/knowledge base/faq_articles.jsonl","source_jsonl_line":8,"faq_id":"poly2-187","url":"https://1cpoly.ru/questions/?action=show&amp;id=187","source_locator":".faq-answer","title":"Как явно указать последовательность выполнения составляющих в расчете сложного заказа?","source_answer":"Все составляющие сложного заказа планируются параллельно, согласно текущей занятостью рабочих центров, но бывают ситуации, когда необходимо явно указывать, последовательность выполнения составляющей ( например: составляющая -Издание ( Сборка Книги), должна быть выполнена только после того, когда напечатана деталь \"Блок и деталь\"Обложка\". В таком случае необходимо в табличной части закладки «Расчет» документа «Расчет сложного заказа» в колонке «Порядок выполнения» у детали \"Издание\" установить последовательность ее выполнения, перечислив через запятую номера тех составляющих, после выполнения которых ее необходимо выполнить. В нашем примере это будет выглядеть так \"1,2\" ( то есть выполнять после выполнения 1 составляющей (деталь \"Блок\") и после 2 составляющей (деталь \"Обложка\").\n\nРассмотрим как это будет выглядеть на диаграмме ганта после нажатия кнопки предварительного планирования.\n\nНиже рис. 1,2 без установления порядка выполнения.\n\nРис. 3,4 с установленным порядком.","content_sha256":"a7b5aa44c6fd7f2033edfeb37d91f9eef817b257dbb2a12e29f42b482f6cb110","saved_at":"2026-10-24T22:59:41.544702+03:00","image_refs":[{"url":"https://1cpoly.ru/i/newcont/erp-img1.jpg","local_file":"/Users/maria/Documents/ChatGPT/chatbot/output/faq_1cpoly_prepared_2026-10-25/assets/1cc5ef76f75d7bcd34bb.jpg"},{"url":"https://1cpoly.ru/i/newcont/erp-img2.jpg","local_file":"/Users/maria/Documents/ChatGPT/chatbot/output/faq_1cpoly_prepared_2026-10-25/assets/1402a5422c805de5df3c.jpg"},{"url":"https://1cpoly.ru/i/newcont/erp-img3.jpg","local_file":"/Users/maria/Documents/ChatGPT/chatbot/output/faq_1cpoly_prepared_2026-10-25/assets/eea120bf2b3acec9079b.jpg"},{"url":"https://1cpoly.ru/i/newcont/erp-img4.jpg","local_file":"/Users/maria/Documents/ChatGPT/chatbot/output/faq_1cpoly_prepared_2026-10-25/assets/5814b8501eec31a2f72b.jpg"}],"applicability_check":"confirmed_by_consultant","required_facts":["У составляющей на вкладке «Расчёт» сложного заказа заполняется «Порядок выполнения».","Номера предшествующих составляющих перечисляются через запятую; без заданного порядка составляющие планируются параллельно."],"approval_basis":"user_confirmed_consultant_approval"}]</x:v>
      </x:c>
      <x:c r="W190" s="6" t="str">
        <x:v>["В содержательном ответе отражены следующие подтверждённые пункты: У составляющей на вкладке «Расчёт» сложного заказа заполняется «Порядок выполнения». Номера предшествующих составляющих перечисляются через запятую; без заданного порядка составляющие планируются параллельно.","Приведена релевантная ссылка на FAQ; смысл ответа согласуется с источником, нет неподтверждённых действий и лишнего уточнения."]</x:v>
      </x:c>
      <x:c r="X190" s="6" t="str">
        <x:v>approved</x:v>
      </x:c>
      <x:c r="Y190" s="6" t="str">
        <x:v>Карточка и применимость источников согласованы консультантом; утверждение подтверждено пользователем 25.10.2026.</x:v>
      </x:c>
      <x:c r="Z190" s="6" t="str">
        <x:v>G-dbc301c999ab46</x:v>
      </x:c>
      <x:c r="AA190" s="6" t="str">
        <x:v>dev</x:v>
      </x:c>
      <x:c r="AB190" s="6" t="str">
        <x:v>official_faq_entry</x:v>
      </x:c>
    </x:row>
    <x:row r="191" ht="115" customHeight="1">
      <x:c r="A191" s="6" t="str">
        <x:v>FAQ-poly2-186</x:v>
      </x:c>
      <x:c r="B191" s="6" t="str">
        <x:v>official_faq_entry:poly2-186</x:v>
      </x:c>
      <x:c r="C191" s="6" t="str">
        <x:v>{"history":[],"user_message":"Как учесть изменение формата постпрессовых операций (например: при резке), и дальнейшую работу еще одной операции постпресса с уже измененным форматом?"}</x:v>
      </x:c>
      <x:c r="D191" s="6" t="str">
        <x:v>{"product":"1С:УНФ 8. Полиграфия 2","version":"3.0.14.140","retrieval_state":"available","handoff_consent":false,"source_faq_id":"poly2-186","group_id":"faq_poly2-186","source_applicability":"confirmed_by_consultant","approval_basis":"user_confirmed_consultant_approval"}</x:v>
      </x:c>
      <x:c r="E191" s="6" t="str">
        <x:v>1С:УНФ 8. Полиграфия 2</x:v>
      </x:c>
      <x:c r="F191" s="6" t="str">
        <x:v>3.0.14.140</x:v>
      </x:c>
      <x:c r="G191" s="6" t="str">
        <x:v>not_reported</x:v>
      </x:c>
      <x:c r="H191" s="6" t="str">
        <x:v>default</x:v>
      </x:c>
      <x:c r="I191" s="6" t="str">
        <x:v>Применимость источников и эталона к 1С:УНФ 8. Полиграфия 2, релиз 3.0.14.140, подтверждена консультантом со слов пользователя.</x:v>
      </x:c>
      <x:c r="J191" s="13" t="str">
        <x:v>0</x:v>
      </x:c>
      <x:c r="K191" s="13" t="str">
        <x:v>5</x:v>
      </x:c>
      <x:c r="L191" s="7" t="b">
        <x:v>0</x:v>
      </x:c>
      <x:c r="M191" s="6" t="str">
        <x:v>not_applicable</x:v>
      </x:c>
      <x:c r="N191" s="6" t="str">
        <x:v>[]</x:v>
      </x:c>
      <x:c r="O191" s="7" t="b">
        <x:v>1</x:v>
      </x:c>
      <x:c r="P191" s="6" t="str">
        <x:v>K2</x:v>
      </x:c>
      <x:c r="Q191" s="6" t="str">
        <x:v>K2: история пуста, вопрос соответствует статье FAQ poly2-186; в утверждённом источнике есть достаточный применимый ответ для 3.0.14.140. Бот отвечает сразу с источником.</x:v>
      </x:c>
      <x:c r="R191" s="6" t="str">
        <x:v>["faq","poly2","documented_answer"]</x:v>
      </x:c>
      <x:c r="S191" s="6" t="str">
        <x:v>answer</x:v>
      </x:c>
      <x:c r="T191" s="6" t="str">
        <x:v>["У предыдущей операции задаются формулы длины и ширины выходного формата на вкладке «Расчёт выходного формата».","Для ввода формул включается «Использовать расчёт выходного формата по формуле».","Указать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191"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191" s="6" t="str">
        <x:v>[{"source_file":"/Users/maria/chatbot_rag/knowledge base/faq_articles.jsonl","source_jsonl_line":9,"faq_id":"poly2-186","url":"https://1cpoly.ru/questions/?action=show&amp;id=186","source_locator":".faq-answer","title":"Как учесть изменение формата постпрессовых операций (например: при резке), и дальнейшую работу еще одной операции постпресса с уже измененным форматом?","source_answer":"Для автоматического подбора входного формата постпрессовых операций необходимо у предыдущей операции на вкладке «Расчет выходного формата» (видна только для операций вида: «Препресс», «Пресс» и «Постпресс») задать формулу расчета длины и ширины выходного формата операции.\n\nДля возможности ввода формул выходного формата операции, установите флажок Использовать расчет выходного формата по формуле.\n\nНажатием кнопки «Ввод формулы» вызывается диалог, в котором составляется формула расчета. В формуле могут участвовать все переменные, аналогичные формулы ввода тиража на закладке Расчет операции тиража.\n\nДалее для операции, у которой будет рассчитываться и подбираться входной формат по данным о формате предыдущей операции, установить на закладке «Доп. параметры» признак Использовать выходной формат операции. Программа позволяет пользователю указать операцию (реквизит «Операция выходного формата»), выходной формат которой будет использоваться для автоматического подбора формата на форме «Добавление операции» в полиграфических документах расчета заказов.\n\nВнимание! Если у операции не стоит зависимость расчета данных от формата (для стоимости, себестоимости, потерь, приладки, времени или материала), то реквизиты: \"Использовать выходной формат операции \" и \"Операция выходного формата\" будут недоступны.\n\nРассмотрим на примере:\n\nЗадача! Для операции Фальцовка должны подаваться листы (например форматом А4), после операции резка. На операцию Резка листы поступают после печати (например в формате А2).\n\nРешение:\n\nДля операции резка на закладке Расчет выходного формата задаем формулу для автоматического расчета длины и ширины выходного формата. В качестве числового параметра введем значение «количество резов», а в формулах длины и ширины выходного формата зададим следующее значение:\n\nШирина= Ширина формата операции/числовой параметр.\nДлина = Длина формата операции/числовой параметр\n\nДля операции фальцовка за закладке «Доп. параметры» установим параметр Использовать выходной формат операции в значение ИСТИНА. И укажем операцию выходного формата (резка), чей выходной формат программа будет анализировать при автоматическом подборе формата операции фальцовка.\n\nТаким образом, если в качестве формата операции резки будет задан формат А2 (420 х 594 мм), а числовой параметр «количество резов» =2, тогда на выходе операции резка мы получим формат А4 (210 х 297 мм). Этот формат и будет являться входным для операции фальцовка.","content_sha256":"85c0c062ed51a4bfc4e03bd875363e2cf15856b70e8a36dfa7713836f779a26e","saved_at":"2026-10-24T22:59:41.544702+03:00","image_refs":[{"url":"https://1cpoly.ru/i/newcont/reformatting-1.png","local_file":"/Users/maria/Documents/ChatGPT/chatbot/output/faq_1cpoly_prepared_2026-10-25/assets/c1e7d8c3f78da6ebbbe4.png"},{"url":"https://1cpoly.ru/i/newcont/reformatting-2.png","local_file":"/Users/maria/Documents/ChatGPT/chatbot/output/faq_1cpoly_prepared_2026-10-25/assets/ad9602c40c9539622f17.png"},{"url":"https://1cpoly.ru/i/newcont/reformatting-3.png","local_file":"/Users/maria/Documents/ChatGPT/chatbot/output/faq_1cpoly_prepared_2026-10-25/assets/7c8856f7eb8d73b5caa0.png"},{"url":"https://1cpoly.ru/i/newcont/reformatting-4.png","local_file":"/Users/maria/Documents/ChatGPT/chatbot/output/faq_1cpoly_prepared_2026-10-25/assets/52d5572e54ab714cfd5d.png"},{"url":"https://1cpoly.ru/i/newcont/reformatting-5.png","local_file":"/Users/maria/Documents/ChatGPT/chatbot/output/faq_1cpoly_prepared_2026-10-25/assets/36692dc0cad588267977.png"},{"url":"https://1cpoly.ru/i/newcont/reformatting-6.png","local_file":"/Users/maria/Documents/ChatGPT/chatbot/output/faq_1cpoly_prepared_2026-10-25/assets/3feaaa9bd317405a5724.png"}],"applicability_check":"confirmed_by_consultant","required_facts":["У предыдущей операции задаются формулы длины и ширины выходного формата на вкладке «Расчёт выходного формата».","Для ввода формул включается «Использовать расчёт выходного формата по формуле»."],"approval_basis":"user_confirmed_consultant_approval"}]</x:v>
      </x:c>
      <x:c r="W191" s="6" t="str">
        <x:v>["В содержательном ответе отражены следующие подтверждённые пункты: У предыдущей операции задаются формулы длины и ширины выходного формата на вкладке «Расчёт выходного формата». Для ввода формул включается «Использовать расчёт выходного формата по формуле».","Приведена релевантная ссылка на FAQ; смысл ответа согласуется с источником, нет неподтверждённых действий и лишнего уточнения."]</x:v>
      </x:c>
      <x:c r="X191" s="6" t="str">
        <x:v>approved</x:v>
      </x:c>
      <x:c r="Y191" s="6" t="str">
        <x:v>Карточка и применимость источников согласованы консультантом; утверждение подтверждено пользователем 25.10.2026.</x:v>
      </x:c>
      <x:c r="Z191" s="6" t="str">
        <x:v>G-9fd9e41b4fd418</x:v>
      </x:c>
      <x:c r="AA191" s="6" t="str">
        <x:v>dev</x:v>
      </x:c>
      <x:c r="AB191" s="6" t="str">
        <x:v>official_faq_entry</x:v>
      </x:c>
    </x:row>
    <x:row r="192" ht="115" customHeight="1">
      <x:c r="A192" s="6" t="str">
        <x:v>FAQ-poly2-170</x:v>
      </x:c>
      <x:c r="B192" s="6" t="str">
        <x:v>official_faq_entry:poly2-170</x:v>
      </x:c>
      <x:c r="C192" s="6" t="str">
        <x:v>{"history":[],"user_message":"Как 1С:Полиграфия 2 может сэкономить приладку при печати со Своим оборотом ?"}</x:v>
      </x:c>
      <x:c r="D192" s="6" t="str">
        <x:v>{"product":"1С:УНФ 8. Полиграфия 2","version":"3.0.14.140","retrieval_state":"available","handoff_consent":false,"source_faq_id":"poly2-170","group_id":"faq_poly2-170","source_applicability":"confirmed_by_consultant","approval_basis":"user_confirmed_consultant_approval"}</x:v>
      </x:c>
      <x:c r="E192" s="6" t="str">
        <x:v>1С:УНФ 8. Полиграфия 2</x:v>
      </x:c>
      <x:c r="F192" s="6" t="str">
        <x:v>3.0.14.140</x:v>
      </x:c>
      <x:c r="G192" s="6" t="str">
        <x:v>not_reported</x:v>
      </x:c>
      <x:c r="H192" s="6" t="str">
        <x:v>default</x:v>
      </x:c>
      <x:c r="I192" s="6" t="str">
        <x:v>Применимость источников и эталона к 1С:УНФ 8. Полиграфия 2, релиз 3.0.14.140, подтверждена консультантом со слов пользователя.</x:v>
      </x:c>
      <x:c r="J192" s="13" t="str">
        <x:v>0</x:v>
      </x:c>
      <x:c r="K192" s="13" t="str">
        <x:v>5</x:v>
      </x:c>
      <x:c r="L192" s="7" t="b">
        <x:v>0</x:v>
      </x:c>
      <x:c r="M192" s="6" t="str">
        <x:v>not_applicable</x:v>
      </x:c>
      <x:c r="N192" s="6" t="str">
        <x:v>[]</x:v>
      </x:c>
      <x:c r="O192" s="7" t="b">
        <x:v>1</x:v>
      </x:c>
      <x:c r="P192" s="6" t="str">
        <x:v>K2</x:v>
      </x:c>
      <x:c r="Q192" s="6" t="str">
        <x:v>K2: история пуста, вопрос соответствует статье FAQ poly2-170; в утверждённом источнике есть достаточный применимый ответ для 3.0.14.140. Бот отвечает сразу с источником.</x:v>
      </x:c>
      <x:c r="R192" s="6" t="str">
        <x:v>["faq","poly2","documented_answer"]</x:v>
      </x:c>
      <x:c r="S192" s="6" t="str">
        <x:v>answer</x:v>
      </x:c>
      <x:c r="T192" s="6" t="str">
        <x:v>["При своём обороте один комплект форм используется для лица и оборота, что позволяет экономить формы/приладки.","В источнике описаны «Свой оборот» и «Последние спуски со СО»; ограничения зависят от технологии, экономия не универсальна.","Указать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192"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192" s="6" t="str">
        <x:v>[{"source_file":"/Users/maria/chatbot_rag/knowledge base/faq_articles.jsonl","source_jsonl_line":16,"faq_id":"poly2-170","url":"https://1cpoly.ru/questions/?action=show&amp;id=170","source_locator":".faq-answer","title":"Как 1С:Полиграфия 2 может сэкономить приладку при печати со Своим оборотом ?","source_answer":"Рассмотрим что же такое печать \"с чужим оборотом\" и печать \"со своим оборотом\".\nПредположим, Вам надо отпечатать блок брошюры А5 формата.\nКоличество полос блока брошюры: 20.\nЦветность: 4+4.\nНа одном печатном листе формата А3 размещается 8 полос брошюры (То есть 4 полосы с лицевой части листа , и так как печать двусторонняя, то и 4 с оборотной части ).\nОбщее количество полос брошюры (20) делим на количество полос на одном печатном листе с двух сторон (8) и умножаем на тираж продукции (например 1000) , тем самым получаем общее количество печатных листов формата А3, которое нам потребуется для печати 1000 брошюр.\n20*1000/8=2500 листов.\n\nНа самом деле, выражения «свой» оборот, «чужой» оборот - термины полиграфистов. Корректнее говорить «оборот - своя форма» и «оборот - чужая форма». В нашем примере, если на лицевой части листа расположить только лицевые стороны продукции \"брошюра\", а на другом комплекте форм – обороты, такая независимая печать считается «чужой оборот».\n\nТеперь рассмотрим как программа разложит печатные полосы изделия на формате А3 при печати с \"Чужим оборотом\".\n\nНа рисунке 2 наглядно видно, что для печати 20 полосного блока брошюры формата А5 на печатном листе формата А3 и тиражом 1000 штук , мы получим 6 приладок и 6 спусков. 1,2,3.4 спуски будут по 1000 листов, и только 5 и 6 спуски будет по 500 штук, так как на листе поместятся в 2 раза больше полос продукции .\n\nПечать \"со своим оборотом\" -это печать сюжета с двух сторон материала, используя комплект печатных пластин только для одной стороны, с последующим переворотом материала без новой приладки. Таким образом, сначала печатается по одной стороне сразу и лицо и оборот изделия рядом, потом на другой стороне также печатаются лицо и оборот этого изделия. Количество печатных форм уменьшается вдвое, нет необходимости смены форм для печати лицевой и оборотной сторон. Технология выгодна тем, что количество печатных форм вдвое меньше, нет смены форм для печатания лицевой и оборотной сторон, но при этом количество листопрогонов удваивается.\n\nРассмотрим как программа разложит печатные полосы изделия на формате А3 при печати с \"Со своим оборотом \". Для этого на закладке \"Пресс\" в блоке \"Параметры печати\" нужно установить галочку \"Свой оборот\" и рассчитать заказ.\n\nНа рисунке 5,6 наглядно видно, что для печати \"своим оборотом\" 20 полосного блока брошюры формата А5 на печатном листе формата А3 и тиражом 1000 штук , мы получим 5 приладок и 10 спусков. Все спуски будут по 500 листов, так как на лице печатного листа мы одновременно размещаем одну форму сразу и «лицо», и «оборот». Процесс печати будет выглядеть следующим образом: приладка, печать половины тиража, переворот стопы и печать второй половины тиража. При таком подходе можно реально сэкономить одну приладку.\n\nПри печати со «своим» оборотом может реально ускорить и удешевить процесс производства. В принципе, все это так. Но есть и существенные ограничения. Первое и самое главное - потери времени, которые возникают при «вылеживании» стопы перед переворотом и повторной запечаткой. Свежеотпечатанную стопу нельзя некоторое время «беспокоить», пока краска не успела хорошо «схватиться», иначе есть риск смазать или поцарапать оттиски. А вот, сколько нельзя «беспокоить» стопу, зависит от множества факторов: вида бумаги, краски, «климата» в цеху и т. д. Это может быть 15–20 мин., а может и несколько часов (и даже дней, если печатать приходится на сложных материалах, например пластике).\n\nВ 1с полиграфии есть еще один способ печати (комбинированный) суть его в том, что все спуски печатаем с \"чужим\" оборотом и только последние со\"своим\" оборотом. Рассмотрим как программа разложит печатные полосы изделия на формате А3 при таком способе печати с \"Последние спуски со своим оборотом\". Для этого на закладке \"Пресс\" в блоке \"Параметры печати\" нужно установить галочку \" Последние спуски со СО\" и рассчитать заказ.\n\nНа рисунке 8,9 наглядно видно, что для печати \" Последние спуски со СО \" 20 полосного блока брошюры формата А5 на печатном листе формата А3 и тиражом 1000 штук , мы получим 5 приладок и 6 спусков. 1,2,3.4 спуски будут по 1000 листов, и только 5 и 6 спуски будет по 500 штук, так как на листе поместятся в 2 раза больше полос продукции.\n\nЕсли Изменить формат печатного листа с А3 на 840 x 900 мм, чтоб все полосы продукции помещались на печатный лист ( а именно на печатный лист умещаются 48 полос. 24 на лице и 24 на обороте, то увидим следующее, что для печати 20 полосного блока брошюры формата А5 тиражом 1000 штук , мы получим 2 приладки и 2 спуска по 500 листов при печати \"Чужой\" оборот.\n\nЕсли установить \"Свой оборот \" , то получим при печати 1 приладку и 2 спуска по 500 листов.","content_sha256":"1b42f6d756711635be2d6abe41a0b65f4bbbaf2867f4c3401b3850019b01674c","saved_at":"2026-10-24T22:59:41.544702+03:00","image_refs":[{"url":"https://1cpoly.ru/i/newcont/faq-ex-1.png","local_file":"/Users/maria/Documents/ChatGPT/chatbot/output/faq_1cpoly_prepared_2026-10-25/assets/0e1d8d901914b3c42197.png"},{"url":"https://1cpoly.ru/i/newcont/faq-ex-2.png","local_file":"/Users/maria/Documents/ChatGPT/chatbot/output/faq_1cpoly_prepared_2026-10-25/assets/80c1c4116df14682122e.png"},{"url":"https://1cpoly.ru/i/newcont/faq-ex-3.png","local_file":"/Users/maria/Documents/ChatGPT/chatbot/output/faq_1cpoly_prepared_2026-10-25/assets/6c6936d3bf765fb31c4e.png"},{"url":"https://1cpoly.ru/i/newcont/faq-ex-4.png","local_file":"/Users/maria/Documents/ChatGPT/chatbot/output/faq_1cpoly_prepared_2026-10-25/assets/ac2d8e874fad7be520d0.png"},{"url":"https://1cpoly.ru/i/newcont/faq-ex-5.png","local_file":"/Users/maria/Documents/ChatGPT/chatbot/output/faq_1cpoly_prepared_2026-10-25/assets/c564d6e07a7ec7cf85e2.png"},{"url":"https://1cpoly.ru/i/newcont/faq-ex-6.png","local_file":"/Users/maria/Documents/ChatGPT/chatbot/output/faq_1cpoly_prepared_2026-10-25/assets/ef8544d2ed0d39158748.png"},{"url":"https://1cpoly.ru/i/newcont/faq-ex-7.png","local_file":"/Users/maria/Documents/ChatGPT/chatbot/output/faq_1cpoly_prepared_2026-10-25/assets/4fd320a67cb1b3c3cbc1.png"},{"url":"https://1cpoly.ru/i/newcont/faq-ex-8.png","local_file":"/Users/maria/Documents/ChatGPT/chatbot/output/faq_1cpoly_prepared_2026-10-25/assets/19e788f2568df5e0b9ac.png"},{"url":"https://1cpoly.ru/i/newcont/faq-ex-9.png","local_file":"/Users/maria/Documents/ChatGPT/chatbot/output/faq_1cpoly_prepared_2026-10-25/assets/b0244bf527e6bc6aeaf0.png"},{"url":"https://1cpoly.ru/i/newcont/faq-ex-10.png","local_file":"/Users/maria/Documents/ChatGPT/chatbot/output/faq_1cpoly_prepared_2026-10-25/assets/73a748b50ab315ebb28d.png"},{"url":"https://1cpoly.ru/i/newcont/faq-ex-11.png","local_file":"/Users/maria/Documents/ChatGPT/chatbot/output/faq_1cpoly_prepared_2026-10-25/assets/fa0275b436ed4a5a38b0.png"},{"url":"https://1cpoly.ru/i/newcont/faq-ex-12.png","local_file":"/Users/maria/Documents/ChatGPT/chatbot/output/faq_1cpoly_prepared_2026-10-25/assets/7766a1098d7f0b9f7c10.png"},{"url":"https://1cpoly.ru/i/newcont/faq-ex-13.png","local_file":"/Users/maria/Documents/ChatGPT/chatbot/output/faq_1cpoly_prepared_2026-10-25/assets/08628758f4d38a831c5d.png"},{"url":"https://1cpoly.ru/i/newcont/faq-ex-14.png","local_file":"/Users/maria/Documents/ChatGPT/chatbot/output/faq_1cpoly_prepared_2026-10-25/assets/eb9b852c1c3f6759b4af.png"}],"applicability_check":"confirmed_by_consultant","required_facts":["При своём обороте один комплект форм используется для лица и оборота, что позволяет экономить формы/приладки.","В источнике описаны «Свой оборот» и «Последние спуски со СО»; ограничения зависят от технологии, экономия не универсальна."],"approval_basis":"user_confirmed_consultant_approval"}]</x:v>
      </x:c>
      <x:c r="W192" s="6" t="str">
        <x:v>["В содержательном ответе отражены следующие подтверждённые пункты: При своём обороте один комплект форм используется для лица и оборота, что позволяет экономить формы/приладки. В источнике описаны «Свой оборот» и «Последние спуски со СО»; ограничения зависят от технологии, экономия не универсальна.","Приведена релевантная ссылка на FAQ; смысл ответа согласуется с источником, нет неподтверждённых действий и лишнего уточнения."]</x:v>
      </x:c>
      <x:c r="X192" s="6" t="str">
        <x:v>approved</x:v>
      </x:c>
      <x:c r="Y192" s="6" t="str">
        <x:v>Карточка и применимость источников согласованы консультантом; утверждение подтверждено пользователем 25.10.2026.</x:v>
      </x:c>
      <x:c r="Z192" s="6" t="str">
        <x:v>G-16543269f02410</x:v>
      </x:c>
      <x:c r="AA192" s="6" t="str">
        <x:v>dev</x:v>
      </x:c>
      <x:c r="AB192" s="6" t="str">
        <x:v>official_faq_entry</x:v>
      </x:c>
    </x:row>
    <x:row r="193" ht="115" customHeight="1">
      <x:c r="A193" s="6" t="str">
        <x:v>FAQ-poly2-211</x:v>
      </x:c>
      <x:c r="B193" s="6" t="str">
        <x:v>official_faq_entry:poly2-211</x:v>
      </x:c>
      <x:c r="C193" s="6" t="str">
        <x:v>{"history":[],"user_message":"Как организовать серийный учет рулонов бумаги?"}</x:v>
      </x:c>
      <x:c r="D193" s="6" t="str">
        <x:v>{"product":"1С:УНФ 8. Полиграфия 2","version":"3.0.14.140","retrieval_state":"available","handoff_consent":false,"source_faq_id":"poly2-211","group_id":"faq_poly2-211","source_applicability":"confirmed_by_consultant","approval_basis":"user_confirmed_consultant_approval"}</x:v>
      </x:c>
      <x:c r="E193" s="6" t="str">
        <x:v>1С:УНФ 8. Полиграфия 2</x:v>
      </x:c>
      <x:c r="F193" s="6" t="str">
        <x:v>3.0.14.140</x:v>
      </x:c>
      <x:c r="G193" s="6" t="str">
        <x:v>not_reported</x:v>
      </x:c>
      <x:c r="H193" s="6" t="str">
        <x:v>default</x:v>
      </x:c>
      <x:c r="I193" s="6" t="str">
        <x:v>Применимость источников и эталона к 1С:УНФ 8. Полиграфия 2, релиз 3.0.14.140, подтверждена консультантом со слов пользователя.</x:v>
      </x:c>
      <x:c r="J193" s="13" t="str">
        <x:v>0</x:v>
      </x:c>
      <x:c r="K193" s="13" t="str">
        <x:v>5</x:v>
      </x:c>
      <x:c r="L193" s="7" t="b">
        <x:v>0</x:v>
      </x:c>
      <x:c r="M193" s="6" t="str">
        <x:v>not_applicable</x:v>
      </x:c>
      <x:c r="N193" s="6" t="str">
        <x:v>[]</x:v>
      </x:c>
      <x:c r="O193" s="7" t="b">
        <x:v>1</x:v>
      </x:c>
      <x:c r="P193" s="6" t="str">
        <x:v>K2</x:v>
      </x:c>
      <x:c r="Q193" s="6" t="str">
        <x:v>K2: история пуста, вопрос соответствует статье FAQ poly2-211; в утверждённом источнике есть достаточный применимый ответ для 3.0.14.140. Бот отвечает сразу с источником.</x:v>
      </x:c>
      <x:c r="R193" s="6" t="str">
        <x:v>["faq","poly2","documented_answer"]</x:v>
      </x:c>
      <x:c r="S193" s="6" t="str">
        <x:v>answer</x:v>
      </x:c>
      <x:c r="T193" s="6" t="str">
        <x:v>["Рулон учитывается через номенклатуру и характеристику с шириной, плотностью, весом и номером рулона.","Для характеристики задаётся штрихкод и печатается бирка; поступление фиксирует характеристику и количество погонных метров.","Указать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193"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193" s="6" t="str">
        <x:v>[{"source_file":"/Users/maria/chatbot_rag/knowledge base/faq_articles.jsonl","source_jsonl_line":18,"faq_id":"poly2-211","url":"https://1cpoly.ru/questions/?action=show&amp;id=211","source_locator":".faq-answer","title":"Как организовать серийный учет рулонов бумаги?","source_answer":"Заведем в базе рулонную номенклатуру «Импортный картон», учет данной номенклатуры будем вести в пог.м. В характеристику введем формат рулона ( ширина), плотность, вес и номер рулона (данные от поставщика).\n\nОформим поступление данной номенклатуры на склад.\n\nВ документе приходная накладная указываем материал, характеристику и кол-во пог.метров, которые поступили нам от поставщика.\n\nПо каждой характеристики картона заводим штрих код и распечатываем на наши рулоны.\n\nМакет бирки можно разработать любой.\n\nВидим остатки на складе по данной номенклатуре.\n\nВАЖНО!!! Если в базе уже введен Штрихкод поставщика, по которому материал оприходуют на склад, то при поступлении картона все данные в программу заносятся с паспорта на рулоне, сканером.\n\nТеперь рассмотрим пример заказа на плакат, на который запланирован расход данной номенклатуры характеристикой: Формат 1 206, Плотность 270, № 49078,Вес-1490 в количестве 356 пог.м. При отражении факта пользователь, отмечая фактическое выполнение операции печати, указывает и факт расхода по материалам.\n\nВариант №1\n\nРассмотрим вариант, когда печатник отмечает тот материал, который и был запланирован. Сканером печатник находит данный материал в базе и указывает фактический расход.\n\nВариант №2\n\nРассмотрим вариант, когда печатник отмечает по факту расход другого рулона данного материала, который не был запланирован. Сканером печатник находит данный материал в базе и указывает фактический расход или в запланированном материале заменяет плановый материал данными по факту.\n\nПользователь также может вводить по факту любой фактический расход материалов, который не был учтен по плану.\n\nВ отчете «Расширенный анализ себестоимости выпуска полиграфии» можно сравнить плановые данные по материалу и фактический расход.","content_sha256":"03c54c4cca6bef2d17decd5f2338ef24b6cc4c4693663b50db877dd3ff753926","saved_at":"2026-10-24T22:59:41.544702+03:00","image_refs":[{"url":"https://1cpoly.ru/i/newcont/faq-poly2-p1.png","local_file":"/Users/maria/Documents/ChatGPT/chatbot/output/faq_1cpoly_prepared_2026-10-25/assets/a92ac86e4bd4f48391ea.png"},{"url":"https://1cpoly.ru/i/newcont/faq-poly2-p2.png","local_file":"/Users/maria/Documents/ChatGPT/chatbot/output/faq_1cpoly_prepared_2026-10-25/assets/8493e9d492873b9350f4.png"},{"url":"https://1cpoly.ru/i/newcont/faq-poly2-p3.png","local_file":"/Users/maria/Documents/ChatGPT/chatbot/output/faq_1cpoly_prepared_2026-10-25/assets/1fc67de18b25d2fb58db.png"},{"url":"https://1cpoly.ru/i/newcont/faq-poly2-p4.png","local_file":"/Users/maria/Documents/ChatGPT/chatbot/output/faq_1cpoly_prepared_2026-10-25/assets/c1f82ab67ba49360a77f.png"},{"url":"https://1cpoly.ru/i/newcont/faq-poly2-p5.png","local_file":"/Users/maria/Documents/ChatGPT/chatbot/output/faq_1cpoly_prepared_2026-10-25/assets/367f06efa517d3d77ac8.png"},{"url":"https://1cpoly.ru/i/newcont/faq-poly2-p6.png","local_file":"/Users/maria/Documents/ChatGPT/chatbot/output/faq_1cpoly_prepared_2026-10-25/assets/a5465db25131c39830b4.png"},{"url":"https://1cpoly.ru/i/newcont/faq-poly2-p7.png","local_file":"/Users/maria/Documents/ChatGPT/chatbot/output/faq_1cpoly_prepared_2026-10-25/assets/44d35bcf4b8e79217d39.png"},{"url":"https://1cpoly.ru/i/newcont/faq-poly2-p8.png","local_file":"/Users/maria/Documents/ChatGPT/chatbot/output/faq_1cpoly_prepared_2026-10-25/assets/7b833b057923f86bb5f8.png"},{"url":"https://1cpoly.ru/i/newcont/faq-poly2-p9.png","local_file":"/Users/maria/Documents/ChatGPT/chatbot/output/faq_1cpoly_prepared_2026-10-25/assets/a80bb8f75a2309dc8158.png"},{"url":"https://1cpoly.ru/i/newcont/faq-poly2-p10.png","local_file":"/Users/maria/Documents/ChatGPT/chatbot/output/faq_1cpoly_prepared_2026-10-25/assets/6bb8170d9abd1fcd75d5.png"},{"url":"https://1cpoly.ru/i/newcont/faq-poly2-p11.png","local_file":"/Users/maria/Documents/ChatGPT/chatbot/output/faq_1cpoly_prepared_2026-10-25/assets/e5744383b9e2955cb633.png"},{"url":"https://1cpoly.ru/i/newcont/faq-poly2-p12.png","local_file":"/Users/maria/Documents/ChatGPT/chatbot/output/faq_1cpoly_prepared_2026-10-25/assets/2441166849618886d3e1.png"},{"url":"https://1cpoly.ru/i/newcont/faq-poly2-p14.png","local_file":"/Users/maria/Documents/ChatGPT/chatbot/output/faq_1cpoly_prepared_2026-10-25/assets/3fb2219db9500962d78e.png"}],"applicability_check":"confirmed_by_consultant","required_facts":["Рулон учитывается через номенклатуру и характеристику с шириной, плотностью, весом и номером рулона.","Для характеристики задаётся штрихкод и печатается бирка; поступление фиксирует характеристику и количество погонных метров."],"approval_basis":"user_confirmed_consultant_approval"}]</x:v>
      </x:c>
      <x:c r="W193" s="6" t="str">
        <x:v>["В содержательном ответе отражены следующие подтверждённые пункты: Рулон учитывается через номенклатуру и характеристику с шириной, плотностью, весом и номером рулона. Для характеристики задаётся штрихкод и печатается бирка; поступление фиксирует характеристику и количество погонных метров.","Приведена релевантная ссылка на FAQ; смысл ответа согласуется с источником, нет неподтверждённых действий и лишнего уточнения."]</x:v>
      </x:c>
      <x:c r="X193" s="6" t="str">
        <x:v>approved</x:v>
      </x:c>
      <x:c r="Y193" s="6" t="str">
        <x:v>Карточка и применимость источников согласованы консультантом; утверждение подтверждено пользователем 25.10.2026.</x:v>
      </x:c>
      <x:c r="Z193" s="6" t="str">
        <x:v>G-90a119249a958c</x:v>
      </x:c>
      <x:c r="AA193" s="6" t="str">
        <x:v>dev</x:v>
      </x:c>
      <x:c r="AB193" s="6" t="str">
        <x:v>official_faq_entry</x:v>
      </x:c>
    </x:row>
    <x:row r="194" ht="115" customHeight="1">
      <x:c r="A194" s="6" t="str">
        <x:v>FAQ-poly2-215</x:v>
      </x:c>
      <x:c r="B194" s="6" t="str">
        <x:v>official_faq_entry:poly2-215</x:v>
      </x:c>
      <x:c r="C194" s="6" t="str">
        <x:v>{"history":[],"user_message":"Работа с мониторами TouchScreen в производстве и работа с штрихкодами (бирками) материалов при отметке факта расхода"}</x:v>
      </x:c>
      <x:c r="D194" s="6" t="str">
        <x:v>{"product":"1С:УНФ 8. Полиграфия 2","version":"3.0.14.140","retrieval_state":"available","handoff_consent":false,"source_faq_id":"poly2-215","group_id":"faq_poly2-215","source_applicability":"confirmed_by_consultant","approval_basis":"user_confirmed_consultant_approval"}</x:v>
      </x:c>
      <x:c r="E194" s="6" t="str">
        <x:v>1С:УНФ 8. Полиграфия 2</x:v>
      </x:c>
      <x:c r="F194" s="6" t="str">
        <x:v>3.0.14.140</x:v>
      </x:c>
      <x:c r="G194" s="6" t="str">
        <x:v>not_reported</x:v>
      </x:c>
      <x:c r="H194" s="6" t="str">
        <x:v>default</x:v>
      </x:c>
      <x:c r="I194" s="6" t="str">
        <x:v>Применимость источников и эталона к 1С:УНФ 8. Полиграфия 2, релиз 3.0.14.140, подтверждена консультантом со слов пользователя.</x:v>
      </x:c>
      <x:c r="J194" s="13" t="str">
        <x:v>0</x:v>
      </x:c>
      <x:c r="K194" s="13" t="str">
        <x:v>5</x:v>
      </x:c>
      <x:c r="L194" s="7" t="b">
        <x:v>0</x:v>
      </x:c>
      <x:c r="M194" s="6" t="str">
        <x:v>not_applicable</x:v>
      </x:c>
      <x:c r="N194" s="6" t="str">
        <x:v>[]</x:v>
      </x:c>
      <x:c r="O194" s="7" t="b">
        <x:v>1</x:v>
      </x:c>
      <x:c r="P194" s="6" t="str">
        <x:v>K2</x:v>
      </x:c>
      <x:c r="Q194" s="6" t="str">
        <x:v>K2: история пуста, вопрос соответствует статье FAQ poly2-215; в утверждённом источнике есть достаточный применимый ответ для 3.0.14.140. Бот отвечает сразу с источником.</x:v>
      </x:c>
      <x:c r="R194" s="6" t="str">
        <x:v>["faq","poly2","documented_answer"]</x:v>
      </x:c>
      <x:c r="S194" s="6" t="str">
        <x:v>answer</x:v>
      </x:c>
      <x:c r="T194" s="6" t="str">
        <x:v>["В «Ролях пользователей» на вкладке «Планирование» выбирается форма открытия TouchScreen.","При идентификации по бейджику используется регистр штрихкодов сотрудников; интерфейс отражает факт выполнения заказов.","Указать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194"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194" s="6" t="str">
        <x:v>[{"source_file":"/Users/maria/chatbot_rag/knowledge base/faq_articles.jsonl","source_jsonl_line":20,"faq_id":"poly2-215","url":"https://1cpoly.ru/questions/?action=show&amp;id=215","source_locator":".faq-answer","title":"Работа с мониторами TouchScreen в производстве и работа с штрихкодами (бирками) материалов при отметке факта расхода","source_answer":"В системе автоматизации «1С:Полиграфия 2» для интеграции с монитором TouchScreen разработана специальная форма для отражения факта выполнения полиграфических заказов.\n\nВ справочнике Роли пользователей на закладке «Планирование» -&gt; Группа «Выбор формы открытия» можно выбрать два варианта открытия формы для TouchScreen.\n\nПервый вариант- через форму идентификации сотрудника, данная форма используется при работе со сканером штрихкодов, когда каждому сотруднику задан свой штрихкод в регистре сведений «Штрихкоды сотрудников организации».\n\nСканируя бейджик с персональным штрихкодом, сотрудник идентифицируется в базе 1 (как сотрудник организации или бригада) и автоматически открывается форма TouchScreen с настройками данного пользователя.\n\nФорма «Идентификация сотрудника», позволяет также отрыть форму TouchScreen с отбором по нужному заказу. Для этого перед идентификацией сотрудника необходимо считать сканером штрихкод технологической карты заказа, а затем идентифицироваться сотруднику.\n\nДля удобного отражения начала и окончания выполнения операций, на форму для TouchScreen вынесены кнопки «В работу» и «Отработан», при нажатии на которые система фиксирует начало выполнение операции или ее окончание.\n\nПри необходимости пользователь может изменить время начала и окончания операции вручную, а также перевыбрать оборудование, исполнителя и указать фактический тираж операции.\n\nЕсли существует необходимость приостановки операции заказа, то для это выведены на форму 2 кнопки \"Приостановка Вкл.\" и \"Приостановка Выкл.\".\n\nЧто бы данные кнопки были доступны, в справочнике \"Роли пользователей\" на вкладке \"Планирование\" должно быть установлено свойство \"Возможность приостановки выполнения распланированных заказов\".\n\nПри выборе операций в форме TouchScreen в правой нижней части формы программа информирует пользователя о необходимости отметить расход по материалам для данной операции (надпись \"Необходимо заполнить фактический расход по материалам\").\n\nЕсли необходимо указать фактический расход по материалу, нужно нажать на кнопку \"Расход материалов\" и перейти в блок отражения данных по расходу материалов.\n\nДля удобства пользователей, добавлена возможность оперативно отмечать расход по материалу с помощью сканера штрихкодов (для этого в настройках «Панель администрирования Полиграфии – Планирование» должна быть установлена константа Использовать штрихкоды для поиска материалов).\n\nСканируя штрихкод материала можно легко найти материал и отметить фактический его расход.\n\nНа остаток материала можно оперативно распечатать бирку. Для этого достаточно нажать на кнопку «Печать штрихкода», ввести начальные данные по материалу, фактический расход программа подтягивает автоматически из реквизита «Количество по факту», а при нажатии на кнопку «Ок» формируется печатная форма бирки данного материала с информацией по его остатку.\n\nЕсли необходимо отметить расход не запланированного материала к операции, то достаточно отсканировать его штрихкод, программа найдет данный материал и предложит ввести фактический расход.\n\nЕсли необходимо зафиксировать брак по материалу, в нижней части формы необходимо установить флажок «Брак» в значение Истина и при необходимости указать причину брака.\n\nЕсли необходимо заменить печатный материал, который планировался к выполнению в данном заказе реально другим (или аналогичным, но с другой характеристикой) материалом. Необходимо нажать на кнопку «Замена по штрихкоду» и отсканировать фактический материал замены, программа сама найдет данный материал в базе и заменит плановый, на фактический выбранный пользователем.\n\nВ отчете «Расширенный анализ себестоимости выпуска полиграфии» можно будет провести сравнительный анализ расхода материалов на выполнение полиграфических заказов по плану и по факту.\n\nВ системе автоматизации «1С:Полиграфия 2» применение мониторов TouchScreen очень удобно и возможно с любым полиграфическим оборудованием: у оператора машины есть возможность отмечать стадии выполнения заказов без использования клавиатуры и мышки. Форму для TouchScreen можно использовать и на планшете, предварительно настроив форму на видимость нужных реквизитов и изменив масштаб.","content_sha256":"37c7b078bc2b66dae916ca5b73e930defb230da41cb76456b3f3ede070568e36","saved_at":"2026-10-24T22:59:41.544702+03:00","image_refs":[{"url":"https://1cpoly.ru/i/newcont/ts1.png","local_file":"/Users/maria/Documents/ChatGPT/chatbot/output/faq_1cpoly_prepared_2026-10-25/assets/7f9cd15940e80a59e45e.png"},{"url":"https://1cpoly.ru/i/newcont/ts2.png","local_file":"/Users/maria/Documents/ChatGPT/chatbot/output/faq_1cpoly_prepared_2026-10-25/assets/163e7f0d1410b8f67eac.png"},{"url":"https://1cpoly.ru/i/newcont/ts3.png","local_file":"/Users/maria/Documents/ChatGPT/chatbot/output/faq_1cpoly_prepared_2026-10-25/assets/3cd740dd84b833700a68.png"},{"url":"https://1cpoly.ru/i/newcont/ts4.png","local_file":"/Users/maria/Documents/ChatGPT/chatbot/output/faq_1cpoly_prepared_2026-10-25/assets/7e1a22190b6af2534283.png"},{"url":"https://1cpoly.ru/i/newcont/ts5.png","local_file":"/Users/maria/Documents/ChatGPT/chatbot/output/faq_1cpoly_prepared_2026-10-25/assets/2635df95ba2059b1ce73.png"},{"url":"https://1cpoly.ru/i/newcont/ts6.png","local_file":"/Users/maria/Documents/ChatGPT/chatbot/output/faq_1cpoly_prepared_2026-10-25/assets/250353527febf5a784e4.png"},{"url":"https://1cpoly.ru/i/newcont/ts7.png","local_file":"/Users/maria/Documents/ChatGPT/chatbot/output/faq_1cpoly_prepared_2026-10-25/assets/1b52f94986077b17dc06.png"},{"url":"https://1cpoly.ru/i/newcont/ts8.png","local_file":"/Users/maria/Documents/ChatGPT/chatbot/output/faq_1cpoly_prepared_2026-10-25/assets/340b85b5385c2db64114.png"},{"url":"https://1cpoly.ru/i/newcont/ts9.png","local_file":"/Users/maria/Documents/ChatGPT/chatbot/output/faq_1cpoly_prepared_2026-10-25/assets/61bb428061cfc30b13c5.png"},{"url":"https://1cpoly.ru/i/newcont/ts10.png","local_file":"/Users/maria/Documents/ChatGPT/chatbot/output/faq_1cpoly_prepared_2026-10-25/assets/d454f1d0e752461eb0b5.png"},{"url":"https://1cpoly.ru/i/newcont/ts11.png","local_file":"/Users/maria/Documents/ChatGPT/chatbot/output/faq_1cpoly_prepared_2026-10-25/assets/5d26800a22fe4bea07e6.png"},{"url":"https://1cpoly.ru/i/newcont/ts12.png","local_file":"/Users/maria/Documents/ChatGPT/chatbot/output/faq_1cpoly_prepared_2026-10-25/assets/164d096d2c9a64196426.png"},{"url":"https://1cpoly.ru/i/newcont/ts13.png","local_file":"/Users/maria/Documents/ChatGPT/chatbot/output/faq_1cpoly_prepared_2026-10-25/assets/7c61f9e4cbd46da413ac.png"},{"url":"https://1cpoly.ru/i/newcont/ts14.png","local_file":"/Users/maria/Documents/ChatGPT/chatbot/output/faq_1cpoly_prepared_2026-10-25/assets/6d0942486c1cb3b8728e.png"},{"url":"https://1cpoly.ru/i/newcont/ts15.png","local_file":"/Users/maria/Documents/ChatGPT/chatbot/output/faq_1cpoly_prepared_2026-10-25/assets/2e2d42757d25477cd574.png"}],"applicability_check":"confirmed_by_consultant","required_facts":["В «Ролях пользователей» на вкладке «Планирование» выбирается форма открытия TouchScreen.","При идентификации по бейджику используется регистр штрихкодов сотрудников; интерфейс отражает факт выполнения заказов."],"approval_basis":"user_confirmed_consultant_approval"}]</x:v>
      </x:c>
      <x:c r="W194" s="6" t="str">
        <x:v>["В содержательном ответе отражены следующие подтверждённые пункты: В «Ролях пользователей» на вкладке «Планирование» выбирается форма открытия TouchScreen. При идентификации по бейджику используется регистр штрихкодов сотрудников; интерфейс отражает факт выполнения заказов.","Приведена релевантная ссылка на FAQ; смысл ответа согласуется с источником, нет неподтверждённых действий и лишнего уточнения."]</x:v>
      </x:c>
      <x:c r="X194" s="6" t="str">
        <x:v>approved</x:v>
      </x:c>
      <x:c r="Y194" s="6" t="str">
        <x:v>Карточка и применимость источников согласованы консультантом; утверждение подтверждено пользователем 25.10.2026.</x:v>
      </x:c>
      <x:c r="Z194" s="6" t="str">
        <x:v>G-fef1a807412a9a</x:v>
      </x:c>
      <x:c r="AA194" s="6" t="str">
        <x:v>dev</x:v>
      </x:c>
      <x:c r="AB194" s="6" t="str">
        <x:v>official_faq_entry</x:v>
      </x:c>
    </x:row>
    <x:row r="195" ht="115" customHeight="1">
      <x:c r="A195" s="6" t="str">
        <x:v>FAQ-poly2-230</x:v>
      </x:c>
      <x:c r="B195" s="6" t="str">
        <x:v>official_faq_entry:poly2-230</x:v>
      </x:c>
      <x:c r="C195" s="6" t="str">
        <x:v>{"history":[],"user_message":"Как отразить операцию печати как услугу в 1С:Полиграфия 2?"}</x:v>
      </x:c>
      <x:c r="D195" s="6" t="str">
        <x:v>{"product":"1С:УНФ 8. Полиграфия 2","version":"3.0.14.140","retrieval_state":"available","handoff_consent":false,"source_faq_id":"poly2-230","group_id":"faq_poly2-230","source_applicability":"confirmed_by_consultant","approval_basis":"user_confirmed_consultant_approval"}</x:v>
      </x:c>
      <x:c r="E195" s="6" t="str">
        <x:v>1С:УНФ 8. Полиграфия 2</x:v>
      </x:c>
      <x:c r="F195" s="6" t="str">
        <x:v>3.0.14.140</x:v>
      </x:c>
      <x:c r="G195" s="6" t="str">
        <x:v>not_reported</x:v>
      </x:c>
      <x:c r="H195" s="6" t="str">
        <x:v>default</x:v>
      </x:c>
      <x:c r="I195" s="6" t="str">
        <x:v>Применимость источников и эталона к 1С:УНФ 8. Полиграфия 2, релиз 3.0.14.140, подтверждена консультантом со слов пользователя.</x:v>
      </x:c>
      <x:c r="J195" s="13" t="str">
        <x:v>0</x:v>
      </x:c>
      <x:c r="K195" s="13" t="str">
        <x:v>5</x:v>
      </x:c>
      <x:c r="L195" s="7" t="b">
        <x:v>0</x:v>
      </x:c>
      <x:c r="M195" s="6" t="str">
        <x:v>not_applicable</x:v>
      </x:c>
      <x:c r="N195" s="6" t="str">
        <x:v>[]</x:v>
      </x:c>
      <x:c r="O195" s="7" t="b">
        <x:v>1</x:v>
      </x:c>
      <x:c r="P195" s="6" t="str">
        <x:v>K2</x:v>
      </x:c>
      <x:c r="Q195" s="6" t="str">
        <x:v>K2: история пуста, вопрос соответствует статье FAQ poly2-230; в утверждённом источнике есть достаточный применимый ответ для 3.0.14.140. Бот отвечает сразу с источником.</x:v>
      </x:c>
      <x:c r="R195" s="6" t="str">
        <x:v>["faq","poly2","documented_answer"]</x:v>
      </x:c>
      <x:c r="S195" s="6" t="str">
        <x:v>answer</x:v>
      </x:c>
      <x:c r="T195" s="6" t="str">
        <x:v>["В FAQ оказание услуг печати отражается документом «Заказ-наряд».","Для продукции требуется тип номенклатуры «Работа»; статья явно ссылается на релиз 1.6.18.98.","Указать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195"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195" s="6" t="str">
        <x:v>[{"source_file":"/Users/maria/chatbot_rag/knowledge base/faq_articles.jsonl","source_jsonl_line":25,"faq_id":"poly2-230","url":"https://1cpoly.ru/questions/?action=show&amp;id=230","source_locator":".faq-answer","title":"Как отразить операцию печати как услугу в 1С:Полиграфия 2?","source_answer":"В релизе 1С:УНФ 8. Полиграфия 2 (1.6.18.98) реализована возможность отражать оказание услуг по печати.\n\nЭто вы можете сделать через Расчеты полиграфических заказов используя документ «Заказ-наряд»\n\n(ВАЖНО! Чтобы элемент номенклатуры Продукции имел тип «Работа»),\n\nкоторый совмещает возможности различных форм и используется для всестороннего отражения в системе шагов взаимодействия с клиентом при выполнении заказов. Заказ-наряд играет роль универсального документа для оформления сведений о подрядных работах или услугах в приложении УНФ.\n\nЗаказ-наряд обеспечивает функциональные возможности, характерные для таких документов как:\n\nЗаказ покупателя;\n\nСчет на оплату;\n\nАкт выполненных работ;\n\nРасходная накладная при оформлении услуг;\n\nАкт переработки материалов;\n\nРеализация товара и прочих.\n\nФорма документа содержит традиционную кнопку «Печать с предварительным просмотром», меню которой предназначено для создания печатных форм документов. Перечень доступных позиций довольно широк и включает:\n\nСчет на оплату;\n\nЗаказ-наряд;\n\nАкт об оказании услуг;\n\nНакладная;\n\nИ другие часто используемые формы.\n\nПосле проведения заказ-наряда система выполняет движения, связанные с расходом материалов и товаров. Например, сформировав отчет «Движение товаров», пользователь увидит, что система отразила расход материалов, включенных в заказ-наряд согласно спецификации, и товаров, введенных в документ на вкладке «Товары». Отчет доступен в разделе «Закупки».\n\nПроведенный заказ-наряд в конечном состоянии рассматривается системой как акт выполненных работ, о чем свидетельствует содержание отчета о состоянии заказов клиентов «Выполнение работ и оплата заказ-нарядов». Отчет доступен в разделе «Продажи».\n\nСделав полиграфический расчет заказа Продукции с типом «Работа» вы можете на его основании сделать Заказ- наряд.","content_sha256":"14a19c4eb007a0ef89256f37ca4ff498027e739d8d008c0b2f27c47c2a5be130","saved_at":"2026-10-24T22:59:41.544702+03:00","image_refs":[{"url":"https://1cpoly.ru/i/newcont/ga-unf-poly-1.png","local_file":"/Users/maria/Documents/ChatGPT/chatbot/output/faq_1cpoly_prepared_2026-10-25/assets/63dcd51266a9d4fda537.png"},{"url":"https://1cpoly.ru/i/newcont/ga-unf-poly-2.png","local_file":"/Users/maria/Documents/ChatGPT/chatbot/output/faq_1cpoly_prepared_2026-10-25/assets/9c33161af6029a73a216.png"},{"url":"https://1cpoly.ru/i/newcont/ga-unf-poly-3.png","local_file":"/Users/maria/Documents/ChatGPT/chatbot/output/faq_1cpoly_prepared_2026-10-25/assets/2f985daf8dd713f98439.png"},{"url":"https://1cpoly.ru/i/newcont/ga-unf-poly-4.png","local_file":"/Users/maria/Documents/ChatGPT/chatbot/output/faq_1cpoly_prepared_2026-10-25/assets/2337460396ca694cc67a.png"},{"url":"https://1cpoly.ru/i/newcont/ga-unf-poly-5.png","local_file":"/Users/maria/Documents/ChatGPT/chatbot/output/faq_1cpoly_prepared_2026-10-25/assets/5e1aeffd8222c5a6aa0e.png"}],"applicability_check":"confirmed_by_consultant","required_facts":["В FAQ оказание услуг печати отражается документом «Заказ-наряд».","Для продукции требуется тип номенклатуры «Работа»; статья явно ссылается на релиз 1.6.18.98."],"approval_basis":"user_confirmed_consultant_approval"}]</x:v>
      </x:c>
      <x:c r="W195" s="6" t="str">
        <x:v>["В содержательном ответе отражены следующие подтверждённые пункты: В FAQ оказание услуг печати отражается документом «Заказ-наряд». Для продукции требуется тип номенклатуры «Работа»; статья явно ссылается на релиз 1.6.18.98.","Приведена релевантная ссылка на FAQ; смысл ответа согласуется с источником, нет неподтверждённых действий и лишнего уточнения."]</x:v>
      </x:c>
      <x:c r="X195" s="6" t="str">
        <x:v>approved</x:v>
      </x:c>
      <x:c r="Y195" s="6" t="str">
        <x:v>Карточка и применимость источников согласованы консультантом; утверждение подтверждено пользователем 25.10.2026.</x:v>
      </x:c>
      <x:c r="Z195" s="6" t="str">
        <x:v>G-a71f8b79842e8e</x:v>
      </x:c>
      <x:c r="AA195" s="6" t="str">
        <x:v>dev</x:v>
      </x:c>
      <x:c r="AB195" s="6" t="str">
        <x:v>official_faq_entry</x:v>
      </x:c>
    </x:row>
    <x:row r="196" ht="115" customHeight="1">
      <x:c r="A196" s="6" t="str">
        <x:v>FAQ-poly2-231</x:v>
      </x:c>
      <x:c r="B196" s="6" t="str">
        <x:v>official_faq_entry:poly2-231</x:v>
      </x:c>
      <x:c r="C196" s="6" t="str">
        <x:v>{"history":[],"user_message":"Как подключить и проверить сканер штрих-кода?"}</x:v>
      </x:c>
      <x:c r="D196" s="6" t="str">
        <x:v>{"product":"1С:УНФ 8. Полиграфия 2","version":"3.0.14.140","retrieval_state":"available","handoff_consent":false,"source_faq_id":"poly2-231","group_id":"faq_poly2-231","source_applicability":"confirmed_by_consultant","approval_basis":"user_confirmed_consultant_approval"}</x:v>
      </x:c>
      <x:c r="E196" s="6" t="str">
        <x:v>1С:УНФ 8. Полиграфия 2</x:v>
      </x:c>
      <x:c r="F196" s="6" t="str">
        <x:v>3.0.14.140</x:v>
      </x:c>
      <x:c r="G196" s="6" t="str">
        <x:v>not_reported</x:v>
      </x:c>
      <x:c r="H196" s="6" t="str">
        <x:v>default</x:v>
      </x:c>
      <x:c r="I196" s="6" t="str">
        <x:v>Применимость источников и эталона к 1С:УНФ 8. Полиграфия 2, релиз 3.0.14.140, подтверждена консультантом со слов пользователя.</x:v>
      </x:c>
      <x:c r="J196" s="13" t="str">
        <x:v>0</x:v>
      </x:c>
      <x:c r="K196" s="13" t="str">
        <x:v>5</x:v>
      </x:c>
      <x:c r="L196" s="7" t="b">
        <x:v>0</x:v>
      </x:c>
      <x:c r="M196" s="6" t="str">
        <x:v>not_applicable</x:v>
      </x:c>
      <x:c r="N196" s="6" t="str">
        <x:v>[]</x:v>
      </x:c>
      <x:c r="O196" s="7" t="b">
        <x:v>1</x:v>
      </x:c>
      <x:c r="P196" s="6" t="str">
        <x:v>K2</x:v>
      </x:c>
      <x:c r="Q196" s="6" t="str">
        <x:v>K2: история пуста, вопрос соответствует статье FAQ poly2-231; в утверждённом источнике есть достаточный применимый ответ для 3.0.14.140. Бот отвечает сразу с источником.</x:v>
      </x:c>
      <x:c r="R196" s="6" t="str">
        <x:v>["faq","poly2","documented_answer"]</x:v>
      </x:c>
      <x:c r="S196" s="6" t="str">
        <x:v>answer</x:v>
      </x:c>
      <x:c r="T196" s="6" t="str">
        <x:v>["Порт подключения сверяется с диспетчером устройств.","Работа проверяется сканированием; существенные параметры подключения приведены на изображениях утверждённого источника.","Указать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196"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196" s="6" t="str">
        <x:v>[{"source_file":"/Users/maria/chatbot_rag/knowledge base/faq_articles.jsonl","source_jsonl_line":26,"faq_id":"poly2-231","url":"https://1cpoly.ru/questions/?action=show&amp;id=231","source_locator":".faq-answer","title":"Как подключить и проверить сканер штрих-кода?","source_answer":"Порт выбираем такой же как в диспетчере:\n\nТестируем, (сканируем):\n\nВсе тоже самое и на терминальном подключении:\n\nНе забывайте в настройках подключения:","content_sha256":"be5158bfac0d329527227cc378ce54f13154f529c86b737b698a2448a66de9cc","saved_at":"2026-10-24T22:59:41.544702+03:00","image_refs":[{"url":"https://1cpoly.ru/i/newcont/ga-unf-01.png","local_file":"/Users/maria/Documents/ChatGPT/chatbot/output/faq_1cpoly_prepared_2026-10-25/assets/d6e672bd55e3cb847017.png"},{"url":"https://1cpoly.ru/i/newcont/ga-unf-02.png","local_file":"/Users/maria/Documents/ChatGPT/chatbot/output/faq_1cpoly_prepared_2026-10-25/assets/40bdbbd2f034d5b96615.png"},{"url":"https://1cpoly.ru/i/newcont/ga-unf-03.png","local_file":"/Users/maria/Documents/ChatGPT/chatbot/output/faq_1cpoly_prepared_2026-10-25/assets/de877a1939818dc77d98.png"},{"url":"https://1cpoly.ru/i/newcont/ga-unf-04.png","local_file":"/Users/maria/Documents/ChatGPT/chatbot/output/faq_1cpoly_prepared_2026-10-25/assets/4c9b596f3a39828bccad.png"},{"url":"https://1cpoly.ru/i/newcont/ga-unf-05.png","local_file":"/Users/maria/Documents/ChatGPT/chatbot/output/faq_1cpoly_prepared_2026-10-25/assets/a29fca6754633a75689f.png"},{"url":"https://1cpoly.ru/i/newcont/ga-unf-06.png","local_file":"/Users/maria/Documents/ChatGPT/chatbot/output/faq_1cpoly_prepared_2026-10-25/assets/14a64a150b94d8e2c8e6.png"},{"url":"https://1cpoly.ru/i/newcont/ga-unf-07.png","local_file":"/Users/maria/Documents/ChatGPT/chatbot/output/faq_1cpoly_prepared_2026-10-25/assets/4e9a5b24d97ead984b44.png"},{"url":"https://1cpoly.ru/i/newcont/ga-unf-08.png","local_file":"/Users/maria/Documents/ChatGPT/chatbot/output/faq_1cpoly_prepared_2026-10-25/assets/ec21646193af085dad16.png"}],"applicability_check":"confirmed_by_consultant","required_facts":["Порт подключения сверяется с диспетчером устройств.","Работа проверяется сканированием; существенные параметры подключения приведены на изображениях утверждённого источника."],"approval_basis":"user_confirmed_consultant_approval"}]</x:v>
      </x:c>
      <x:c r="W196" s="6" t="str">
        <x:v>["В содержательном ответе отражены следующие подтверждённые пункты: Порт подключения сверяется с диспетчером устройств. Работа проверяется сканированием; существенные параметры подключения приведены на изображениях утверждённого источника.","Приведена релевантная ссылка на FAQ; смысл ответа согласуется с источником, нет неподтверждённых действий и лишнего уточнения."]</x:v>
      </x:c>
      <x:c r="X196" s="6" t="str">
        <x:v>approved</x:v>
      </x:c>
      <x:c r="Y196" s="6" t="str">
        <x:v>Карточка и применимость источников согласованы консультантом; утверждение подтверждено пользователем 25.10.2026.</x:v>
      </x:c>
      <x:c r="Z196" s="6" t="str">
        <x:v>G-c6e31315e3d3ac</x:v>
      </x:c>
      <x:c r="AA196" s="6" t="str">
        <x:v>dev</x:v>
      </x:c>
      <x:c r="AB196" s="6" t="str">
        <x:v>official_faq_entry</x:v>
      </x:c>
    </x:row>
    <x:row r="197" ht="115" customHeight="1">
      <x:c r="A197" s="6" t="str">
        <x:v>FAQ-poly2-232</x:v>
      </x:c>
      <x:c r="B197" s="6" t="str">
        <x:v>official_faq_entry:poly2-232</x:v>
      </x:c>
      <x:c r="C197" s="6" t="str">
        <x:v>{"history":[],"user_message":"Как выполнить планирование производства заказов ? (Инструкция только для продукта, без использования мониторов TouchScreen и сканеров штрих-кодов)"}</x:v>
      </x:c>
      <x:c r="D197" s="6" t="str">
        <x:v>{"product":"1С:УНФ 8. Полиграфия 2","version":"3.0.14.140","retrieval_state":"available","handoff_consent":false,"source_faq_id":"poly2-232","group_id":"faq_poly2-232","source_applicability":"confirmed_by_consultant","approval_basis":"user_confirmed_consultant_approval"}</x:v>
      </x:c>
      <x:c r="E197" s="6" t="str">
        <x:v>1С:УНФ 8. Полиграфия 2</x:v>
      </x:c>
      <x:c r="F197" s="6" t="str">
        <x:v>3.0.14.140</x:v>
      </x:c>
      <x:c r="G197" s="6" t="str">
        <x:v>not_reported</x:v>
      </x:c>
      <x:c r="H197" s="6" t="str">
        <x:v>default</x:v>
      </x:c>
      <x:c r="I197" s="6" t="str">
        <x:v>Применимость источников и эталона к 1С:УНФ 8. Полиграфия 2, релиз 3.0.14.140, подтверждена консультантом со слов пользователя.</x:v>
      </x:c>
      <x:c r="J197" s="13" t="str">
        <x:v>0</x:v>
      </x:c>
      <x:c r="K197" s="13" t="str">
        <x:v>5</x:v>
      </x:c>
      <x:c r="L197" s="7" t="b">
        <x:v>0</x:v>
      </x:c>
      <x:c r="M197" s="6" t="str">
        <x:v>not_applicable</x:v>
      </x:c>
      <x:c r="N197" s="6" t="str">
        <x:v>[]</x:v>
      </x:c>
      <x:c r="O197" s="7" t="b">
        <x:v>1</x:v>
      </x:c>
      <x:c r="P197" s="6" t="str">
        <x:v>K2</x:v>
      </x:c>
      <x:c r="Q197" s="6" t="str">
        <x:v>K2: история пуста, вопрос соответствует статье FAQ poly2-232; в утверждённом источнике есть достаточный применимый ответ для 3.0.14.140. Бот отвечает сразу с источником.</x:v>
      </x:c>
      <x:c r="R197" s="6" t="str">
        <x:v>["faq","poly2","documented_answer"]</x:v>
      </x:c>
      <x:c r="S197" s="6" t="str">
        <x:v>answer</x:v>
      </x:c>
      <x:c r="T197" s="6" t="str">
        <x:v>["После расчёта заказ переводится в статус «Готов к планированию».","Создаётся и заполняется «План производства полиграфии», затем выполняется планирование операций и рабочих центров.","Указать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197"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197" s="6" t="str">
        <x:v>[{"source_file":"/Users/maria/chatbot_rag/knowledge base/faq_articles.jsonl","source_jsonl_line":27,"faq_id":"poly2-232","url":"https://1cpoly.ru/questions/?action=show&amp;id=232","source_locator":".faq-answer","title":"Как выполнить планирование производства заказов ? (Инструкция только для продукта, без использования мониторов TouchScreen и сканеров штрих-кодов)","source_answer":"Создаем документ «Расчет флексопечати» (рис.1):\n\nПосле расчета документа, «Статус документа», нужно изменить на «Готов к планированию» (рис.2):\n\nДанный статус, позволит нам заполнить документ «План производства полиграфии» (рис.3):\n\nСоздаем новый документ «План производства полиграфии» (рис.4):\n\nПо нажатию кнопки «Заполнить», произойдет заполнение табличных частей документами заказа (вверху), списком операций и оборудования (рабочими центрами).\n\nНа следующем этапе, по нажатию кнопки «Выполнить планирование», происходит планирование операций по времени выполнения и рабочим центрам (оборудованию) (рис.5):\n\nВкладка Планирование по рабочему центру(рис.6):\n\nВкладка Потребности производства, указано кол-во материалов (рис.7):\n\nДиаграмма Ганта, показывает рабочий центр и заказы, которые выполняются на нем (рис.8):\n\nПосле проведения документа «План производства полиграфии», переходим в обработку «Отражение факта планирования»(рис9):\n\nСама обработка, автоматически заполняется данными из документа «План производства полиграфии» (рис.10):\n\nТакже можно изменить фактические данные по выпуску продукции (рис.11):\n\nВ нижней табличной части, можно внести изменения по кол-ву материалов и единицы измерения:\n\nНа основании документа «Расчет флексопечати», создаем документ «Производство» (рис.12):\n\nВ документе «Производство», на вкладке «Материалы», у нас будет заполненный фактический выпуск продукции из обработки «Отражение факта планирования» (рис.13):","content_sha256":"e8956777225eff571a3900ca09d2266b30e1545154c51b522f009659d2625804","saved_at":"2026-10-24T22:59:41.544702+03:00","image_refs":[{"url":"https://1cpoly.ru/i/newcont/ga-unf-031.png","local_file":"/Users/maria/Documents/ChatGPT/chatbot/output/faq_1cpoly_prepared_2026-10-25/assets/133b4ff21f6559294a95.png"},{"url":"https://1cpoly.ru/i/newcont/ga-unf-032.png","local_file":"/Users/maria/Documents/ChatGPT/chatbot/output/faq_1cpoly_prepared_2026-10-25/assets/25009d51c740c9e7db65.png"},{"url":"https://1cpoly.ru/i/newcont/ga-unf-033.png","local_file":"/Users/maria/Documents/ChatGPT/chatbot/output/faq_1cpoly_prepared_2026-10-25/assets/acd045c4aaf0a32da366.png"},{"url":"https://1cpoly.ru/i/newcont/ga-unf-034.png","local_file":"/Users/maria/Documents/ChatGPT/chatbot/output/faq_1cpoly_prepared_2026-10-25/assets/898fd48f643c665a0070.png"},{"url":"https://1cpoly.ru/i/newcont/ga-unf-035.png","local_file":"/Users/maria/Documents/ChatGPT/chatbot/output/faq_1cpoly_prepared_2026-10-25/assets/5c51bcc8f23f2c04d2d7.png"},{"url":"https://1cpoly.ru/i/newcont/ga-unf-036.png","local_file":"/Users/maria/Documents/ChatGPT/chatbot/output/faq_1cpoly_prepared_2026-10-25/assets/5c7088172fa5b127a20e.png"},{"url":"https://1cpoly.ru/i/newcont/ga-unf-037.png","local_file":"/Users/maria/Documents/ChatGPT/chatbot/output/faq_1cpoly_prepared_2026-10-25/assets/b73fc66574f1f5c2c1c8.png"},{"url":"https://1cpoly.ru/i/newcont/ga-unf-038.png","local_file":"/Users/maria/Documents/ChatGPT/chatbot/output/faq_1cpoly_prepared_2026-10-25/assets/26598fa2384867008569.png"},{"url":"https://1cpoly.ru/i/newcont/ga-unf-039.png","local_file":"/Users/maria/Documents/ChatGPT/chatbot/output/faq_1cpoly_prepared_2026-10-25/assets/129c1c4fbdc9ac64516c.png"},{"url":"https://1cpoly.ru/i/newcont/ga-unf-040.png","local_file":"/Users/maria/Documents/ChatGPT/chatbot/output/faq_1cpoly_prepared_2026-10-25/assets/56b2fa574ddc9168f720.png"},{"url":"https://1cpoly.ru/i/newcont/ga-unf-041.png","local_file":"/Users/maria/Documents/ChatGPT/chatbot/output/faq_1cpoly_prepared_2026-10-25/assets/e624269296bbf898ca2c.png"},{"url":"https://1cpoly.ru/i/newcont/ga-unf-042.png","local_file":"/Users/maria/Documents/ChatGPT/chatbot/output/faq_1cpoly_prepared_2026-10-25/assets/0cc607f5cb9c71adf937.png"},{"url":"https://1cpoly.ru/i/newcont/ga-unf-043.png","local_file":"/Users/maria/Documents/ChatGPT/chatbot/output/faq_1cpoly_prepared_2026-10-25/assets/235bae9eacc3f29f6852.png"},{"url":"https://1cpoly.ru/i/newcont/ga-unf-044.png","local_file":"/Users/maria/Documents/ChatGPT/chatbot/output/faq_1cpoly_prepared_2026-10-25/assets/05df36e545b5a1d82430.png"}],"applicability_check":"confirmed_by_consultant","required_facts":["После расчёта заказ переводится в статус «Готов к планированию».","Создаётся и заполняется «План производства полиграфии», затем выполняется планирование операций и рабочих центров."],"approval_basis":"user_confirmed_consultant_approval"}]</x:v>
      </x:c>
      <x:c r="W197" s="6" t="str">
        <x:v>["В содержательном ответе отражены следующие подтверждённые пункты: После расчёта заказ переводится в статус «Готов к планированию». Создаётся и заполняется «План производства полиграфии», затем выполняется планирование операций и рабочих центров.","Приведена релевантная ссылка на FAQ; смысл ответа согласуется с источником, нет неподтверждённых действий и лишнего уточнения."]</x:v>
      </x:c>
      <x:c r="X197" s="6" t="str">
        <x:v>approved</x:v>
      </x:c>
      <x:c r="Y197" s="6" t="str">
        <x:v>Карточка и применимость источников согласованы консультантом; утверждение подтверждено пользователем 25.10.2026.</x:v>
      </x:c>
      <x:c r="Z197" s="6" t="str">
        <x:v>G-d1857e8028452d</x:v>
      </x:c>
      <x:c r="AA197" s="6" t="str">
        <x:v>dev</x:v>
      </x:c>
      <x:c r="AB197" s="6" t="str">
        <x:v>official_faq_entry</x:v>
      </x:c>
    </x:row>
    <x:row r="198" ht="115" customHeight="1">
      <x:c r="A198" s="6" t="str">
        <x:v>FAQ-poly2-234</x:v>
      </x:c>
      <x:c r="B198" s="6" t="str">
        <x:v>official_faq_entry:poly2-234</x:v>
      </x:c>
      <x:c r="C198" s="6" t="str">
        <x:v>{"history":[],"user_message":"Как корректно подключить сканер штрихкода ?"}</x:v>
      </x:c>
      <x:c r="D198" s="6" t="str">
        <x:v>{"product":"1С:УНФ 8. Полиграфия 2","version":"3.0.14.140","retrieval_state":"available","handoff_consent":false,"source_faq_id":"poly2-234","group_id":"faq_poly2-234","source_applicability":"confirmed_by_consultant","approval_basis":"user_confirmed_consultant_approval"}</x:v>
      </x:c>
      <x:c r="E198" s="6" t="str">
        <x:v>1С:УНФ 8. Полиграфия 2</x:v>
      </x:c>
      <x:c r="F198" s="6" t="str">
        <x:v>3.0.14.140</x:v>
      </x:c>
      <x:c r="G198" s="6" t="str">
        <x:v>not_reported</x:v>
      </x:c>
      <x:c r="H198" s="6" t="str">
        <x:v>default</x:v>
      </x:c>
      <x:c r="I198" s="6" t="str">
        <x:v>Применимость источников и эталона к 1С:УНФ 8. Полиграфия 2, релиз 3.0.14.140, подтверждена консультантом со слов пользователя.</x:v>
      </x:c>
      <x:c r="J198" s="13" t="str">
        <x:v>0</x:v>
      </x:c>
      <x:c r="K198" s="13" t="str">
        <x:v>5</x:v>
      </x:c>
      <x:c r="L198" s="7" t="b">
        <x:v>0</x:v>
      </x:c>
      <x:c r="M198" s="6" t="str">
        <x:v>not_applicable</x:v>
      </x:c>
      <x:c r="N198" s="6" t="str">
        <x:v>[]</x:v>
      </x:c>
      <x:c r="O198" s="7" t="b">
        <x:v>1</x:v>
      </x:c>
      <x:c r="P198" s="6" t="str">
        <x:v>K2</x:v>
      </x:c>
      <x:c r="Q198" s="6" t="str">
        <x:v>K2: история пуста, вопрос соответствует статье FAQ poly2-234; в утверждённом источнике есть достаточный применимый ответ для 3.0.14.140. Бот отвечает сразу с источником.</x:v>
      </x:c>
      <x:c r="R198" s="6" t="str">
        <x:v>["faq","poly2","documented_answer"]</x:v>
      </x:c>
      <x:c r="S198" s="6" t="str">
        <x:v>answer</x:v>
      </x:c>
      <x:c r="T198" s="6" t="str">
        <x:v>["Сканер подключается, при необходимости устанавливается драйвер и проверяется устройство в диспетчере.","В подключаемом оборудовании выбирается тип «Сканеры штрихкода», создаётся устройство и выполняется «Тест устройства» со сканированием.","Указать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198"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198" s="6" t="str">
        <x:v>[{"source_file":"/Users/maria/chatbot_rag/knowledge base/faq_articles.jsonl","source_jsonl_line":28,"faq_id":"poly2-234","url":"https://1cpoly.ru/questions/?action=show&amp;id=234","source_locator":".faq-answer","title":"Как корректно подключить сканер штрихкода ?","source_answer":"Подключаем сканер к компьютеру.\n\nУстанавливаем драйвер. (если нужно)\n\nПроверяем как он определился в диспетчере устройств.\n\nЗаходим в программу , Компания - Еще больше возможностей – Подключаемое оборудование (отмечаем)\n\nОткрываем подключаемое оборудование\n\nВыбираем тип – Сканеры штрихкода.\n\nСоздаем из выпадающего списка шаблонов.\n\nЗаполняем необходимые поля.\n\nЗаписываем и закрываем.\n\nТеперь можно продолжить подключение.\n\nОткрываем созданный элемент указываем соответствующие параметры\n\nПереходим к тесту – Тест устройства\n\nСканируем любой штрихкод , видим его цифровое значение.\n\nЗаписываем и закрываем.\n\nСканер подключен, можно использовать его для работы в программе.","content_sha256":"96bb9669bb1b2359551e17216432c9292e57412aaeaf8f400d445932eedc6647","saved_at":"2026-10-24T22:59:41.544702+03:00","image_refs":[{"url":"https://1cpoly.ru/i/newcont/ga-unf-071.jpg","local_file":"/Users/maria/Documents/ChatGPT/chatbot/output/faq_1cpoly_prepared_2026-10-25/assets/107debfcaafb0071538b.jpg"},{"url":"https://1cpoly.ru/i/newcont/ga-unf-072.jpg","local_file":"/Users/maria/Documents/ChatGPT/chatbot/output/faq_1cpoly_prepared_2026-10-25/assets/aae5cb59ad3685efad30.jpg"},{"url":"https://1cpoly.ru/i/newcont/ga-unf-073.jpg","local_file":"/Users/maria/Documents/ChatGPT/chatbot/output/faq_1cpoly_prepared_2026-10-25/assets/c2ab05c7d2ae6db52393.jpg"},{"url":"https://1cpoly.ru/i/newcont/ga-unf-074.jpg","local_file":"/Users/maria/Documents/ChatGPT/chatbot/output/faq_1cpoly_prepared_2026-10-25/assets/ff4a2429cd70967394ac.jpg"},{"url":"https://1cpoly.ru/i/newcont/ga-unf-075.jpg","local_file":"/Users/maria/Documents/ChatGPT/chatbot/output/faq_1cpoly_prepared_2026-10-25/assets/cf69bd2ac9d9473598f4.jpg"},{"url":"https://1cpoly.ru/i/newcont/ga-unf-076.jpg","local_file":"/Users/maria/Documents/ChatGPT/chatbot/output/faq_1cpoly_prepared_2026-10-25/assets/6407264664f8275ddade.jpg"}],"applicability_check":"confirmed_by_consultant","required_facts":["Сканер подключается, при необходимости устанавливается драйвер и проверяется устройство в диспетчере.","В подключаемом оборудовании выбирается тип «Сканеры штрихкода», создаётся устройство и выполняется «Тест устройства» со сканированием."],"approval_basis":"user_confirmed_consultant_approval"}]</x:v>
      </x:c>
      <x:c r="W198" s="6" t="str">
        <x:v>["В содержательном ответе отражены следующие подтверждённые пункты: Сканер подключается, при необходимости устанавливается драйвер и проверяется устройство в диспетчере. В подключаемом оборудовании выбирается тип «Сканеры штрихкода», создаётся устройство и выполняется «Тест устройства» со сканированием.","Приведена релевантная ссылка на FAQ; смысл ответа согласуется с источником, нет неподтверждённых действий и лишнего уточнения."]</x:v>
      </x:c>
      <x:c r="X198" s="6" t="str">
        <x:v>approved</x:v>
      </x:c>
      <x:c r="Y198" s="6" t="str">
        <x:v>Карточка и применимость источников согласованы консультантом; утверждение подтверждено пользователем 25.10.2026.</x:v>
      </x:c>
      <x:c r="Z198" s="6" t="str">
        <x:v>G-23107ab96b0ac2</x:v>
      </x:c>
      <x:c r="AA198" s="6" t="str">
        <x:v>dev</x:v>
      </x:c>
      <x:c r="AB198" s="6" t="str">
        <x:v>official_faq_entry</x:v>
      </x:c>
    </x:row>
    <x:row r="199" ht="115" customHeight="1">
      <x:c r="A199" s="6" t="str">
        <x:v>FAQ-poly2-235</x:v>
      </x:c>
      <x:c r="B199" s="6" t="str">
        <x:v>official_faq_entry:poly2-235</x:v>
      </x:c>
      <x:c r="C199" s="6" t="str">
        <x:v>{"history":[],"user_message":"Каким образом в программе используются полиграфические параметры бумаги связанные с ее толщиной?"}</x:v>
      </x:c>
      <x:c r="D199" s="6" t="str">
        <x:v>{"product":"1С:УНФ 8. Полиграфия 2","version":"3.0.14.140","retrieval_state":"available","handoff_consent":false,"source_faq_id":"poly2-235","group_id":"faq_poly2-235","source_applicability":"confirmed_by_consultant","approval_basis":"user_confirmed_consultant_approval"}</x:v>
      </x:c>
      <x:c r="E199" s="6" t="str">
        <x:v>1С:УНФ 8. Полиграфия 2</x:v>
      </x:c>
      <x:c r="F199" s="6" t="str">
        <x:v>3.0.14.140</x:v>
      </x:c>
      <x:c r="G199" s="6" t="str">
        <x:v>not_reported</x:v>
      </x:c>
      <x:c r="H199" s="6" t="str">
        <x:v>default</x:v>
      </x:c>
      <x:c r="I199" s="6" t="str">
        <x:v>Применимость источников и эталона к 1С:УНФ 8. Полиграфия 2, релиз 3.0.14.140, подтверждена консультантом со слов пользователя.</x:v>
      </x:c>
      <x:c r="J199" s="13" t="str">
        <x:v>0</x:v>
      </x:c>
      <x:c r="K199" s="13" t="str">
        <x:v>5</x:v>
      </x:c>
      <x:c r="L199" s="7" t="b">
        <x:v>0</x:v>
      </x:c>
      <x:c r="M199" s="6" t="str">
        <x:v>not_applicable</x:v>
      </x:c>
      <x:c r="N199" s="6" t="str">
        <x:v>[]</x:v>
      </x:c>
      <x:c r="O199" s="7" t="b">
        <x:v>1</x:v>
      </x:c>
      <x:c r="P199" s="6" t="str">
        <x:v>K2</x:v>
      </x:c>
      <x:c r="Q199" s="6" t="str">
        <x:v>K2: история пуста, вопрос соответствует статье FAQ poly2-235; в утверждённом источнике есть достаточный применимый ответ для 3.0.14.140. Бот отвечает сразу с источником.</x:v>
      </x:c>
      <x:c r="R199" s="6" t="str">
        <x:v>["faq","poly2","documented_answer"]</x:v>
      </x:c>
      <x:c r="S199" s="6" t="str">
        <x:v>answer</x:v>
      </x:c>
      <x:c r="T199" s="6" t="str">
        <x:v>["Толщина/плотность бумаги используются в расчётах стопы и времени перезарядки стапеля.","Для автоматического расчёта корешка сложного заказа включаются соответствующие настройки и задаётся соответствие деталей блока.","Указать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199"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199" s="6" t="str">
        <x:v>[{"source_file":"/Users/maria/chatbot_rag/knowledge base/faq_articles.jsonl","source_jsonl_line":29,"faq_id":"poly2-235","url":"https://1cpoly.ru/questions/?action=show&amp;id=235","source_locator":".faq-answer","title":"Каким образом в программе используются полиграфические параметры бумаги связанные с ее толщиной?","source_answer":"1. Количество листов бумаги в стопе листового печатного оборудования, в зависимости от ее плотности используются в полиграфических расчетах, при расчете планового времени выполнения заказа для учета времени, требуемого на перезарядку стапеля.\n\n2. В Расчете сложного заказа организована возможность расчета толщины корешка автоматически. Для этого в настройках «Панель администрирования Полиграфии –Сложный заказ» необходимо установить флажок Использовать возможность указания составных деталей и флажок \"Автоматический расчет толщины корешка\".\n\nТогда при нажатии на кнопку \"Расчет формата деталей\", программа автоматически рассчитает толщину корешка. Для автоматического расчета толщины корешка, должно быть задано соответствие детали книги \"Блок\" и/или дополнительные блоки таблица \"Дополнительные блоки\" (Панель администрирования Полиграфии – Сложный заказ-Соответствие деталям книги) и у печатного материала детали блока в сложном заказе, в характеристике задан предопределенный параметр \"Толщина бумаги\".\n\nФормула расчета толщины каждого блока:\nКоличество страниц в блоке умножить на толщину листа.\nФормула расчета толщины корешка равна сумме всех толщин для каждого блока ( дополнительного блока) и прибавить 1 мм. Округляет в большую сторону. Для КСШ (тип №7 реквизит «Типы обложек и переплетных крышек») к общей толщине всех блоков прибавляется еще 4 мм (2 мм — на два боковых бига и 2 мм на компенсацию толщины клеевого слоя и толщины самой обложки).","content_sha256":"eb7fc28f808cf20427483286dd83cac8c8d6b861efeeaca6c0240c866cbc7e5d","saved_at":"2026-10-24T22:59:41.544702+03:00","image_refs":[{"url":"https://1cpoly.ru/i/newcont/ga-unf-081.png","local_file":"/Users/maria/Documents/ChatGPT/chatbot/output/faq_1cpoly_prepared_2026-10-25/assets/022684a80eb53a2de854.png"},{"url":"https://1cpoly.ru/i/newcont/ga-unf-082.png","local_file":"/Users/maria/Documents/ChatGPT/chatbot/output/faq_1cpoly_prepared_2026-10-25/assets/c16e98374edf882c6a06.png"},{"url":"https://1cpoly.ru/i/newcont/ga-unf-083.png","local_file":"/Users/maria/Documents/ChatGPT/chatbot/output/faq_1cpoly_prepared_2026-10-25/assets/3d3be2c075397d5586fa.png"},{"url":"https://1cpoly.ru/i/newcont/ga-unf-084.png","local_file":"/Users/maria/Documents/ChatGPT/chatbot/output/faq_1cpoly_prepared_2026-10-25/assets/5e1e5b1cee00c7f96c6f.png"}],"applicability_check":"confirmed_by_consultant","required_facts":["Толщина/плотность бумаги используются в расчётах стопы и времени перезарядки стапеля.","Для автоматического расчёта корешка сложного заказа включаются соответствующие настройки и задаётся соответствие деталей блока."],"approval_basis":"user_confirmed_consultant_approval"}]</x:v>
      </x:c>
      <x:c r="W199" s="6" t="str">
        <x:v>["В содержательном ответе отражены следующие подтверждённые пункты: Толщина/плотность бумаги используются в расчётах стопы и времени перезарядки стапеля. Для автоматического расчёта корешка сложного заказа включаются соответствующие настройки и задаётся соответствие деталей блока.","Приведена релевантная ссылка на FAQ; смысл ответа согласуется с источником, нет неподтверждённых действий и лишнего уточнения."]</x:v>
      </x:c>
      <x:c r="X199" s="6" t="str">
        <x:v>approved</x:v>
      </x:c>
      <x:c r="Y199" s="6" t="str">
        <x:v>Карточка и применимость источников согласованы консультантом; утверждение подтверждено пользователем 25.10.2026.</x:v>
      </x:c>
      <x:c r="Z199" s="6" t="str">
        <x:v>G-c098bf2b2c9e9f</x:v>
      </x:c>
      <x:c r="AA199" s="6" t="str">
        <x:v>dev</x:v>
      </x:c>
      <x:c r="AB199" s="6" t="str">
        <x:v>official_faq_entry</x:v>
      </x:c>
    </x:row>
    <x:row r="200" ht="115" customHeight="1">
      <x:c r="A200" s="6" t="str">
        <x:v>FAQ-poly2-236</x:v>
      </x:c>
      <x:c r="B200" s="6" t="str">
        <x:v>official_faq_entry:poly2-236</x:v>
      </x:c>
      <x:c r="C200" s="6" t="str">
        <x:v>{"history":[],"user_message":"Настройка синхронизации между «1С:Управление нашей фирмой» и «1С:Бухгалтерия»"}</x:v>
      </x:c>
      <x:c r="D200" s="6" t="str">
        <x:v>{"product":"1С:УНФ 8. Полиграфия 2","version":"3.0.14.140","retrieval_state":"available","handoff_consent":false,"source_faq_id":"poly2-236","group_id":"faq_poly2-236","source_applicability":"confirmed_by_consultant","approval_basis":"user_confirmed_consultant_approval"}</x:v>
      </x:c>
      <x:c r="E200" s="6" t="str">
        <x:v>1С:УНФ 8. Полиграфия 2</x:v>
      </x:c>
      <x:c r="F200" s="6" t="str">
        <x:v>3.0.14.140</x:v>
      </x:c>
      <x:c r="G200" s="6" t="str">
        <x:v>not_reported</x:v>
      </x:c>
      <x:c r="H200" s="6" t="str">
        <x:v>default</x:v>
      </x:c>
      <x:c r="I200" s="6" t="str">
        <x:v>Применимость источников и эталона к 1С:УНФ 8. Полиграфия 2, релиз 3.0.14.140, подтверждена консультантом со слов пользователя.</x:v>
      </x:c>
      <x:c r="J200" s="13" t="str">
        <x:v>0</x:v>
      </x:c>
      <x:c r="K200" s="13" t="str">
        <x:v>5</x:v>
      </x:c>
      <x:c r="L200" s="7" t="b">
        <x:v>0</x:v>
      </x:c>
      <x:c r="M200" s="6" t="str">
        <x:v>not_applicable</x:v>
      </x:c>
      <x:c r="N200" s="6" t="str">
        <x:v>[]</x:v>
      </x:c>
      <x:c r="O200" s="7" t="b">
        <x:v>1</x:v>
      </x:c>
      <x:c r="P200" s="6" t="str">
        <x:v>K2</x:v>
      </x:c>
      <x:c r="Q200" s="6" t="str">
        <x:v>K2: история пуста, вопрос соответствует статье FAQ poly2-236; в утверждённом источнике есть достаточный применимый ответ для 3.0.14.140. Бот отвечает сразу с источником.</x:v>
      </x:c>
      <x:c r="R200" s="6" t="str">
        <x:v>["faq","poly2","documented_answer"]</x:v>
      </x:c>
      <x:c r="S200" s="6" t="str">
        <x:v>answer</x:v>
      </x:c>
      <x:c r="T200" s="6" t="str">
        <x:v>["Рекомендуется единая точка ввода первичных документов в УНФ с выгрузкой в Бухгалтерию.","Перед первой настройкой синхронизации статья требует резервные копии обеих баз и включение синхронизации данных.","Указать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00"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00" s="6" t="str">
        <x:v>[{"source_file":"/Users/maria/chatbot_rag/knowledge base/faq_articles.jsonl","source_jsonl_line":30,"faq_id":"poly2-236","url":"https://1cpoly.ru/questions/?action=show&amp;id=236","source_locator":".faq-answer","title":"Настройка синхронизации между «1С:Управление нашей фирмой» и «1С:Бухгалтерия»","source_answer":"Важно! Основным рекомендуемым вариантом ведения учета и настройки синхронизации является создание первичных документов, ведение учета, формирование управленческих отчетов в 1С:УНФ.\nДля формирования и сдачи регламентированной бухгалтерской отчетности рекомендуем выгружать введенную информацию из 1С:УНФ в 1С:БП.\nТакой вариант ведения учета и синхронизации информации предполагает единую точку ввода и позволит избежать дублирования и ошибок.\n\nВажно! Перед первой настройкой синхронизации сделайте резервные копии обеих информационных баз.\n\nПеред настройкой синхронизации\n\nПеред началом настройки синхронизации в новой базе, где ранее не вели учет, заполните следующую информацию.\n\nШАГ 1. Первоначальные настройки синхронизации и выгрузка данных в 1С:УНФ\n\nДля включения возможности синхронизации установите флажок Синхронизация данных в разделе\nКомпания – Настройки – Интеграция с другими программами\n\nУстановите префикс информационной базы в поле Префикс базы. Префикс - уникальный набор цифр и букв, который будет добавляться к номеру загружаемого объекта для определения базы создания.\n\nУстанавливайте дату запрета, чтобы загружать документы только за определенный период. Например, установите дату после сдачи регламентированной отчетности и начале нового квартала или года.\n\nДля начала создайте новую настройку: Настройки синхронизации данных – Новая синхронизация данных.\n\nВыберите редакцию 1С:Бухгалтерия 8.\n\nПараметры подключения\n\nПереходите к следующему этапу Настроить параметры подключения.\n\nВыбирайте вариант подключения.\n\nЕсли подключаетесь к базе на том же компьютере или в локальной сети, то укажите расположение базы, введите логин и пароль пользователя с правами администратора.\n\nЕсли подключаетесь к базе, расположенной в сервисе 1cfresh.com, или информационной базе, опубликованной в интернете, укажите ссылку на размещение базы, логин и пароль пользователя с правами администратора.\n\nПри использовании сетевого каталога в качестве канала передачи данных укажите его расположение.\n\nДля ограничения доступа к файлу выгрузки или оптимизации его передачи создайте архив файла и установите к нему пароль.\n\nЕсли параметры подключения верные, то настройке синхронизации присваивается наименование. Укажите префикс информационной базы, с которой будет выполняться синхронизация.\n\nПравила отправки и получения данных\n\nПереходите к следующему этапу Настроить правила отправки и получения данных.\n\nНа этом этапе устанавливайте объем информации для синхронизации, с какой даты и по каким правилам будет выгружаться информация из 1С:УНФ.\n\nУстанавливайте параметры синхронизации:\n\nНачните с настройки параметров в разделе Нормативно-справочная информация. Выбирайте Отправлять всю или ограничьте Отправлять только используемую в документах.\n\nПродолжите настройки в разделе Документы. Выбирайте синхронизацию всех документов. Или ограничьте датой начала выгрузки документов, видами документов или организациями.\n\nЕсли настраиваете отбор видов документов для выгрузки, то выгрузятся и все связанные документы. Например, вместе с документами Поступление на счет выгрузятся связанные с ними Акт выполненных работ, Расходная накладная.\n\nВыберите вид синхронизации. По умолчанию устанавливается автоматическая. Для ручной синхронизации установите флажок Ручная синхронизация данных.\n\nВ разделе Прочее настраивайте возможности:\n\nАвтоматически зачитывать авансы при переносе документов в «Бухгалтерию предприятия»\n\nПереносить Заказы покупателей из 1С:УНФ как документ «Счет покупателю» в 1С:БП\n\nОбобщенный склад. Доступен для выбора, если включены возможности учета по нескольким складам в табличных частях документов.\n\nВажно! Укажите обобщенный склад, если ведете в 1С:УНФ учет по нескольким складам в табличной части документов. В 1С:БП эта информация будет перенесена на выбранный Обобщенный склад.\n\nВ дальнейшем настроенные параметры можно изменить.\n\nНачальная выгрузка данных\n\nПереходите к завершающему этапу первоначальной настройки синхронизации Выполнить начальную выгрузку данных.\n\nПосле этого этапа переходите к настройке синхронизации в 1С:БП.\n\nШАГ 2. Настройка синхронизации в 1С:БП\n\nЗагрузка данных в 1С:БП\n\nПереходим к настройке синхронизации в 1С:БП.\n\nАдминистрирование - Синхронизация данных – Настройки синхронизации данных\n\nВ зависимости от расположения информационных баз и способа синхронизации выбирайте настройки:\n\nЕсли программы установлены на одном компьютере или в локальной сети, то просто завершайте загруженные настройки из 1С:УНФ.\n\nЕсли 1С:УНФ работает в сервисе 1cfresh.com, то начинайте настройки с 1С:БП, указывая адрес подключения к 1С:УНФ, логин и пароль.\n\nЕсли используете синхронизацию данных через файл, то создавайте новую синхронизацию с 1С:УНФ, выбирая файл с выгруженными настройками.\nНастройки, включая префикс, автоматически применяются к базе после выбора файла.\n\nНастройка правил отправки и получения данных в 1С:БП\n\nВ 1С:БП устанавливаем правила для получении и отправки информации.\n\nПравила отправки информации.\n\nВажно! Основной рекомендуемый вариант синхронизации - получение всей информации в 1С:БП для формирования регламентированной бухгалтерской отчетности.\nБез обратной выгрузки скорректированной информации в 1С:УНФ. Такой сценарий позволяет избежать дублирования информации и возникновения ошибок.\n\nНа вкладке Правила получения данных заполняйте правила, применяемые по умолчанию при загрузке информации.\n\nСопоставление данных\n\nНа этом этапе сопоставляйте данные в двух программах, чтобы избежать дублирования элементов.\n\nПосле этого этапа переходите в 1С:УНФ для завершения настроек и запуска синхронизации.\n\nШаг 3. Загрузка и запуск синхронизации в 1С:УНФ\n\nЗагрузка с учетом сопоставлений\n\nДля загрузки полученных данных из 1С:БП выполните сопоставление и загрузку полученных данных в 1С:УНФ.\n\nВ окне настроек синхронизации данных в 1С:УНФ выберите Синхронизировать.\n\nНачинается сопоставление данных. По завершении получите сообщение о завершении синхронизации.\nПри выявлении ошибок получите предупреждение, где можно посмотреть и исправить ошибки.\n\nЗапуск синхронизации\n\nЗапускайте синхронизацию, нажав на кнопку Синхронизировать в одной из баз программ.\n\nВ первый раз справочники синхронизируются по коду или наименованию. Элементы справочников могут синхронизироваться по определенным полям, например по ИНН и КПП в справочниках Организации и Контрагенты.\n\nВ дальнейшем синхронизация справочников и документов производится по внутреннему идентификатору.\n\nОпределение счета затрат: для большинства операций счет затрат определяется согласно настройкам в 1С:БП.\nДля налогов и прочих расходов счет учета уточняется в статье движения денежных средств в 1С:УНФ.\n\nДокументы, участвующие в синхронизации, и их соответствия в 1С:УНФ и 1С:БП\n\nВажно! В таблице соответствия показаны возможности (+) выгрузки документов как из 1С:УНФ в 1С:БП, так и обратно.\nОбращаем внимание, что основной рекомендуемый вариант синхронизации предусматривает создание документов и ведение учета в 1С:УНФ.\nВ 1С:БП загружается вся информация из 1С:УНФ для формирования регламентированной бухгалтерской отчетности.\nБез обратной выгрузки скорректированной информации из 1С:БП в 1С:УНФ.\n\n1С:Управление нашей фирмой\n\n1С:Бухгалтерия 8\n\n1С:УНФ→1С:БП\n\n1С:БП→1С:УНФ\n\nДополнительная информация\n\nДЕНЬГИ\n\nПоступление в кассу\n\nвид операции:\n\nот покупателя\n\nпрочее поступление\n\nот поставщика (возврат)\n\nполучение наличных в банке\n\nот прочего контрагента (учредителя)\n\nот подотчетника\n\nрозничная выручка\n\nличные средства\n\nПоступление наличных (ПКО)\n\nвид операции:\n\nоплата от покупателя\n\nпрочий приход\n\nвозврат от поставщика\n\nполучение наличных в банке\n\nпрочий приход\n\nвозврат от подотчетного лица\n\nрозничная выручка\n\nпрочий приход\n\n+\n\n+\n\n+\n\n+\n\n+\n\n+\n\n+\n\n+\n\n+\n\n+\n\n+\n\n+\n\n+\n\n+\n\n+\n\n+\n\n+\n\n+\n\nРасход из кассы\n\nвид операции:\n\nпоставщику\n\nна расходы\n\nзарплата по ведомости\n\nзарплата сотруднику\n\nпрочему контрагенту\n(учредителю)\n\nпокупателю (возврат)\n\nвзнос наличными в банк\n\nпрочий расход\n\nподотчетнику\n\nперемещение в кассу ККМ\n\nналоги\n\nличные средства\n\nВыдача наличных (РКО)\n\nвид операции:\n\nоплата поставщику\n\nпрочий расход\n\nвыплата заработной платы\nсотруднику\n\nвыплата заработной платы\nсотруднику\n\nпрочий расход\n\nвозврат покупателю\n\nвзнос наличными в банк\n\nпрочий расход\n\nвыдача подотчетному лицу\n\nпрочий расход\n\nпрочий расход\n\nпрочий расход\n\n+\n\n+\n\n+\n\n+\n\n+\n\n+\n\n+\n\n+\n\n+\n\n+\n\n+\n\n+\n\n+\n\n+\n\n+\n\n+\n\n+\n\n+\n\n+\n\n+\n\n+\n\n+\n\n+\n\n+\n\n+\n\n+\n\nВедомость и документы начисления зарплаты в синхронизации не участвуют.\n\nРекомендуется оформлять такие операции в 1C:БП.\n\nПоступление на счет\n\nвид операции:\n\nот покупателя\n\nпрочее поступление\n\nот поставщика (возврат)\n\nвзнос наличными\n\nперевод с другого счета\n\nот прочего контрагента (учредителя)\n\nот курьерской компании или почты\n\nот подотчетника\n\nвозврат налогов\n\nличные средства\n\nПоступление на расчетный счет\n\nвид операции:\n\nоплата от покупателя\n\nпрочее поступление\n\nвозврат от поставщика\n\nвзнос наличными из кассы\n\nперевод с другого счета\n\nпрочие расчеты с контрагентом\n\nпрочие расчеты с контрагентом\n\nпрочее поступление\n\nпрочее поступление\n\nпрочее поступление\n\n+\n\n+\n\n+\n\n+\n\n+\n\n+\n\n+\n\n+\n\n+\n\n+\n\n+\n\n+\n\n+\n\n+\n\n+\n\n+\n\n+\n\n+\n\n+\n\n+\n\n+\n\n+\n\nучаствует в синхронизации с версии 1.6.19\n\nучаствует в синхронизации с версии 1.6.19\n\nпри синхронизации из 1С:УНФ плательщик в 1С:БП не заполняется. Физ.лицо отображается в разделе Отражение в БУ. Счет расчетов - 71.01\n\nсчет учета при синхронизации 1С:УНФ с 1С:БП указывается для статьи ДДС. По умолчанию - 91.02\n\nРасход со счета\n\nвид операции:\n\nпоставщику\n\nна расходы\n\nзарплата по ведомости\n\nзарплата сотруднику\n\nпрочему контрагенту\n(учредителю)\n\nпокупателю (возврат)\n\nперевод на другой счет\n\nснятие наличных\n\nпрочий расход\n\nподотчетнику\n\nналоги\n\nличные средства\n\nСписание с расчетного счета\n\nвид операции:\n\nоплата поставщику\n\nпрочее списание\n\nперечисление заработной платы\nпо ведомостям\n\nвыплата заработной платы\nработнику\n\nпрочие расчеты с контрагентами\n\nвозврат покупателю\n\nперевод на другой счет\n\nснятие наличных в кассу\n\nпрочее списание\n\nперечисление подотчетному лицу\n\nуплата налогов\n\nпрочее списание\n\n+\n\n+\n\n+\n\n+\n\n+\n\n+\n\n+\n\n+\n\n+\n\n+\n\n+\n\n+\n\n+\n\n+\n\n+\n\n+\n\n+\n\n+\n\n+\n\n+\n\n+\n\n+\n\n+\n\n+\n\n+\n\n+\n\nВедомость и документы начисления зарплаты в синхронизации не участвуют. Рекомендуется оформлять такие операции в 1C:БП\n\nучаствует в синхронизации с версии 1.6.19\n\nПлатежное поручение\n\nПлатежное поручение\n\n+\n\n+\n\nСинхронизируются платежные поручения с видом операций \"поставщику\" и \"перечисление в бюджет\".\n\nОперация по платежным картам\n\nвиды операций:\n\nоплата картой (от покупателя)\n\nвозврат оплаты на карту (покупателю)\n\nОперация по платежным картам\n\nвиды операций:\n\nоплата от покупателя\n\nвозврат покупателю\n\n+\n\n+\n\n+\n\n-\n\n-\n\n-\n\nАвансовый отчет\n\nАвансовый отчет\n\n+\n\n-\n\nЕсли не включена возможность учета складов в табличной части документов, то заполняется складом из первой строки вкладки Запасы документа.\nЕсли возможность включена, то заполняется складом, выбранным как Обобщенный склад в настройках Правил синхронизации в 1С:УНФ.\n\nПеремещение денег (между кассами)\n\n-\n\n-\n\n-\n\nне участвует в синхронизации, так как в 1С:БП отсутствует учет по кассам\n\nПРОДАЖИ\n\nЗаказ покупателя (на продажу)\n\nСчет покупателю\n\n+\n\n-\n\nСчет покупателю в 1С:БП может формироваться из 1С:УНФ в зависимости от установленного флажка Переносить заказы покупателей как счета на оплату в правилах синхронизации:\n\nЕсли флажок установлен, то счет в 1С:БП формируется на основании документа Заказ покупателя в 1С:УНФ\n\nЕсли флажок не установлен, то счет в 1С:БП формируется на основании документа Счет покупателю в 1С:УНФ.\n\nПри наличии в 1С:УНФ нескольких вариантов Заказа покупателя в 1С:БП переносятся в документ Счет покупателю только товары из Основного варианта. При отсутствии Основного варианта Счет в 1С:БП не создается. При изменении Основного варианта Заказа покупателя в 1С:УНФ Счет в 1С:БП будет изменен при следующей синхронизации.\n\nОбратно из 1С:БП документ не выгружается.\n\nСчет на оплату\n\nСчет покупателю\n\n+\n\n-\n\nРасходная накладная\n\nвиды операций:\n\nпродажа покупателю\n\nпередача на комиссию\n\nпередача в переработку\n\nРеализация (акты, накладные)\n\nвиды операций/документ:\n\nтовары (накладная)\n\nакт (услуги)\n\nтовары, услуги, комиссия\n\nтовары, услуги, комиссия\n\nПередача сырья в переработку\n\n+\n\n+\n\n+\n\n+\n\n+\n\n+\n\n-\n\n-\n\n-\n\n-\n\n-\n\n-\n\nЕсли в 1С:УНФ только товары\n\nЕсли в 1С:УНФ только услуги\n\nЕсли в 1С:УНФ товары и услуги\n\nАкт выполненных работ\n\nРеализация (акт, накладная)\n\nвид операции: услуги (акт)\n\n+\n\n-\n\nПриходная накладная\n\nвиды операции:\n\nвозврат от покупателя\n\nвозврат от комиссионера\n\nвозврат от переработчика\n\nВозврат товаров от покупателя\n\nвиды операции/документ:\n\nпродажа, комиссия\n\nпродажа, комиссия\n\nПоступление из переработки\n\n+\n\n+\n\n+\n\n+\n\n-\n\n-\n\n-\n\n-\n\nСчет-фактура\n\nвиды операций:\n\nпродажа\n\nкорректировка\n\nпродажа (исправление)\n\nСчета-фактуры выданные\n\nвиды операций:\n\nна реализацию\n\nкорректировочный\n\nна реализацию (испр.)\n\n+\n\n+\n\n+\n\n+\n\n-\n\n-\n\n-\n\n-\n\nКорректировка реализации\n\nвиды операций:\n\nкорректировка по согласованию\nсторон\n\nисправление в первичных документах\n\nКорректировка реализаций\n\nвиды операций:\n\nкорректировка по согласованию\nсторон\n\nисправление в первичных\nдокументах\n\n+\n\n+\n\n+\n\n-\n\n-\n\n-\n\nОтчет о розничных продажах\n\nОтчет о розничных продажах\n\n+\n\n-\n\nЧек ККМ и Чек ККМ на возврат не переносятся. Переносится только Отчет о розничных продажах\n\nОтчет комиссионера\n\nОтчет комиссионера (агента) о продажах\n\n+\n\n-\n\nПереоценка в рознице (суммовой учет)\n\nПереоценка товаров в рознице\n\n+\n\n-\n\nКорректировка долга покупателя\n\nКорректировка долга\n\n+\n\n-\n\nРАБОТЫ\n\nЗаказ-наряд\n\nРеализация (акт, накладная). Реализация товаров: накладная\n\n+\n\n-\n\nЕсли в 1С:УНФ в документе Заказ-наряд только товары. Переносится только Заказ-наряд с состоянием Завершен\n\nРеализация (акт, накладная). Реализация услуг: акт\n\n+\n\n-\n\nЕсли в 1С:УНФ в документе Заказ-наряд только работы. Переносится только Заказ-наряд с состоянием Завершен\n\nРеализация (акты, накладные). Реализация: товары, услуги, комиссия\n\n+\n\n-\n\nЕсли в 1С:УНФ в документе Заказ-наряд товары и работы. Переносится только Заказ-наряд с состоянием Завершен\n\nПрием и передача в ремонт\n\nРеализация (акты, накладные)\n\n+\n\n-\n\nСинхронизация происходит, если ремонт осуществляется своими силами и на его основе был создан документ Заказ-наряд с состоянием Завершен либо Акт выполненных работ и/или Расходная накладная\n\nЗАКУПКИ\n\nСчет на оплату (полученный)\n\nСчет от поставщика\n\n+\n\n-\n\nПриходная накладная\n\nвиды операций:\n\nпоступление от поставщика\n\nприем на комиссию\n\nприем в переработку\n\nПоступление (акты, накладные)\n\nвиды операций:\n\nтовары (накладная)\n\nуслуги (акт)\n\nтовары, услуги, комиссия\n\nтовары, услуги, комиссия\n\nматериалы в переработку\n\n+\n\n+\n\n+\n\n+\n\n+\n\n+\n\n-\n\n-\n\n-\n\n-\n\n-\n\n-\n\nЕли в 1С:УНФ только товары\n\nЕсли в 1С:УНФ только услуги\n\nЕсли в 1С:УНФ товары и услуги\n\nСчет-фактура (полученный)\n\nвиды операций:\n\nпоступление\n\nкорректировка\n\nСчет-фактура полученный\n\nвиды операций:\n\nна поступление\n\nкорректировочный\n\nна поступление (испр.)\n\n+\n\n+\n\n+\n\n+\n\n-\n\n-\n\n-\n\n-\n\nРасходная накладная\n\nвиды операций:\n\nвозврат поставщику\n\nвозврат комитенту\n\nвозврат из переработки\n\nВозврат товаров поставщику\n\nвиды операций:\n\nпокупка, комиссия\n\nпокупка, комиссия\n\nиз переработки\n\n+\n\n+\n\n+\n\n+\n\n-\n\n-\n\n-\n\n-\n\nКорректировки поступлений\n\nвиды операций:\n\nкорректировка по согласованию\nсторон\n\nисправление в первичных документах\n\nКорректировки поступлений\n\nвиды операций:\n\nкорректировка по согласованию сторон\n\nисправление в первичных документах\n\n+\n\n+\n\n+\n\n-\n\n-\n\n-\n\nДополнительные расходы\n\nПоступление дополнительных расходов\n\n+\n\n-\n\nИнвентаризация запасов\n\nИнвентаризация товаров\n\n+\n\n-\n\nОприходование запасов\n\nОприходование товаров\n\n+\n\n-\n\nПеремещение запасов\n\nвиды операций:\n\nперемещение\n\nсписание на расходы\n\nпередача в эксплуатацию\n\nвозврат из эксплуатации\n\nПеремещение товаров\n\nдокументы:\n\nПеремещение товаров\n\nТребование-накладная\n\nПередача материалов\nв эксплуатацию\n\nВозврат материалов\nиз эксплуатации\n\n+\n\n+\n\n+\n\n+\n\n+\n\n+\n\n-\n\n-\n\n-\n\n-\n\n-\n\n-\n\nРеквизит Партия материалов в эксплуатации в документе Перемещение запасов с видом операции Возврат из эксплуатации подбирается автоматически по методу FIFO. При переносе документа Перемещение запасов, в случае использования давальческих материалов, используйте в табличной части материалы только одного заказчика.\n\nСписание запасов\n\nСписание товаров\n\n+\n\n-\n\nРеквизит Партия материалов в эксплуатации в документе Списание запасов с установленным флажком Списать запасы из эксплуатации подбирается автоматически по методу FIFO.\n\nПересортица запасов\n\nСписание товаров + оприходование товаров\n\n+\n\n-\n\nОтчет комитенту\n\nОтчет комитенту\n\n+\n\n-\n\nКорректировка долга поставщику\n\nКорректировка долга\n\n+\n\n-\n\nПРОИЗВОДСТВО\n\nПроизводство\n\nОтчет производства за смену\n\n+\n\n-\n\nЕсли у реквизита Изготовитель установлен тип Подразделение\n\nв синхронизации участвует только номенклатурная группа, продукция не участвует\n\nПроизводство\n\nКомплектация номенклатуры\n\n+\n\n-\n\nЕсли у реквизита Изготовитель установлен тип Склад\n\nРаспределение затрат\n\nТребование-накладная\n\n+\n\n-\n\nСинхронизация выполняется только при заполненной вкладке Запасы документа Распределение затрат в 1С:УНФ\n\nОтчет о переработке\n\nРеализация услуг по переработке\n\n+\n\n-\n\nОтчет переработчика\n\nПоступление из переработки\n\n+\n\n-\n\nТаблица 2\n\nТаблица соответствия справочников для синхронизации\n\n1С:Управление нашей фирмой\n\n1С:Бухгалтерия 8\n\n1С:УНФ→1С:БП\n\n1С:БП→1С:УНФ\n\nИдентификатор для синхронизации, дополнительная информация\n\nКОМПАНИЯ\n\nОрганизации\n\nОрганизации\n\n+\n\n+\n\nНаименование, ИНН\n\nБанковские счета\n\nБанковские счета\n\n+\n\n+\n\nВладелец счета, номер счета.\n\nОрганизационно-структурные единицы компании (склады)\n\nСклады\n\n+\n\n-\n\nНаименование, тип структурной единицы. Переносятся только элементы, используемые в документах. При использовании в 1С:УНФ режима учета по нескольким складам в табличных частях документов, документы переносятся в 1С:БП на обобщенный склад. Обобщенный склад устанавливается в Правилах синхронизации в 1С:УНФ.\n\nОрганизационно-структурные единицы компании (подразделения)\n\nПодразделения\n\n+\n\n-\n\nОрганизация, наименование, тип структурной единицы. Переносятся только элементы, используемые в документах.\n\nВ 1С:УНФ учет обособленных подразделений не ведется, но синхронизация с 1С:БП КОРП возможна аналогично синхронизации с 1С:БП ПРОФ.\nПосле синхронизации в 1С:БП КОРП может потребоваться ручная корректировка обособленных подразделений. Для настройки синхронизации с 1С:БП КОРП выбирайте вариант синхронизации \"Другая программа\".\n\nБанки\n\nБанки\n\n+\n\n+\n\nБИК\n\nСтраны мира\n\nСтраны мира\n\n+\n\n+\n\nКод\n\nВалюты\n\nВалюты\n\n+\n\n+\n\nКод\n\nСтатьи движения денежных средств\n\nСтатьи движения денежных средств\n\n+\n\n+\n\nНаименование\n\nФИЗИЧЕСКИЕ ЛИЦА\n\nФизические лица\n\nФизические лица\n\n+\n\n+\n\nВ 1С:БП справочник Физические лица из 1С:УНФ загружается по всем организациям. Даже, если вы установили в настройке синхронизации отбор по организации.\n\nНаименование, дата рождения. Для синхронизации подотчетных лиц в 1С:УНФ для сотрудника должен быть заполнен реквизит Физическое лицо. Справочник Сотрудники не участвует в синхронизации.\n\nСправочник Пользователи не участвует в синхронизации. Поэтому не переносится ответственный за проведение документа.\n\nВиды документов физических лиц\n\nВиды документов физических лиц\n\n+\n\n+\n\nНаименование\n\nВиды контактной информации\n\nВиды контактной информации\n\n+\n\n+\n\nНаименование\n\nКОНТРАГЕНТЫ\n\nКонтрагенты (покупатели/поставщики)\n\nКонтрагенты (покупатели/поставщики)\n\n+\n\n+\n\nНаименование, ИНН, КПП\n\nДоговоры контрагентов\n\nДоговоры контрагентов\n\n+\n\n+\n\nНаименование, код, владелец, валюта расчетов, организация, вид договора.\n\nЕГАИС\n\nВиды алкогольной продукции\n\nСведения об алкогольной продукции\n\n+\n\n-\n\nВ справочнике Номенклатура по реквизиту Код для Вида алкогольной (спиртосодержащей) продукции\n\nНОМЕНКЛАТУРА\n\nНоменклатура\n\nНоменклатура\n\n+\n\n+\n\nНаименование. Для наборов и комплектов в 1С:БП переносятся составляющие\n\nКатегория номенклатуры\n\nНоменклатурная группа\n\n+\n\n+\n\nНаименование\n\nГруппа номенклатуры\n\nГруппа номенклатуры\n\n+\n\n+\n\nНаименование\n\nСпецификация номенклатуры\n\nСпецификация номенклатуры\n\n+\n\n+\n\nНаименование, владелец\n\nВид номенклатуры: запас\n\nВид номенклатуры: товар\n\n+\n\n+\n\nНаименование\n\nВид номенклатуры: подарочный\n\nВид номенклатуры: товар\n\n+\n\n+\n\nНаименование\n\nВид номенклатуры: услуга\n\nВид номенклатуры: услуга\n\n+\n\n+\n\nНаименование\n\nВид цен (тип цены номенклатуры)\n\nТип цены номенклатуры\n\n+\n\n-\n\nНаименование, валюта цены.\n\nКлассификатор единиц измерения\n\nКлассификатор единиц измерения\n\n+\n\n+\n\nКод\n\nНомер ГТД\n\nНомер ГТД\n\n+\n\n+\n\nКод. Переносятся только элементы справочника, используемые в документах.","content_sha256":"26c751d3e2c2ff7e10f2b712c6aac14b7b800a4998bbb36b5cedc0b1389e9d42","saved_at":"2026-10-24T22:59:41.544702+03:00","image_refs":[{"url":"https://1cpoly.ru/i/newcont/ga-unf-110.png","local_file":"/Users/maria/Documents/ChatGPT/chatbot/output/faq_1cpoly_prepared_2026-10-25/assets/53a235abd6fad85fbc77.png"},{"url":"https://1cpoly.ru/i/newcont/ga-unf-111.png","local_file":"/Users/maria/Documents/ChatGPT/chatbot/output/faq_1cpoly_prepared_2026-10-25/assets/261327d3435c7158a06f.png"},{"url":"https://1cpoly.ru/i/newcont/ga-unf-112.png","local_file":"/Users/maria/Documents/ChatGPT/chatbot/output/faq_1cpoly_prepared_2026-10-25/assets/a6e626f8e15daed580f4.png"},{"url":"https://1cpoly.ru/i/newcont/ga-unf-113.png","local_file":"/Users/maria/Documents/ChatGPT/chatbot/output/faq_1cpoly_prepared_2026-10-25/assets/457139aed6ea1f8d5a87.png"},{"url":"https://1cpoly.ru/i/newcont/ga-unf-114.png","local_file":"/Users/maria/Documents/ChatGPT/chatbot/output/faq_1cpoly_prepared_2026-10-25/assets/750e4f74b57eabfbd6e1.png"},{"url":"https://1cpoly.ru/i/newcont/ga-unf-115.png","local_file":"/Users/maria/Documents/ChatGPT/chatbot/output/faq_1cpoly_prepared_2026-10-25/assets/0d576f844c094dc56275.png"},{"url":"https://1cpoly.ru/i/newcont/ga-unf-116.png","local_file":"/Users/maria/Documents/ChatGPT/chatbot/output/faq_1cpoly_prepared_2026-10-25/assets/470c0687d64f6fe80e4a.png"},{"url":"https://1cpoly.ru/i/newcont/ga-unf-117.png","local_file":"/Users/maria/Documents/ChatGPT/chatbot/output/faq_1cpoly_prepared_2026-10-25/assets/78a58811e8ffc730eac9.png"},{"url":"https://1cpoly.ru/i/newcont/ga-unf-118.png","local_file":"/Users/maria/Documents/ChatGPT/chatbot/output/faq_1cpoly_prepared_2026-10-25/assets/404ae50104911a132e79.png"},{"url":"https://1cpoly.ru/i/newcont/ga-unf-119.png","local_file":"/Users/maria/Documents/ChatGPT/chatbot/output/faq_1cpoly_prepared_2026-10-25/assets/a17994ab4bd7c227fd7e.png"},{"url":"https://1cpoly.ru/i/newcont/ga-unf-120.png","local_file":"/Users/maria/Documents/ChatGPT/chatbot/output/faq_1cpoly_prepared_2026-10-25/assets/f3c9ad11816c41f2c282.png"},{"url":"https://1cpoly.ru/i/newcont/ga-unf-121.png","local_file":"/Users/maria/Documents/ChatGPT/chatbot/output/faq_1cpoly_prepared_2026-10-25/assets/2a7ec53ec39aca4be8e8.png"},{"url":"https://1cpoly.ru/i/newcont/ga-unf-122.png","local_file":"/Users/maria/Documents/ChatGPT/chatbot/output/faq_1cpoly_prepared_2026-10-25/assets/ae29b815c24626d20a7e.png"},{"url":"https://1cpoly.ru/i/newcont/ga-unf-123.png","local_file":"/Users/maria/Documents/ChatGPT/chatbot/output/faq_1cpoly_prepared_2026-10-25/assets/5c253f030a471bed2dfd.png"},{"url":"https://1cpoly.ru/i/newcont/ga-unf-124.png","local_file":"/Users/maria/Documents/ChatGPT/chatbot/output/faq_1cpoly_prepared_2026-10-25/assets/312f06f9085e1f955261.png"},{"url":"https://1cpoly.ru/i/newcont/ga-unf-125.png","local_file":"/Users/maria/Documents/ChatGPT/chatbot/output/faq_1cpoly_prepared_2026-10-25/assets/bf328151b5767e2811e5.png"},{"url":"https://1cpoly.ru/i/newcont/ga-unf-126.png","local_file":"/Users/maria/Documents/ChatGPT/chatbot/output/faq_1cpoly_prepared_2026-10-25/assets/e444d17ef63eeecf2d63.png"},{"url":"https://1cpoly.ru/i/newcont/ga-unf-127.png","local_file":"/Users/maria/Documents/ChatGPT/chatbot/output/faq_1cpoly_prepared_2026-10-25/assets/eff7c8ca9e18bb1f632e.png"},{"url":"https://1cpoly.ru/i/newcont/ga-unf-128.png","local_file":"/Users/maria/Documents/ChatGPT/chatbot/output/faq_1cpoly_prepared_2026-10-25/assets/9e669ee2efccde61b1a4.png"},{"url":"https://1cpoly.ru/i/newcont/ga-unf-129.png","local_file":"/Users/maria/Documents/ChatGPT/chatbot/output/faq_1cpoly_prepared_2026-10-25/assets/4504ac17100ac0eb7d7c.png"},{"url":"https://1cpoly.ru/i/newcont/ga-unf-130.png","local_file":"/Users/maria/Documents/ChatGPT/chatbot/output/faq_1cpoly_prepared_2026-10-25/assets/029c8e91a1b99d7108f8.png"},{"url":"https://1cpoly.ru/i/newcont/ga-unf-131.png","local_file":"/Users/maria/Documents/ChatGPT/chatbot/output/faq_1cpoly_prepared_2026-10-25/assets/d9bbc4bed3952227d9d3.png"},{"url":"https://1cpoly.ru/i/newcont/ga-unf-183.png","local_file":"/Users/maria/Documents/ChatGPT/chatbot/output/faq_1cpoly_prepared_2026-10-25/assets/e4919e30018385cda263.png"}],"applicability_check":"confirmed_by_consultant","required_facts":["Рекомендуется единая точка ввода первичных документов в УНФ с выгрузкой в Бухгалтерию.","Перед первой настройкой синхронизации статья требует резервные копии обеих баз и включение синхронизации данных."],"approval_basis":"user_confirmed_consultant_approval"}]</x:v>
      </x:c>
      <x:c r="W200" s="6" t="str">
        <x:v>["В содержательном ответе отражены следующие подтверждённые пункты: Рекомендуется единая точка ввода первичных документов в УНФ с выгрузкой в Бухгалтерию. Перед первой настройкой синхронизации статья требует резервные копии обеих баз и включение синхронизации данных.","Приведена релевантная ссылка на FAQ; смысл ответа согласуется с источником, нет неподтверждённых действий и лишнего уточнения."]</x:v>
      </x:c>
      <x:c r="X200" s="6" t="str">
        <x:v>approved</x:v>
      </x:c>
      <x:c r="Y200" s="6" t="str">
        <x:v>Карточка и применимость источников согласованы консультантом; утверждение подтверждено пользователем 25.10.2026.</x:v>
      </x:c>
      <x:c r="Z200" s="6" t="str">
        <x:v>G-2da6b2b539fdf6</x:v>
      </x:c>
      <x:c r="AA200" s="6" t="str">
        <x:v>dev</x:v>
      </x:c>
      <x:c r="AB200" s="6" t="str">
        <x:v>official_faq_entry</x:v>
      </x:c>
    </x:row>
    <x:row r="201" ht="115" customHeight="1">
      <x:c r="A201" s="6" t="str">
        <x:v>FAQ-poly2-244</x:v>
      </x:c>
      <x:c r="B201" s="6" t="str">
        <x:v>official_faq_entry:poly2-244</x:v>
      </x:c>
      <x:c r="C201" s="6" t="str">
        <x:v>{"history":[],"user_message":"Как отнормировать допечатную резку отдельной операцией для заказа?"}</x:v>
      </x:c>
      <x:c r="D201" s="6" t="str">
        <x:v>{"product":"1С:УНФ 8. Полиграфия 2","version":"3.0.14.140","retrieval_state":"available","handoff_consent":false,"source_faq_id":"poly2-244","group_id":"faq_poly2-244","source_applicability":"confirmed_by_consultant","approval_basis":"user_confirmed_consultant_approval"}</x:v>
      </x:c>
      <x:c r="E201" s="6" t="str">
        <x:v>1С:УНФ 8. Полиграфия 2</x:v>
      </x:c>
      <x:c r="F201" s="6" t="str">
        <x:v>3.0.14.140</x:v>
      </x:c>
      <x:c r="G201" s="6" t="str">
        <x:v>not_reported</x:v>
      </x:c>
      <x:c r="H201" s="6" t="str">
        <x:v>default</x:v>
      </x:c>
      <x:c r="I201" s="6" t="str">
        <x:v>Применимость источников и эталона к 1С:УНФ 8. Полиграфия 2, релиз 3.0.14.140, подтверждена консультантом со слов пользователя.</x:v>
      </x:c>
      <x:c r="J201" s="13" t="str">
        <x:v>0</x:v>
      </x:c>
      <x:c r="K201" s="13" t="str">
        <x:v>5</x:v>
      </x:c>
      <x:c r="L201" s="7" t="b">
        <x:v>0</x:v>
      </x:c>
      <x:c r="M201" s="6" t="str">
        <x:v>not_applicable</x:v>
      </x:c>
      <x:c r="N201" s="6" t="str">
        <x:v>[]</x:v>
      </x:c>
      <x:c r="O201" s="7" t="b">
        <x:v>1</x:v>
      </x:c>
      <x:c r="P201" s="6" t="str">
        <x:v>K2</x:v>
      </x:c>
      <x:c r="Q201" s="6" t="str">
        <x:v>K2: история пуста, вопрос соответствует статье FAQ poly2-244; в утверждённом источнике есть достаточный применимый ответ для 3.0.14.140. Бот отвечает сразу с источником.</x:v>
      </x:c>
      <x:c r="R201" s="6" t="str">
        <x:v>["faq","poly2","documented_answer"]</x:v>
      </x:c>
      <x:c r="S201" s="6" t="str">
        <x:v>answer</x:v>
      </x:c>
      <x:c r="T201" s="6" t="str">
        <x:v>["Стоимость допечатной резки задаётся формулой в нормировании операций.","Функция КРЛФ возвращает количество печатных листов на исходном формате; в примере число резов связано с КРЛФ минус один.","Указать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01"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01" s="6" t="str">
        <x:v>[{"source_file":"/Users/maria/chatbot_rag/knowledge base/faq_articles.jsonl","source_jsonl_line":35,"faq_id":"poly2-244","url":"https://1cpoly.ru/questions/?action=show&amp;id=244","source_locator":".faq-answer","title":"Как отнормировать допечатную резку отдельной операцией для заказа?","source_answer":"Операцию «Резка препресс» нормируем следующим образом:\n\nСтоимость операции рассчитываем по формуле,\n\nНепосредственно формула задаётся в документе «Нормирование операций»:\n\nПростая формула выглядит так:\n\n(КРЛФ( ДлинаФорматаМатериала , ШиринаФорматаМатериала , ДлинаФорматаПечатногоЛиста , ШиринаФорматаПечатногоЛиста ) - 1) * 1\n\nГде, функция КРЛФ возвращает количество листов формата печати размещённых на формате исходного листа.\n\nФормат исходного листа, формат печати задаются на закладке «Пресс» документа «Расчёт заказа».\n\n1 руб. – стоимость одного реза.\n\nВремя выполнения операции зависит от тиража:\n\nДля данной операции выполняем «Расчёт тиража операции»\n\nВремя выполнения операции отнормируем документом «Нормирование операций по времени».\n\nВ документе «Расчёт заказа» на закладке «Препресс» при вводе отнормированной операции резки получим:\n\nНа закладке «Пресс» для выполнения заказа рассчитываем количество печатных листов, требующихся для выполнения заказа:\n\nНа закладке «Материалы» получим количество листов, требующихся для выполнения заказа, но уже исходного формата:\n\nКоличество листов исходного формата меньше в четыре раза, так как на исходном листе располагается четыре печатных листа.","content_sha256":"cf846697fccb2ae54801d0e3e509a1f1277b7b2d49b436e2897f0923c7cfce1c","saved_at":"2026-10-24T22:59:41.544702+03:00","image_refs":[{"url":"https://1cpoly.ru/i/newcont/qa-dop-r1.png","local_file":"/Users/maria/Documents/ChatGPT/chatbot/output/faq_1cpoly_prepared_2026-10-25/assets/cef083b7187e180ca46c.png"},{"url":"https://1cpoly.ru/i/newcont/qa-dop-r2.png","local_file":"/Users/maria/Documents/ChatGPT/chatbot/output/faq_1cpoly_prepared_2026-10-25/assets/18d3e47c386121b2d5b1.png"},{"url":"https://1cpoly.ru/i/newcont/qa-dop-r3.png","local_file":"/Users/maria/Documents/ChatGPT/chatbot/output/faq_1cpoly_prepared_2026-10-25/assets/e89c0aa4dfa31ece71f8.png"},{"url":"https://1cpoly.ru/i/newcont/qa-dop-r4.png","local_file":"/Users/maria/Documents/ChatGPT/chatbot/output/faq_1cpoly_prepared_2026-10-25/assets/3e2b25c141a0a7c29f1c.png"},{"url":"https://1cpoly.ru/i/newcont/qa-dop-r5.png","local_file":"/Users/maria/Documents/ChatGPT/chatbot/output/faq_1cpoly_prepared_2026-10-25/assets/82d2f00ac0c7a992ecd6.png"},{"url":"https://1cpoly.ru/i/newcont/qa-dop-r6.png","local_file":"/Users/maria/Documents/ChatGPT/chatbot/output/faq_1cpoly_prepared_2026-10-25/assets/c5c1c99712a24f48e86c.png"},{"url":"https://1cpoly.ru/i/newcont/qa-dop-r7.png","local_file":"/Users/maria/Documents/ChatGPT/chatbot/output/faq_1cpoly_prepared_2026-10-25/assets/84e93336d2bbdc563a04.png"},{"url":"https://1cpoly.ru/i/newcont/qa-dop-r8.png","local_file":"/Users/maria/Documents/ChatGPT/chatbot/output/faq_1cpoly_prepared_2026-10-25/assets/2e0a4ef24220831dd749.png"},{"url":"https://1cpoly.ru/i/newcont/qa-dop-r9.png","local_file":"/Users/maria/Documents/ChatGPT/chatbot/output/faq_1cpoly_prepared_2026-10-25/assets/e41d34c4330bb33c5ea8.png"}],"applicability_check":"confirmed_by_consultant","required_facts":["Стоимость допечатной резки задаётся формулой в нормировании операций.","Функция КРЛФ возвращает количество печатных листов на исходном формате; в примере число резов связано с КРЛФ минус один."],"approval_basis":"user_confirmed_consultant_approval"}]</x:v>
      </x:c>
      <x:c r="W201" s="6" t="str">
        <x:v>["В содержательном ответе отражены следующие подтверждённые пункты: Стоимость допечатной резки задаётся формулой в нормировании операций. Функция КРЛФ возвращает количество печатных листов на исходном формате; в примере число резов связано с КРЛФ минус один.","Приведена релевантная ссылка на FAQ; смысл ответа согласуется с источником, нет неподтверждённых действий и лишнего уточнения."]</x:v>
      </x:c>
      <x:c r="X201" s="6" t="str">
        <x:v>approved</x:v>
      </x:c>
      <x:c r="Y201" s="6" t="str">
        <x:v>Карточка и применимость источников согласованы консультантом; утверждение подтверждено пользователем 25.10.2026.</x:v>
      </x:c>
      <x:c r="Z201" s="6" t="str">
        <x:v>G-59b4d8dcd42a1e</x:v>
      </x:c>
      <x:c r="AA201" s="6" t="str">
        <x:v>dev</x:v>
      </x:c>
      <x:c r="AB201" s="6" t="str">
        <x:v>official_faq_entry</x:v>
      </x:c>
    </x:row>
    <x:row r="202" ht="115" customHeight="1">
      <x:c r="A202" s="6" t="str">
        <x:v>FAQ-poly2-245</x:v>
      </x:c>
      <x:c r="B202" s="6" t="str">
        <x:v>official_faq_entry:poly2-245</x:v>
      </x:c>
      <x:c r="C202" s="6" t="str">
        <x:v>{"history":[],"user_message":"Расчет краски по параметру «Технологическая карта» при флекcопечати\n\n(Документ Расчет флексопечати - технологическая карта - по анилоксу )"}</x:v>
      </x:c>
      <x:c r="D202" s="6" t="str">
        <x:v>{"product":"1С:УНФ 8. Полиграфия 2","version":"3.0.14.140","retrieval_state":"available","handoff_consent":false,"source_faq_id":"poly2-245","group_id":"faq_poly2-245","source_applicability":"confirmed_by_consultant","approval_basis":"user_confirmed_consultant_approval"}</x:v>
      </x:c>
      <x:c r="E202" s="6" t="str">
        <x:v>1С:УНФ 8. Полиграфия 2</x:v>
      </x:c>
      <x:c r="F202" s="6" t="str">
        <x:v>3.0.14.140</x:v>
      </x:c>
      <x:c r="G202" s="6" t="str">
        <x:v>not_reported</x:v>
      </x:c>
      <x:c r="H202" s="6" t="str">
        <x:v>default</x:v>
      </x:c>
      <x:c r="I202" s="6" t="str">
        <x:v>Применимость источников и эталона к 1С:УНФ 8. Полиграфия 2, релиз 3.0.14.140, подтверждена консультантом со слов пользователя.</x:v>
      </x:c>
      <x:c r="J202" s="13" t="str">
        <x:v>0</x:v>
      </x:c>
      <x:c r="K202" s="13" t="str">
        <x:v>5</x:v>
      </x:c>
      <x:c r="L202" s="7" t="b">
        <x:v>0</x:v>
      </x:c>
      <x:c r="M202" s="6" t="str">
        <x:v>not_applicable</x:v>
      </x:c>
      <x:c r="N202" s="6" t="str">
        <x:v>[]</x:v>
      </x:c>
      <x:c r="O202" s="7" t="b">
        <x:v>1</x:v>
      </x:c>
      <x:c r="P202" s="6" t="str">
        <x:v>K2</x:v>
      </x:c>
      <x:c r="Q202" s="6" t="str">
        <x:v>K2: история пуста, вопрос соответствует статье FAQ poly2-245; в утверждённом источнике есть достаточный применимый ответ для 3.0.14.140. Бот отвечает сразу с источником.</x:v>
      </x:c>
      <x:c r="R202" s="6" t="str">
        <x:v>["faq","poly2","documented_answer"]</x:v>
      </x:c>
      <x:c r="S202" s="6" t="str">
        <x:v>answer</x:v>
      </x:c>
      <x:c r="T202" s="6" t="str">
        <x:v>["Вариант расчёта краски зависит от настройки учёта технологической карты флексопечати.","В примере учитываются площадь, тираж, краскоперенос, процент запечатки и доля краски в пантоне с согласованными единицами.","Указать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02"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02" s="6" t="str">
        <x:v>[{"source_file":"/Users/maria/chatbot_rag/knowledge base/faq_articles.jsonl","source_jsonl_line":36,"faq_id":"poly2-245","url":"https://1cpoly.ru/questions/?action=show&amp;id=245","source_locator":".faq-answer","title":"Расчет краски по параметру «Технологическая карта» при флекcопечати\n\n(Документ Расчет флексопечати - технологическая карта - по анилоксу )","source_answer":"1) При варианте, когда в настройках «Панель администрирования Полиграфии – Флексопечать» выбран вариант учета технологической карты флексопечатии «на заказ» формула расчета краски по анилоксу в г/м2 будет следующая:\n\nРасчет расхода краски по анилоксу вг/м2:\n\n208000 мм2 (площадь при формате 520х400 мм) = 0,208 м2 * 52332 (Тираж заказа в оттисках) * 0,00092 кг/м2 (расход 0,92 грамм на 1 кв.м - краскоперенос) * 1 (100 процент краскопереноса)* 1(100 процент запечатки)* 0,448 (44,8 процент краски в пантоне) = 4,486 кг\n\nНиже показано, откуда берутся данные для расчета:\n\n1) Технологическая карта;\n\n2) Анилокс;\n\n3) Процент запечатки;\n\n4) Краскоперенос ( г/м2);\n\n5) Процент краскопереноса;\n\n6) Процент этой краски в пантоне;\n\n1) Формат печати;\n\n2) Тираж в оттисках;\n\nИтог:\n\nРасчет расхода краски по анилоксу всм3/м2:\n\nДля то чтобы рассчитывать расход краски в см3/м2, нужно в самой краске(номенклатуре) заполнить параметр Плотность:\n\nДля пантона, параметр Плотность заполняется в самом пантоне:\n\nСоответственно, в анилоксе должен быть установлен «флажок» - см3/м2:\n\nВ формулу добавляется плотность (г/см3)\n\n208000 мм2 (площадь при формате 520х400 мм) = 0,208 м2 * 52332 (Тираж заказа в оттисках) * 0,92 см3/м2 (краскоперенос) *0,0009 кг/м2 (плотность пантона 0,9 грамм на 1 кв.м)*1 (100 процент краскопереноса)* 1(100 процент запечатки) * 0,448 (44,8 процент краски в пантоне) = 4,038кг\n\nИтог:\n\n2) При варианте, когда в настройках «Панель администрирования Полиграфии – Флексопечать» выбран вариант учета технологической карты флексопечатии «на продукцию» формула расчета краски по анилоксу в г/м2 будет следующая:\n\nРасчет расхода краски по анилоксу вг/м2:\n\n208000 мм2 (площадь продукции при формате 520х400 мм) = 0,208 м2 * 50000 (Количество печатных оттисков для данной продукции) * 0,00092 кг/м2 (расход 0,92 грамм на 1 кв.м - краскоперенос) * 1 (100 процент краскопереноса) * 1(100 процент запечатки) * 0,448 (44,8 процент краски в пантоне) = 4,286кг\n\nНиже показано, откуда берутся данные для расчета:\n\n1) Технологическая карта;\n\n2) Формат продукции\n\n3) Краска/пантон;Процент запечатки;\n\n4) Краскоперенос Анилокс в г/м2;\n\n5); Процент этой краски в пантоне;\n\nИтог:\n\nРасчет расхода краски по анилоксу всм3/м2:\n\n208000 мм2 (площадь продукции при формате 520х400 мм) = 0,208 м2 * 50000 (Количество печатных оттисков для данной продукции) * 0,0009 кг/м2(плотность 0,9г/м2 в пантоне) *0,92 (расход 0,92см на 1 м3- краскоперенос) * 1 (100 процент краскопереноса) * 1(100 процент запечатки) * 0,448 (44,8 процент краски в пантоне) = 3,858 кг\n\n3) Учет процента технологических потерь анилокса\n\nПри заполнении параметров анилоксового вала, имеется возможность учета краски указать параметр для увеличения расхода краски, не увеличивая плотность готовой продукции.\n\nПример:\n\nПри проценте технологических потерь анилокса равном 0%:\n\nРасход краски будет составлять 4,780кг:\n\nПлотность готовой продукции составит 488,310:\n\nИзменим процент технологических потерь анилокса до 100%:\n\n4,780+4,780 = 9,560 кг:\n\nПлотность готовой продукции осталась неизменной:\n\nВажно!\n\nЕсли учет расхода красок по анилоксу не ведется, имеется возможность отключения данного функционала.\n\nПодсистема Полиграфия – Панель администрирования Полиграфии –закладка Флексопечать:\n\nВ этом случае, будет отключено использование параметра «Технологическая карта» на вкладке Сведения документа «Расчет флексопечати». Вместо данного параметра, будет использоваться параметр «Группа красок»:\n\nПодробно данный параметр описан в теме «Расход красок по параметру Группа красок».\n\nРасход краски по параметру «Группа красок»\n\n(Документ Расчет заказа - Группа красок)\n\nРасход краски по группе красок в г/м2, формула расчета:\n\n4500 мм2 (площадь при формате 50х90 мм) = 0,0045 м2 * 60(количество полос) * 281 (Тираж заказа в листах) * 0,00125 кг/м2 (расход 1.25 грамм на 1 кв.м) * 0,50 (процент краски) = 0,047 кг\n\nНиже показано, откуда берутся данные для расчета:\n\n1) Параметр «Группа красок»;\n\n2) Краска в составе группы красок;\n\n3) Процент этой краски в составе группы красок;\n\n4) Формат обрезной;\n\n5) Количество полос;\n\n6) Общее количество листов тиража (с листами на приладку и техпотери);\n\n7) Расход краски в г/м2, заданный непосредственно в номенклатуре «Краска»;\n\nИтог:","content_sha256":"f3ffd601385d8129b7b295b6a0a394144459b77d561cb9df09e36c1ab226feb3","saved_at":"2026-10-24T22:59:41.544702+03:00","image_refs":[{"url":"https://1cpoly.ru/i/newcont/qa-calc-paint1.png","local_file":"/Users/maria/Documents/ChatGPT/chatbot/output/faq_1cpoly_prepared_2026-10-25/assets/4f8ece904bda24aab6fd.png"},{"url":"https://1cpoly.ru/i/newcont/qa-calc-paint2.png","local_file":"/Users/maria/Documents/ChatGPT/chatbot/output/faq_1cpoly_prepared_2026-10-25/assets/98aa5e76072929cb826f.png"},{"url":"https://1cpoly.ru/i/newcont/qa-calc-paint3.png","local_file":"/Users/maria/Documents/ChatGPT/chatbot/output/faq_1cpoly_prepared_2026-10-25/assets/e844d5065f77aeacafe3.png"},{"url":"https://1cpoly.ru/i/newcont/qa-calc-paint4.png","local_file":"/Users/maria/Documents/ChatGPT/chatbot/output/faq_1cpoly_prepared_2026-10-25/assets/64dfa5320219e246411d.png"},{"url":"https://1cpoly.ru/i/newcont/qa-calc-paint5.png","local_file":"/Users/maria/Documents/ChatGPT/chatbot/output/faq_1cpoly_prepared_2026-10-25/assets/9efe52fd5b1d0bddb2a3.png"},{"url":"https://1cpoly.ru/i/newcont/qa-calc-paint6.png","local_file":"/Users/maria/Documents/ChatGPT/chatbot/output/faq_1cpoly_prepared_2026-10-25/assets/e76e30cf8a5caee26204.png"},{"url":"https://1cpoly.ru/i/newcont/qa-calc-paint7.png","local_file":"/Users/maria/Documents/ChatGPT/chatbot/output/faq_1cpoly_prepared_2026-10-25/assets/301805a8abcc788fa24a.png"},{"url":"https://1cpoly.ru/i/newcont/qa-calc-paint8.png","local_file":"/Users/maria/Documents/ChatGPT/chatbot/output/faq_1cpoly_prepared_2026-10-25/assets/ad95f2bce0cb614599c0.png"},{"url":"https://1cpoly.ru/i/newcont/qa-calc-paint9.png","local_file":"/Users/maria/Documents/ChatGPT/chatbot/output/faq_1cpoly_prepared_2026-10-25/assets/b75f8fe5adf130c33501.png"},{"url":"https://1cpoly.ru/i/newcont/qa-calc-paint10.png","local_file":"/Users/maria/Documents/ChatGPT/chatbot/output/faq_1cpoly_prepared_2026-10-25/assets/139404ede3b0908637ba.png"},{"url":"https://1cpoly.ru/i/newcont/qa-calc-paint11.png","local_file":"/Users/maria/Documents/ChatGPT/chatbot/output/faq_1cpoly_prepared_2026-10-25/assets/706933cc21f73aa3189c.png"},{"url":"https://1cpoly.ru/i/newcont/qa-calc-paint12.png","local_file":"/Users/maria/Documents/ChatGPT/chatbot/output/faq_1cpoly_prepared_2026-10-25/assets/eb9bbc9b8ef8a85c88be.png"},{"url":"https://1cpoly.ru/i/newcont/qa-calc-paint13.png","local_file":"/Users/maria/Documents/ChatGPT/chatbot/output/faq_1cpoly_prepared_2026-10-25/assets/cab1de2013b683ec4eb1.png"},{"url":"https://1cpoly.ru/i/newcont/qa-calc-paint14.png","local_file":"/Users/maria/Documents/ChatGPT/chatbot/output/faq_1cpoly_prepared_2026-10-25/assets/85e83de3c4b236c5d63f.png"},{"url":"https://1cpoly.ru/i/newcont/qa-calc-paint15.png","local_file":"/Users/maria/Documents/ChatGPT/chatbot/output/faq_1cpoly_prepared_2026-10-25/assets/108150e7d20ef18148be.png"},{"url":"https://1cpoly.ru/i/newcont/qa-calc-paint16.png","local_file":"/Users/maria/Documents/ChatGPT/chatbot/output/faq_1cpoly_prepared_2026-10-25/assets/1d0c377f99e03c3ea8b7.png"},{"url":"https://1cpoly.ru/i/newcont/qa-calc-paint17.png","local_file":"/Users/maria/Documents/ChatGPT/chatbot/output/faq_1cpoly_prepared_2026-10-25/assets/18c3746e6bdb54ee2d8b.png"},{"url":"https://1cpoly.ru/i/newcont/qa-calc-paint18.png","local_file":"/Users/maria/Documents/ChatGPT/chatbot/output/faq_1cpoly_prepared_2026-10-25/assets/57abca91cfa0dc4ce265.png"},{"url":"https://1cpoly.ru/i/newcont/qa-calc-paint19.png","local_file":"/Users/maria/Documents/ChatGPT/chatbot/output/faq_1cpoly_prepared_2026-10-25/assets/38382bb123ede0d81fe4.png"},{"url":"https://1cpoly.ru/i/newcont/qa-calc-paint20.png","local_file":"/Users/maria/Documents/ChatGPT/chatbot/output/faq_1cpoly_prepared_2026-10-25/assets/5a49d5835935852b75de.png"},{"url":"https://1cpoly.ru/i/newcont/qa-calc-paint21.png","local_file":"/Users/maria/Documents/ChatGPT/chatbot/output/faq_1cpoly_prepared_2026-10-25/assets/b3b35fd7b51f28b5ee5b.png"},{"url":"https://1cpoly.ru/i/newcont/qa-calc-paint22.png","local_file":"/Users/maria/Documents/ChatGPT/chatbot/output/faq_1cpoly_prepared_2026-10-25/assets/dc7ccd9c785e14585da2.png"}],"applicability_check":"confirmed_by_consultant","required_facts":["Вариант расчёта краски зависит от настройки учёта технологической карты флексопечати.","В примере учитываются площадь, тираж, краскоперенос, процент запечатки и доля краски в пантоне с согласованными единицами."],"approval_basis":"user_confirmed_consultant_approval"}]</x:v>
      </x:c>
      <x:c r="W202" s="6" t="str">
        <x:v>["В содержательном ответе отражены следующие подтверждённые пункты: Вариант расчёта краски зависит от настройки учёта технологической карты флексопечати. В примере учитываются площадь, тираж, краскоперенос, процент запечатки и доля краски в пантоне с согласованными единицами.","Приведена релевантная ссылка на FAQ; смысл ответа согласуется с источником, нет неподтверждённых действий и лишнего уточнения."]</x:v>
      </x:c>
      <x:c r="X202" s="6" t="str">
        <x:v>approved</x:v>
      </x:c>
      <x:c r="Y202" s="6" t="str">
        <x:v>Карточка и применимость источников согласованы консультантом; утверждение подтверждено пользователем 25.10.2026.</x:v>
      </x:c>
      <x:c r="Z202" s="6" t="str">
        <x:v>G-e1f486c7a976d9</x:v>
      </x:c>
      <x:c r="AA202" s="6" t="str">
        <x:v>dev</x:v>
      </x:c>
      <x:c r="AB202" s="6" t="str">
        <x:v>official_faq_entry</x:v>
      </x:c>
    </x:row>
    <x:row r="203" ht="115" customHeight="1">
      <x:c r="A203" s="6" t="str">
        <x:v>FAQ-poly2-248</x:v>
      </x:c>
      <x:c r="B203" s="6" t="str">
        <x:v>official_faq_entry:poly2-248</x:v>
      </x:c>
      <x:c r="C203" s="6" t="str">
        <x:v>{"history":[],"user_message":"Как сделать сквозную нумерацию без обнуления нумерации каждый год и восстановить последовательность нумерации документов?"}</x:v>
      </x:c>
      <x:c r="D203" s="6" t="str">
        <x:v>{"product":"1С:УНФ 8. Полиграфия 2","version":"3.0.14.140","retrieval_state":"available","handoff_consent":false,"source_faq_id":"poly2-248","group_id":"faq_poly2-248","source_applicability":"confirmed_by_consultant","approval_basis":"user_confirmed_consultant_approval"}</x:v>
      </x:c>
      <x:c r="E203" s="6" t="str">
        <x:v>1С:УНФ 8. Полиграфия 2</x:v>
      </x:c>
      <x:c r="F203" s="6" t="str">
        <x:v>3.0.14.140</x:v>
      </x:c>
      <x:c r="G203" s="6" t="str">
        <x:v>not_reported</x:v>
      </x:c>
      <x:c r="H203" s="6" t="str">
        <x:v>default</x:v>
      </x:c>
      <x:c r="I203" s="6" t="str">
        <x:v>Применимость источников и эталона к 1С:УНФ 8. Полиграфия 2, релиз 3.0.14.140, подтверждена консультантом со слов пользователя.</x:v>
      </x:c>
      <x:c r="J203" s="13" t="str">
        <x:v>0</x:v>
      </x:c>
      <x:c r="K203" s="13" t="str">
        <x:v>5</x:v>
      </x:c>
      <x:c r="L203" s="7" t="b">
        <x:v>0</x:v>
      </x:c>
      <x:c r="M203" s="6" t="str">
        <x:v>not_applicable</x:v>
      </x:c>
      <x:c r="N203" s="6" t="str">
        <x:v>[]</x:v>
      </x:c>
      <x:c r="O203" s="7" t="b">
        <x:v>1</x:v>
      </x:c>
      <x:c r="P203" s="6" t="str">
        <x:v>K2</x:v>
      </x:c>
      <x:c r="Q203" s="6" t="str">
        <x:v>K2: история пуста, вопрос соответствует статье FAQ poly2-248; в утверждённом источнике есть достаточный применимый ответ для 3.0.14.140. Бот отвечает сразу с источником.</x:v>
      </x:c>
      <x:c r="R203" s="6" t="str">
        <x:v>["faq","poly2","documented_answer"]</x:v>
      </x:c>
      <x:c r="S203" s="6" t="str">
        <x:v>answer</x:v>
      </x:c>
      <x:c r="T203" s="6" t="str">
        <x:v>["FAQ предлагает принудительно продолжать номер первого документа нового года для каждого вида документов.","Второй вариант использует типовую обработку подбора/перенумерации; действия не должны выполняться ботом в рабочей базе.","Указать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03"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03" s="6" t="str">
        <x:v>[{"source_file":"/Users/maria/chatbot_rag/knowledge base/faq_articles.jsonl","source_jsonl_line":37,"faq_id":"poly2-248","url":"https://1cpoly.ru/questions/?action=show&amp;id=248","source_locator":".faq-answer","title":"Как сделать сквозную нумерацию без обнуления нумерации каждый год и восстановить последовательность нумерации документов?","source_answer":"Можем предложить 2 варианта решения этого вопроса.\n\n1. Ежегодно принудительно устанавливать номер документа, например, год закончили. Номер документа №А000123666. В новом году устанавливайте первый документ № А000123667. И так по каждому виду документов . (\"Расходная накладная\", \"Счет- фактура выданная\" и т.д.)\n\n2. также в наборе типовых обработок на диске ИТС и портале 1C:ИТС есть “Универсальный подбор и обработка объектов” https://its.1c.ru/db/metod8dev#browse:13:-1:2441:2483:2504\n\n2.1. Сохраняем обработку\n\n2.2. Открываем эту внешнюю обработку\n\n2.3. Выбираем нужный нам объект\n\nКнопка “Найти объекты”\n\nЗакладка“Обработки“\n\nПеренумерация объектов-&gt;Выполнить","content_sha256":"8045976b7365cb6c34ee5547ae586c1ccc63aecb8af6c5f680013f33758ae049","saved_at":"2026-10-24T22:59:41.544702+03:00","image_refs":[{"url":"https://1cpoly.ru/i/newcont/qa-number-docs1.png","local_file":"/Users/maria/Documents/ChatGPT/chatbot/output/faq_1cpoly_prepared_2026-10-25/assets/2acb894f9f1d55b3e4f4.png"},{"url":"https://1cpoly.ru/i/newcont/qa-number-docs2.png","local_file":"/Users/maria/Documents/ChatGPT/chatbot/output/faq_1cpoly_prepared_2026-10-25/assets/86d2a0fb3163dc16bead.png"},{"url":"https://1cpoly.ru/i/newcont/qa-number-docs3.png","local_file":"/Users/maria/Documents/ChatGPT/chatbot/output/faq_1cpoly_prepared_2026-10-25/assets/082f15cf68fbdd20aa88.png"},{"url":"https://1cpoly.ru/i/newcont/qa-number-docs4.png","local_file":"/Users/maria/Documents/ChatGPT/chatbot/output/faq_1cpoly_prepared_2026-10-25/assets/97dd53f40fb61517715b.png"},{"url":"https://1cpoly.ru/i/newcont/qa-number-docs5.png","local_file":"/Users/maria/Documents/ChatGPT/chatbot/output/faq_1cpoly_prepared_2026-10-25/assets/b34abdfa5f0d50d31857.png"}],"applicability_check":"confirmed_by_consultant","required_facts":["FAQ предлагает принудительно продолжать номер первого документа нового года для каждого вида документов.","Второй вариант использует типовую обработку подбора/перенумерации; действия не должны выполняться ботом в рабочей базе."],"approval_basis":"user_confirmed_consultant_approval"}]</x:v>
      </x:c>
      <x:c r="W203" s="6" t="str">
        <x:v>["В содержательном ответе отражены следующие подтверждённые пункты: FAQ предлагает принудительно продолжать номер первого документа нового года для каждого вида документов. Второй вариант использует типовую обработку подбора/перенумерации; действия не должны выполняться ботом в рабочей базе.","Приведена релевантная ссылка на FAQ; смысл ответа согласуется с источником, нет неподтверждённых действий и лишнего уточнения."]</x:v>
      </x:c>
      <x:c r="X203" s="6" t="str">
        <x:v>approved</x:v>
      </x:c>
      <x:c r="Y203" s="6" t="str">
        <x:v>Карточка и применимость источников согласованы консультантом; утверждение подтверждено пользователем 25.10.2026.</x:v>
      </x:c>
      <x:c r="Z203" s="6" t="str">
        <x:v>G-7f4f162fd6e60f</x:v>
      </x:c>
      <x:c r="AA203" s="6" t="str">
        <x:v>dev</x:v>
      </x:c>
      <x:c r="AB203" s="6" t="str">
        <x:v>official_faq_entry</x:v>
      </x:c>
    </x:row>
    <x:row r="204" ht="115" customHeight="1">
      <x:c r="A204" s="6" t="str">
        <x:v>FAQ-poly2-249</x:v>
      </x:c>
      <x:c r="B204" s="6" t="str">
        <x:v>official_faq_entry:poly2-249</x:v>
      </x:c>
      <x:c r="C204" s="6" t="str">
        <x:v>{"history":[],"user_message":"Как организовать контроль выбора тех или иных материалов для различных операций по определенному признаку ? (Использование дополнительного признака материала)"}</x:v>
      </x:c>
      <x:c r="D204" s="6" t="str">
        <x:v>{"product":"1С:УНФ 8. Полиграфия 2","version":"3.0.14.140","retrieval_state":"available","handoff_consent":false,"source_faq_id":"poly2-249","group_id":"faq_poly2-249","source_applicability":"confirmed_by_consultant","approval_basis":"user_confirmed_consultant_approval"}</x:v>
      </x:c>
      <x:c r="E204" s="6" t="str">
        <x:v>1С:УНФ 8. Полиграфия 2</x:v>
      </x:c>
      <x:c r="F204" s="6" t="str">
        <x:v>3.0.14.140</x:v>
      </x:c>
      <x:c r="G204" s="6" t="str">
        <x:v>not_reported</x:v>
      </x:c>
      <x:c r="H204" s="6" t="str">
        <x:v>default</x:v>
      </x:c>
      <x:c r="I204" s="6" t="str">
        <x:v>Применимость источников и эталона к 1С:УНФ 8. Полиграфия 2, релиз 3.0.14.140, подтверждена консультантом со слов пользователя.</x:v>
      </x:c>
      <x:c r="J204" s="13" t="str">
        <x:v>0</x:v>
      </x:c>
      <x:c r="K204" s="13" t="str">
        <x:v>5</x:v>
      </x:c>
      <x:c r="L204" s="7" t="b">
        <x:v>0</x:v>
      </x:c>
      <x:c r="M204" s="6" t="str">
        <x:v>not_applicable</x:v>
      </x:c>
      <x:c r="N204" s="6" t="str">
        <x:v>[]</x:v>
      </x:c>
      <x:c r="O204" s="7" t="b">
        <x:v>1</x:v>
      </x:c>
      <x:c r="P204" s="6" t="str">
        <x:v>K2</x:v>
      </x:c>
      <x:c r="Q204" s="6" t="str">
        <x:v>K2: история пуста, вопрос соответствует статье FAQ poly2-249; в утверждённом источнике есть достаточный применимый ответ для 3.0.14.140. Бот отвечает сразу с источником.</x:v>
      </x:c>
      <x:c r="R204" s="6" t="str">
        <x:v>["faq","poly2","documented_answer"]</x:v>
      </x:c>
      <x:c r="S204" s="6" t="str">
        <x:v>answer</x:v>
      </x:c>
      <x:c r="T204" s="6" t="str">
        <x:v>["«Дополнительный признак материала» назначается категории номенклатуры через назначение предопределённых свойств характеристик.","Числовой признак можно использовать в формулах для ограничений выбора материала и расчёта операций.","Указать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04"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04" s="6" t="str">
        <x:v>[{"source_file":"/Users/maria/chatbot_rag/knowledge base/faq_articles.jsonl","source_jsonl_line":39,"faq_id":"poly2-249","url":"https://1cpoly.ru/questions/?action=show&amp;id=249","source_locator":".faq-answer","title":"Как организовать контроль выбора тех или иных материалов для различных операций по определенному признаку ? (Использование дополнительного признака материала)","source_answer":"Для возможности контроля менеджеров по выбору того или иного печатного материала в программе можно использовать дополнительный признак, который может быть назначен любой характеристике материала.\n\nЭтот «Дополнительный признак материала» можно назначить любой Категории номенклатуры, используя обработку «Назначение предопределенных свойств характеристик для категорий номенклатуры» (раздел «Полиграфия»-Сервис). Для этого необходимо открыть обработку, выбрать категорию номенклатуры, выбрать свойство «Дополнительный признак материала» и нажать на кнопку «Назначить».\n\nПосле этого, у всех характеристик материала данной категории появиться возможность задавать значение данного признака.\n\nДанный «Дополнительный признак материала» можно использовать в формульном редакторе, где задавать различные значения для формул вычисления стоимости, времени, потерь и расхода дополнительного материала для полиграфических операций. Данный параметр имеет числовой тип длиной 11 символов и 2 знака после запятой.\n\nПример: на предприятии нельзя ламинировать односторонним способом некоторые виды картонов. Эти картоны необходимо как-то промаркировать, чтобы при ошибочном выборе менеджером такого картона, сработала бы некая \"защита\".\n\nПри расчете тиража операции Ламинация можно в формуле прописать ограничение на определенное значение дополнительного признака. Например, при односторонней ламинации нужно использовать бумагу, где дополнительный признак больше 5. Пропишем в формуле расчета тиража операции «Ламинация с одной стороны» ограничение на значение доп. признака материала.\n\nВ расчете полиграфического заказа при выборе операции «Ламинация с одной стороны» программа будет делать проверку на значение реквизита «Доп. Признак материала» у характеристики печатного материала, если значение будет меньше 5, программа не произведет расчет тиража операции Ламинация.\n\nТаким образом, если существует потребность ограничить выбор того или иного материала в полиграфических заказах или установить некий дополнительный коэффициент для конкретного материала, можно использовать \"Дополнительный признак материала\" в формульных редакторах полиграфических операций.","content_sha256":"d04d436341f4869228976ace3e951e5da71238be911150e496a0e9bc54efd1da","saved_at":"2026-10-24T22:59:41.544702+03:00","image_refs":[{"url":"https://1cpoly.ru/i/newcont/qa-sel-cont-1.png","local_file":"/Users/maria/Documents/ChatGPT/chatbot/output/faq_1cpoly_prepared_2026-10-25/assets/0c078307dc7651fdd834.png"},{"url":"https://1cpoly.ru/i/newcont/qa-sel-cont-2.png","local_file":"/Users/maria/Documents/ChatGPT/chatbot/output/faq_1cpoly_prepared_2026-10-25/assets/2a1051df1f36506cf275.png"},{"url":"https://1cpoly.ru/i/newcont/qa-sel-cont-3.png","local_file":"/Users/maria/Documents/ChatGPT/chatbot/output/faq_1cpoly_prepared_2026-10-25/assets/e240520845cf5e75e7ed.png"},{"url":"https://1cpoly.ru/i/newcont/qa-sel-cont-4.png","local_file":"/Users/maria/Documents/ChatGPT/chatbot/output/faq_1cpoly_prepared_2026-10-25/assets/d40e9abb70ff4141b0b7.png"},{"url":"https://1cpoly.ru/i/newcont/qa-sel-cont-5.png","local_file":"/Users/maria/Documents/ChatGPT/chatbot/output/faq_1cpoly_prepared_2026-10-25/assets/81385d12cd8c9a0d0169.png"},{"url":"https://1cpoly.ru/i/newcont/qa-sel-cont-6.png","local_file":"/Users/maria/Documents/ChatGPT/chatbot/output/faq_1cpoly_prepared_2026-10-25/assets/e841b453b66ce1beed67.png"}],"applicability_check":"confirmed_by_consultant","required_facts":["«Дополнительный признак материала» назначается категории номенклатуры через назначение предопределённых свойств характеристик.","Числовой признак можно использовать в формулах для ограничений выбора материала и расчёта операций."],"approval_basis":"user_confirmed_consultant_approval"}]</x:v>
      </x:c>
      <x:c r="W204" s="6" t="str">
        <x:v>["В содержательном ответе отражены следующие подтверждённые пункты: «Дополнительный признак материала» назначается категории номенклатуры через назначение предопределённых свойств характеристик. Числовой признак можно использовать в формулах для ограничений выбора материала и расчёта операций.","Приведена релевантная ссылка на FAQ; смысл ответа согласуется с источником, нет неподтверждённых действий и лишнего уточнения."]</x:v>
      </x:c>
      <x:c r="X204" s="6" t="str">
        <x:v>approved</x:v>
      </x:c>
      <x:c r="Y204" s="6" t="str">
        <x:v>Карточка и применимость источников согласованы консультантом; утверждение подтверждено пользователем 25.10.2026.</x:v>
      </x:c>
      <x:c r="Z204" s="6" t="str">
        <x:v>G-ee0b2ebb7dff0a</x:v>
      </x:c>
      <x:c r="AA204" s="6" t="str">
        <x:v>dev</x:v>
      </x:c>
      <x:c r="AB204" s="6" t="str">
        <x:v>official_faq_entry</x:v>
      </x:c>
    </x:row>
    <x:row r="205" ht="115" customHeight="1">
      <x:c r="A205" s="6" t="str">
        <x:v>FAQ-poly2-250</x:v>
      </x:c>
      <x:c r="B205" s="6" t="str">
        <x:v>official_faq_entry:poly2-250</x:v>
      </x:c>
      <x:c r="C205" s="6" t="str">
        <x:v>{"history":[],"user_message":"Как в себестоимости можно отразить затраты на доставку, предусмотрены такие затраты в расчете, также можно при отгрузке контролировать коэффициент доставки продукции и при необходимости блокировать отгрузку с высокой стоимостью доставки?"}</x:v>
      </x:c>
      <x:c r="D205" s="6" t="str">
        <x:v>{"product":"1С:УНФ 8. Полиграфия 2","version":"3.0.14.140","retrieval_state":"available","handoff_consent":false,"source_faq_id":"poly2-250","group_id":"faq_poly2-250","source_applicability":"confirmed_by_consultant","approval_basis":"user_confirmed_consultant_approval"}</x:v>
      </x:c>
      <x:c r="E205" s="6" t="str">
        <x:v>1С:УНФ 8. Полиграфия 2</x:v>
      </x:c>
      <x:c r="F205" s="6" t="str">
        <x:v>3.0.14.140</x:v>
      </x:c>
      <x:c r="G205" s="6" t="str">
        <x:v>not_reported</x:v>
      </x:c>
      <x:c r="H205" s="6" t="str">
        <x:v>default</x:v>
      </x:c>
      <x:c r="I205" s="6" t="str">
        <x:v>Применимость источников и эталона к 1С:УНФ 8. Полиграфия 2, релиз 3.0.14.140, подтверждена консультантом со слов пользователя.</x:v>
      </x:c>
      <x:c r="J205" s="13" t="str">
        <x:v>0</x:v>
      </x:c>
      <x:c r="K205" s="13" t="str">
        <x:v>5</x:v>
      </x:c>
      <x:c r="L205" s="7" t="b">
        <x:v>0</x:v>
      </x:c>
      <x:c r="M205" s="6" t="str">
        <x:v>not_applicable</x:v>
      </x:c>
      <x:c r="N205" s="6" t="str">
        <x:v>[]</x:v>
      </x:c>
      <x:c r="O205" s="7" t="b">
        <x:v>1</x:v>
      </x:c>
      <x:c r="P205" s="6" t="str">
        <x:v>K2</x:v>
      </x:c>
      <x:c r="Q205" s="6" t="str">
        <x:v>K2: история пуста, вопрос соответствует статье FAQ poly2-250; в утверждённом источнике есть достаточный применимый ответ для 3.0.14.140. Бот отвечает сразу с источником.</x:v>
      </x:c>
      <x:c r="R205" s="6" t="str">
        <x:v>["faq","poly2","documented_answer"]</x:v>
      </x:c>
      <x:c r="S205" s="6" t="str">
        <x:v>answer</x:v>
      </x:c>
      <x:c r="T205" s="6" t="str">
        <x:v>["Доставка может включаться в стоимость продукции через услуги либо добавляться отдельной услугой в заказ/счёт.","При включённой доставке изменение её стоимости не меняет цену автоматически; во втором варианте услугу можно убрать при отгрузке.","Указать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05"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05" s="6" t="str">
        <x:v>[{"source_file":"/Users/maria/chatbot_rag/knowledge base/faq_articles.jsonl","source_jsonl_line":40,"faq_id":"poly2-250","url":"https://1cpoly.ru/questions/?action=show&amp;id=250","source_locator":".faq-answer","title":"Как в себестоимости можно отразить затраты на доставку, предусмотрены такие затраты в расчете, также можно при отгрузке контролировать коэффициент доставки продукции и при необходимости блокировать отгрузку с высокой стоимостью доставки?","source_answer":"1) Если доставка включается в стоимость полиграфической продукции (т.е. цена Этикетки включает в себя и стоимость доставки), тогда доставку можно оформить через Услуги. При этом вводим стоимость доставки самостоятельно или фиксируем ее как для номенклатуры;\n\nЦена этикетки в этом случае включает в себя доставку\n\nИ заказ (счет) оформляется только на отгружаемую продукцию.\n\nПри этом, если вдруг стоимость доставки изменится, то при отгрузке вы не можете автоматически изменять стоимость продукции (только вручную)\n\n2) Можно рассчитать стоимость продукции без доставки и включить доставку как услугу уже непосредственно в заказ (счет). При этом расчет проводится без доставки, цена продукции без учета доставки, но в счет вы ее добавляете. В этом случае при отгрузке вы можете легко ее убрать при необходимости","content_sha256":"c4458b6eb8d965f57331076fa70c6b69e9ad4b911d3305a1e1906a08585cca7d","saved_at":"2026-10-24T22:59:41.544702+03:00","image_refs":[{"url":"https://1cpoly.ru/i/newcont/qa-fix-del1.png","local_file":"/Users/maria/Documents/ChatGPT/chatbot/output/faq_1cpoly_prepared_2026-10-25/assets/279500f025a80ff3fcc1.png"},{"url":"https://1cpoly.ru/i/newcont/qa-fix-del2.png","local_file":"/Users/maria/Documents/ChatGPT/chatbot/output/faq_1cpoly_prepared_2026-10-25/assets/af2c249196970388db8d.png"},{"url":"https://1cpoly.ru/i/newcont/qa-fix-del3.png","local_file":"/Users/maria/Documents/ChatGPT/chatbot/output/faq_1cpoly_prepared_2026-10-25/assets/3eafa2cd9fd32f8663c5.png"},{"url":"https://1cpoly.ru/i/newcont/qa-fix-del4.png","local_file":"/Users/maria/Documents/ChatGPT/chatbot/output/faq_1cpoly_prepared_2026-10-25/assets/6727f443e523223f8b29.png"},{"url":"https://1cpoly.ru/i/newcont/qa-fix-del5.png","local_file":"/Users/maria/Documents/ChatGPT/chatbot/output/faq_1cpoly_prepared_2026-10-25/assets/f35e428c03c6aef71d08.png"}],"applicability_check":"confirmed_by_consultant","required_facts":["Доставка может включаться в стоимость продукции через услуги либо добавляться отдельной услугой в заказ/счёт.","При включённой доставке изменение её стоимости не меняет цену автоматически; во втором варианте услугу можно убрать при отгрузке."],"approval_basis":"user_confirmed_consultant_approval"}]</x:v>
      </x:c>
      <x:c r="W205" s="6" t="str">
        <x:v>["В содержательном ответе отражены следующие подтверждённые пункты: Доставка может включаться в стоимость продукции через услуги либо добавляться отдельной услугой в заказ/счёт. При включённой доставке изменение её стоимости не меняет цену автоматически; во втором варианте услугу можно убрать при отгрузке.","Приведена релевантная ссылка на FAQ; смысл ответа согласуется с источником, нет неподтверждённых действий и лишнего уточнения."]</x:v>
      </x:c>
      <x:c r="X205" s="6" t="str">
        <x:v>approved</x:v>
      </x:c>
      <x:c r="Y205" s="6" t="str">
        <x:v>Карточка и применимость источников согласованы консультантом; утверждение подтверждено пользователем 25.10.2026.</x:v>
      </x:c>
      <x:c r="Z205" s="6" t="str">
        <x:v>G-213e8fe7483a7a</x:v>
      </x:c>
      <x:c r="AA205" s="6" t="str">
        <x:v>dev</x:v>
      </x:c>
      <x:c r="AB205" s="6" t="str">
        <x:v>official_faq_entry</x:v>
      </x:c>
    </x:row>
    <x:row r="206" ht="115" customHeight="1">
      <x:c r="A206" s="6" t="str">
        <x:v>FAQ-poly2-252</x:v>
      </x:c>
      <x:c r="B206" s="6" t="str">
        <x:v>official_faq_entry:poly2-252</x:v>
      </x:c>
      <x:c r="C206" s="6" t="str">
        <x:v>{"history":[],"user_message":"Перенос данных между базами данных 1С"}</x:v>
      </x:c>
      <x:c r="D206" s="6" t="str">
        <x:v>{"product":"1С:УНФ 8. Полиграфия 2","version":"3.0.14.140","retrieval_state":"available","handoff_consent":false,"source_faq_id":"poly2-252","group_id":"faq_poly2-252","source_applicability":"confirmed_by_consultant","approval_basis":"user_confirmed_consultant_approval"}</x:v>
      </x:c>
      <x:c r="E206" s="6" t="str">
        <x:v>1С:УНФ 8. Полиграфия 2</x:v>
      </x:c>
      <x:c r="F206" s="6" t="str">
        <x:v>3.0.14.140</x:v>
      </x:c>
      <x:c r="G206" s="6" t="str">
        <x:v>not_reported</x:v>
      </x:c>
      <x:c r="H206" s="6" t="str">
        <x:v>default</x:v>
      </x:c>
      <x:c r="I206" s="6" t="str">
        <x:v>Применимость источников и эталона к 1С:УНФ 8. Полиграфия 2, релиз 3.0.14.140, подтверждена консультантом со слов пользователя.</x:v>
      </x:c>
      <x:c r="J206" s="13" t="str">
        <x:v>0</x:v>
      </x:c>
      <x:c r="K206" s="13" t="str">
        <x:v>5</x:v>
      </x:c>
      <x:c r="L206" s="7" t="b">
        <x:v>0</x:v>
      </x:c>
      <x:c r="M206" s="6" t="str">
        <x:v>not_applicable</x:v>
      </x:c>
      <x:c r="N206" s="6" t="str">
        <x:v>[]</x:v>
      </x:c>
      <x:c r="O206" s="7" t="b">
        <x:v>1</x:v>
      </x:c>
      <x:c r="P206" s="6" t="str">
        <x:v>K2</x:v>
      </x:c>
      <x:c r="Q206" s="6" t="str">
        <x:v>K2: история пуста, вопрос соответствует статье FAQ poly2-252; в утверждённом источнике есть достаточный применимый ответ для 3.0.14.140. Бот отвечает сразу с источником.</x:v>
      </x:c>
      <x:c r="R206" s="6" t="str">
        <x:v>["faq","poly2","documented_answer"]</x:v>
      </x:c>
      <x:c r="S206" s="6" t="str">
        <x:v>answer</x:v>
      </x:c>
      <x:c r="T206" s="6" t="str">
        <x:v>["FAQ различает обмен табличными документами, универсальный XML-обмен и «Конвертацию данных».","Универсальная XML-выгрузка/загрузка применима к однородным базам; для разных конфигураций нужны правила обмена.","Указать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06"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06" s="6" t="str">
        <x:v>[{"source_file":"/Users/maria/chatbot_rag/knowledge base/faq_articles.jsonl","source_jsonl_line":41,"faq_id":"poly2-252","url":"https://1cpoly.ru/questions/?action=show&amp;id=252","source_locator":".faq-answer","title":"Перенос данных между базами данных 1С","source_answer":"Есть следующие варианты переноса данных между БД 1С (наиболее распространенные):\n\n1.1. Через универсальный обмен через табличные документы\nПодходит для обмена между базами данных старых версий платформы 1С:Предприятие\n\n1.2. Через универсальный обмен данных через формат ХML\nhttps://its.1c.ru/db/metod8dev#content:4126:hdoc:_top:%D0%B2%D1%8B%D0%B3%D1%80%D1%83%D0%B7%D0%BA%D0%B0%20%D0%B8%20%D0%B7%D0%B0%D0%B3%D1%80%D1%83%D0%B7%D0%BA%D0%B0%20%D0%B4%D0%B0%D0%BD%D0%BD%D1%8B%D1%85%20xml%208.3\nОбработка может использоваться только в тех случаях, когда информационная база, в которой осуществлялась выгрузка данных, и та, в которой данные загружаются, являются однородными (конфигурации идентичны, данные могут различаться)\n\n1.3. Использую конфигурацию «Конвертация данных» https://its.1c.ru/db/metod8dev#content:5848:hdoc:_top:%D0%BA%D0%BE%D0%BD%D0%B2%D0%B5%D1%80%D1%82%D0%B0%D1%86%D0%B8%D1%8F%20%D0%B4%D0%B0%D0%BD%D0%BD%D1%8B%D1%85%203.0\n\nКонфигурация используется для подготовки правил обмена и дальнейшего обмена через формат XML между неидентичными конфигурациями","content_sha256":"169b9c78614812c2b4b6a76fd35b9285a4fd3ff18e36b30dd9ebd34fe2c72494","saved_at":"2026-10-24T22:59:41.544702+03:00","image_refs":[],"applicability_check":"confirmed_by_consultant","required_facts":["FAQ различает обмен табличными документами, универсальный XML-обмен и «Конвертацию данных».","Универсальная XML-выгрузка/загрузка применима к однородным базам; для разных конфигураций нужны правила обмена."],"approval_basis":"user_confirmed_consultant_approval"}]</x:v>
      </x:c>
      <x:c r="W206" s="6" t="str">
        <x:v>["В содержательном ответе отражены следующие подтверждённые пункты: FAQ различает обмен табличными документами, универсальный XML-обмен и «Конвертацию данных». Универсальная XML-выгрузка/загрузка применима к однородным базам; для разных конфигураций нужны правила обмена.","Приведена релевантная ссылка на FAQ; смысл ответа согласуется с источником, нет неподтверждённых действий и лишнего уточнения."]</x:v>
      </x:c>
      <x:c r="X206" s="6" t="str">
        <x:v>approved</x:v>
      </x:c>
      <x:c r="Y206" s="6" t="str">
        <x:v>Карточка и применимость источников согласованы консультантом; утверждение подтверждено пользователем 25.10.2026.</x:v>
      </x:c>
      <x:c r="Z206" s="6" t="str">
        <x:v>G-66f8eb230a0250</x:v>
      </x:c>
      <x:c r="AA206" s="6" t="str">
        <x:v>dev</x:v>
      </x:c>
      <x:c r="AB206" s="6" t="str">
        <x:v>official_faq_entry</x:v>
      </x:c>
    </x:row>
    <x:row r="207" ht="115" customHeight="1">
      <x:c r="A207" s="6" t="str">
        <x:v>FAQ-poly2-253</x:v>
      </x:c>
      <x:c r="B207" s="6" t="str">
        <x:v>official_faq_entry:poly2-253</x:v>
      </x:c>
      <x:c r="C207" s="6" t="str">
        <x:v>{"history":[],"user_message":"Работа с каталогами FEFCO и ECMA"}</x:v>
      </x:c>
      <x:c r="D207" s="6" t="str">
        <x:v>{"product":"1С:УНФ 8. Полиграфия 2","version":"3.0.14.140","retrieval_state":"available","handoff_consent":false,"source_faq_id":"poly2-253","group_id":"faq_poly2-253","source_applicability":"confirmed_by_consultant","approval_basis":"user_confirmed_consultant_approval"}</x:v>
      </x:c>
      <x:c r="E207" s="6" t="str">
        <x:v>1С:УНФ 8. Полиграфия 2</x:v>
      </x:c>
      <x:c r="F207" s="6" t="str">
        <x:v>3.0.14.140</x:v>
      </x:c>
      <x:c r="G207" s="6" t="str">
        <x:v>not_reported</x:v>
      </x:c>
      <x:c r="H207" s="6" t="str">
        <x:v>default</x:v>
      </x:c>
      <x:c r="I207" s="6" t="str">
        <x:v>Применимость источников и эталона к 1С:УНФ 8. Полиграфия 2, релиз 3.0.14.140, подтверждена консультантом со слов пользователя.</x:v>
      </x:c>
      <x:c r="J207" s="13" t="str">
        <x:v>0</x:v>
      </x:c>
      <x:c r="K207" s="13" t="str">
        <x:v>5</x:v>
      </x:c>
      <x:c r="L207" s="7" t="b">
        <x:v>0</x:v>
      </x:c>
      <x:c r="M207" s="6" t="str">
        <x:v>not_applicable</x:v>
      </x:c>
      <x:c r="N207" s="6" t="str">
        <x:v>[]</x:v>
      </x:c>
      <x:c r="O207" s="7" t="b">
        <x:v>1</x:v>
      </x:c>
      <x:c r="P207" s="6" t="str">
        <x:v>K2</x:v>
      </x:c>
      <x:c r="Q207" s="6" t="str">
        <x:v>K2: история пуста, вопрос соответствует статье FAQ poly2-253; в утверждённом источнике есть достаточный применимый ответ для 3.0.14.140. Бот отвечает сразу с источником.</x:v>
      </x:c>
      <x:c r="R207" s="6" t="str">
        <x:v>["faq","poly2","documented_answer"]</x:v>
      </x:c>
      <x:c r="S207" s="6" t="str">
        <x:v>answer</x:v>
      </x:c>
      <x:c r="T207" s="6" t="str">
        <x:v>["В расчёте заказа через «Расчёт формата заготовки» задаются размеры короба, тип упаковки и клапан.","Формула размера хранится в карточке FEFCO/ECMA; результат рассчитывается и переносится в документ.","Указать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07"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07" s="6" t="str">
        <x:v>[{"source_file":"/Users/maria/chatbot_rag/knowledge base/faq_articles.jsonl","source_jsonl_line":42,"faq_id":"poly2-253","url":"https://1cpoly.ru/questions/?action=show&amp;id=253","source_locator":".faq-answer","title":"Работа с каталогами FEFCO и ECMA","source_answer":"В систему автоматизации \"1С:Полиграфия\" теперь можно загрузить не только макеты продукции из каталогов FEFCO и ECMA, но и с ее помощью рассчитать размер заготовки для конкретного короба. Эти данные можно перенести в «Расчет заказа» и получить итоговые данные по количеству материала, стоимости и времени, необходимого для производства данного вида упаковки указанного размера.\n\nДля этого в «Расчет заказа» на страницу «Пресс» в блок «Формат печатного листа» была добавлена кнопка «Расчет формата заготовки».\n\nС ее помощью открывается дополнительное окно, в котором содержатся поля, необходимые для расчета размера заготовки.\n\nА именно длина(Д), ширина (Ш) и высота (В) короба, вид упаковки из каталогов FEFCO и ECMA, размер склеивающего клапана. По схеме можно заполнить количество сгибов по ширине и высоте заготовки. Толщина картона заполняется автоматически из карточки выбранного материала, но ее, при необходимости, можно изменить.\n\nДля расчета высоты и ширины заготовки необходимо ввести формулу в карточку каталогов FEFCO и ECMA.\n\nДля этого был добавлен формульный калькулятор, содержащий все необходимые параметры.\n\nДанная формула будет храниться в каталоге.\n\nНа странице «Расчет формата продукции по данным каталогов FEFCO и ECMA» при нажатии на кнопку «Рассчитать» будут получены высота и ширина заготовки, а также ее площадь, согласно введенным данным. По команде «Перенести в документ» данные попадут в «Расчет заказа» в форму «нестандартные ширина и высота».\n\nКаталоги FEFCO и ECMA были разработаны для удобной классификации гофрокоробок различной конструкции, а теперь дополнены функционалом «Расчет формата продукции по данным в каталогах FEFCO и ECMA».","content_sha256":"6901a567918ad8a5cb235eec8aa75c57d05ecf3dd49e9668d09b1b1354f871a5","saved_at":"2026-10-24T22:59:41.544702+03:00","image_refs":[{"url":"https://1cpoly.ru/files/images/image/catalog-fefco1.jpg","local_file":"/Users/maria/Documents/ChatGPT/chatbot/output/faq_1cpoly_prepared_2026-10-25/assets/ed5536dae9aab32c5c1c.jpg"},{"url":"https://1cpoly.ru/files/images/image/catalog-fefco2.jpg","local_file":"/Users/maria/Documents/ChatGPT/chatbot/output/faq_1cpoly_prepared_2026-10-25/assets/909857aec094a68b45ea.jpg"},{"url":"https://1cpoly.ru/files/images/image/catalog-fefco3.jpg","local_file":"/Users/maria/Documents/ChatGPT/chatbot/output/faq_1cpoly_prepared_2026-10-25/assets/18b9ffed9812c4d90cfb.jpg"},{"url":"https://1cpoly.ru/files/images/image/catalog-fefco4.jpg","local_file":"/Users/maria/Documents/ChatGPT/chatbot/output/faq_1cpoly_prepared_2026-10-25/assets/e4e7c627eaabd779952c.jpg"}],"applicability_check":"confirmed_by_consultant","required_facts":["В расчёте заказа через «Расчёт формата заготовки» задаются размеры короба, тип упаковки и клапан.","Формула размера хранится в карточке FEFCO/ECMA; результат рассчитывается и переносится в документ."],"approval_basis":"user_confirmed_consultant_approval"}]</x:v>
      </x:c>
      <x:c r="W207" s="6" t="str">
        <x:v>["В содержательном ответе отражены следующие подтверждённые пункты: В расчёте заказа через «Расчёт формата заготовки» задаются размеры короба, тип упаковки и клапан. Формула размера хранится в карточке FEFCO/ECMA; результат рассчитывается и переносится в документ.","Приведена релевантная ссылка на FAQ; смысл ответа согласуется с источником, нет неподтверждённых действий и лишнего уточнения."]</x:v>
      </x:c>
      <x:c r="X207" s="6" t="str">
        <x:v>approved</x:v>
      </x:c>
      <x:c r="Y207" s="6" t="str">
        <x:v>Карточка и применимость источников согласованы консультантом; утверждение подтверждено пользователем 25.10.2026.</x:v>
      </x:c>
      <x:c r="Z207" s="6" t="str">
        <x:v>G-d723002cbff33b</x:v>
      </x:c>
      <x:c r="AA207" s="6" t="str">
        <x:v>dev</x:v>
      </x:c>
      <x:c r="AB207" s="6" t="str">
        <x:v>official_faq_entry</x:v>
      </x:c>
    </x:row>
    <x:row r="208" ht="115" customHeight="1">
      <x:c r="A208" s="6" t="str">
        <x:v>FAQ-poly2-255</x:v>
      </x:c>
      <x:c r="B208" s="6" t="str">
        <x:v>official_faq_entry:poly2-255</x:v>
      </x:c>
      <x:c r="C208" s="6" t="str">
        <x:v>{"history":[],"user_message":"Настройка полнотекстового поиска данных"}</x:v>
      </x:c>
      <x:c r="D208" s="6" t="str">
        <x:v>{"product":"1С:УНФ 8. Полиграфия 2","version":"3.0.14.140","retrieval_state":"available","handoff_consent":false,"source_faq_id":"poly2-255","group_id":"faq_poly2-255","source_applicability":"confirmed_by_consultant","approval_basis":"user_confirmed_consultant_approval"}</x:v>
      </x:c>
      <x:c r="E208" s="6" t="str">
        <x:v>1С:УНФ 8. Полиграфия 2</x:v>
      </x:c>
      <x:c r="F208" s="6" t="str">
        <x:v>3.0.14.140</x:v>
      </x:c>
      <x:c r="G208" s="6" t="str">
        <x:v>not_reported</x:v>
      </x:c>
      <x:c r="H208" s="6" t="str">
        <x:v>default</x:v>
      </x:c>
      <x:c r="I208" s="6" t="str">
        <x:v>Применимость источников и эталона к 1С:УНФ 8. Полиграфия 2, релиз 3.0.14.140, подтверждена консультантом со слов пользователя.</x:v>
      </x:c>
      <x:c r="J208" s="13" t="str">
        <x:v>0</x:v>
      </x:c>
      <x:c r="K208" s="13" t="str">
        <x:v>5</x:v>
      </x:c>
      <x:c r="L208" s="7" t="b">
        <x:v>0</x:v>
      </x:c>
      <x:c r="M208" s="6" t="str">
        <x:v>not_applicable</x:v>
      </x:c>
      <x:c r="N208" s="6" t="str">
        <x:v>[]</x:v>
      </x:c>
      <x:c r="O208" s="7" t="b">
        <x:v>1</x:v>
      </x:c>
      <x:c r="P208" s="6" t="str">
        <x:v>K2</x:v>
      </x:c>
      <x:c r="Q208" s="6" t="str">
        <x:v>K2: история пуста, вопрос соответствует статье FAQ poly2-255; в утверждённом источнике есть достаточный применимый ответ для 3.0.14.140. Бот отвечает сразу с источником.</x:v>
      </x:c>
      <x:c r="R208" s="6" t="str">
        <x:v>["faq","poly2","documented_answer"]</x:v>
      </x:c>
      <x:c r="S208" s="6" t="str">
        <x:v>answer</x:v>
      </x:c>
      <x:c r="T208" s="6" t="str">
        <x:v>["Настройки полнотекстового поиска открываются через Компания — Больше возможностей — Регламентные операции — Поиск данных.","Включается флаг поиска, затем управляется индекс; возможности зависят от файлового/серверного режима.","Указать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08"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08" s="6" t="str">
        <x:v>[{"source_file":"/Users/maria/chatbot_rag/knowledge base/faq_articles.jsonl","source_jsonl_line":43,"faq_id":"poly2-255","url":"https://1cpoly.ru/questions/?action=show&amp;id=255","source_locator":".faq-answer","title":"Настройка полнотекстового поиска данных","source_answer":"Предназначена для включения и отключения полнотекстового поиска, обновления индекса полнотекстового поиска, а также настройки извлечения текстов из файлов для использования при поиске.\n\nОткрывается по ссылке Настроить раздела Компания- Больше возможностей – Регламентные операции - Поиск данных.\n\nПрограмма позволяет производить полнотекстовый поиск в любых справочниках, документах и других объектах, отыскивая заданную строку во всех полях объектов. При наличии присоединенных файлов, содержащих текстовую информацию, поиск осуществляется также и по ним. Полнотекстовый поиск используется при поиске данных в программе по содержимому справочников, документов и других объектов программы.\n\nТакже полнотекстовый поиск предоставляет такие возможности как: поддержка транслитерации (написание русских слов символами латиницы в соответствии с ГОСТ); поддержка замещения (написание части символов в русских словах одноклавишными латинскими символами); нечеткий поиск (буквы в найденных словах могут отличаться).\n\nДля начала работы с полнотекстовым поиском необходимо включить флажок Полнотекстовый поиск данных. В этом случае становятся доступными команды, которые позволяют настроить полнотекстовый поиск данных в программе, управлять индексом полнотекстового поиска, обновлять и очищать его. По умолчанию флажок включен.\n\nВ файловом режиме работы программы доступны только команды управления полнотекстовым индексом, тексты извлекаются автоматически при загрузке файла в программу.\n\nВременное отключение полнотекстового поиска\n\nФлажок Использовать полнотекстовый поиск включен по умолчанию. Полнотекстовый поиск имеет смысл отключать в случае, если необходимо немного повысить быстродействие программы и пользователям не требуется поиск данных в программе.\n\nРазмер индексируемых данных\n\nС помощью соответствующего флажка можно Ограничить максимальный размер индексируемых данных. По умолчанию ограничение равно 1 Мб. Это может быть востребовано, если ресурсы компьютера, на котором установлена программа, ограничены.\n\nОбновление индекса полнотекстового поиска\n\nДля того чтобы можно было осуществлять поиск по всем введенным в программу данным, необходимо регулярно актуализировать индекс полнотекстового поиска. Для регулярного автоматического обновления индекса предназначены регламентные задания Обновление индекса ППД и Слияние индекса ППД (выполняется раз в сутки).\n\nЕсли индекс уже был обновлен, то отображается Дата актуальности индекса - дата последнего обновления индекса.\n\nЕсли в программе есть данные, которые не прошли индексирование, то становится доступна кнопка Обновить индекс и выводится Статус индекса \"Требуется обновление\".\n\nОчистка индекса полнотекстового поиска\n\nЕсли работа поиска по каким-то причинам нарушена, то с помощью кнопки Очистить индекс можно удалить все файлы полнотекстового индекса. После удаления индекса необходимо заново его построить, используя кнопку Обновить индекс.\n\nПроверка индекса полнотекстового поиска\n\nВ любой момент можно проверить состояние индекса полнотекстового поиска с помощью кнопки Проверить индекс.\n\nВ клиент-серверном режиме доступны команды по настройке автоматического извлечения текстов.\n\nАвтоматическое извлечение текстов\n\nИзвлечение текстов из файлов необходимо для полнотекстового поиска в программе.\n\nДля настройки необходимо с помощью переключателя выбрать:\n\nВ кластере серверов настроено выполнение на сервере под управлением ОС Windows - в этом случае становится доступной команда Настроить расписание, с помощью которой можно настроить регламентное задание . Укажите расписание и другие параметры регламентного задания по извлечению текстов из файлов.\n\nДанный вариант подходит, когда в Администрировании серверов 1С Предприятия задано следующее правило для сервера под управлением ОС MicrosoftWindows:\n\nОбъект требования: Клиентское соединение с ИБ.\n\nТип требования: Назначать.\n\nИмя ИБ: не указывается.\n\nЗначение дополнительного параметра: BackgroundJob.CommonModule.ПолнотекстовыйПоискСервер.ОбновлениеИндексаППДПоРасписанию.\n\nВ кластере нет серверов под управлением ОС Windows (все сервера в кластере только под управлением ОС Linux) - в этом случае с помощью команды Запустить извлечение текстов можно начать извлечение текстов в тонком клиенте на рабочей станции под управлением ОС Windows.\n\nЕсли в клиент-серверном варианте один или несколько рабочих процессов сервера работают под Linux, а часть или все клиенты подключаются с помощью веб-клиента, то в информационной базе могут быть добавлены файлы, текст из которых не извлечен, и соответственно эти файлы не могут быть найдены полнотекстовым поиском по содержимому. В этом случае на одном из клиентских компьютеров, работающих под управлением ОС MicrosoftWindows, нужно запустить тонкий или толстый клиент, и на нем выполнить команду Извлечение текстов, для того чтобы в автоматическом режиме извлекать текст из файлов. По умолчанию интервал времени выполнения равен 60 секундам.","content_sha256":"8babdc5dc4e31dd0ba392b7c7b0f586e629231a57de30f483ff2a42620c49d96","saved_at":"2026-10-24T22:59:41.544702+03:00","image_refs":[{"url":"https://1cpoly.ru/files/images/contentimg/contentimg3.png","local_file":"/Users/maria/Documents/ChatGPT/chatbot/output/faq_1cpoly_prepared_2026-10-25/assets/30aadb6cdbca77ee8d2d.png"},{"url":"https://1cpoly.ru/files/images/contentimg/contentimg4.png","local_file":"/Users/maria/Documents/ChatGPT/chatbot/output/faq_1cpoly_prepared_2026-10-25/assets/aa8bce5161f70edd7e38.png"}],"applicability_check":"confirmed_by_consultant","required_facts":["Настройки полнотекстового поиска открываются через Компания — Больше возможностей — Регламентные операции — Поиск данных.","Включается флаг поиска, затем управляется индекс; возможности зависят от файлового/серверного режима."],"approval_basis":"user_confirmed_consultant_approval"}]</x:v>
      </x:c>
      <x:c r="W208" s="6" t="str">
        <x:v>["В содержательном ответе отражены следующие подтверждённые пункты: Настройки полнотекстового поиска открываются через Компания — Больше возможностей — Регламентные операции — Поиск данных. Включается флаг поиска, затем управляется индекс; возможности зависят от файлового/серверного режима.","Приведена релевантная ссылка на FAQ; смысл ответа согласуется с источником, нет неподтверждённых действий и лишнего уточнения."]</x:v>
      </x:c>
      <x:c r="X208" s="6" t="str">
        <x:v>approved</x:v>
      </x:c>
      <x:c r="Y208" s="6" t="str">
        <x:v>Карточка и применимость источников согласованы консультантом; утверждение подтверждено пользователем 25.10.2026.</x:v>
      </x:c>
      <x:c r="Z208" s="6" t="str">
        <x:v>G-f3916164b35f23</x:v>
      </x:c>
      <x:c r="AA208" s="6" t="str">
        <x:v>dev</x:v>
      </x:c>
      <x:c r="AB208" s="6" t="str">
        <x:v>official_faq_entry</x:v>
      </x:c>
    </x:row>
    <x:row r="209" ht="115" customHeight="1">
      <x:c r="A209" s="6" t="str">
        <x:v>FAQ-poly8-003</x:v>
      </x:c>
      <x:c r="B209" s="6" t="str">
        <x:v>official_faq_entry:poly8-003</x:v>
      </x:c>
      <x:c r="C209" s="6" t="str">
        <x:v>{"history":[],"user_message":"Как 1С:Полиграфия может сэкономить приладку при печати со Своим оборотом ?"}</x:v>
      </x:c>
      <x:c r="D209" s="6" t="str">
        <x:v>{"product":"1С:УНФ 8. Полиграфия 2","version":"3.0.14.140","retrieval_state":"available","handoff_consent":false,"source_faq_id":"poly8-003","group_id":"faq_poly8-003","source_applicability":"confirmed_by_consultant","source_product":"1С:Полиграфия 8","approval_basis":"user_confirmed_consultant_approval"}</x:v>
      </x:c>
      <x:c r="E209" s="6" t="str">
        <x:v>1С:УНФ 8. Полиграфия 2</x:v>
      </x:c>
      <x:c r="F209" s="6" t="str">
        <x:v>3.0.14.140</x:v>
      </x:c>
      <x:c r="G209" s="6" t="str">
        <x:v>not_reported</x:v>
      </x:c>
      <x:c r="H209" s="6" t="str">
        <x:v>default</x:v>
      </x:c>
      <x:c r="I209" s="6" t="str">
        <x:v>Применимость источников и эталона к 1С:УНФ 8. Полиграфия 2, релиз 3.0.14.140, подтверждена консультантом со слов пользователя.</x:v>
      </x:c>
      <x:c r="J209" s="13" t="str">
        <x:v>0</x:v>
      </x:c>
      <x:c r="K209" s="13" t="str">
        <x:v>5</x:v>
      </x:c>
      <x:c r="L209" s="7" t="b">
        <x:v>0</x:v>
      </x:c>
      <x:c r="M209" s="6" t="str">
        <x:v>not_applicable</x:v>
      </x:c>
      <x:c r="N209" s="6" t="str">
        <x:v>[]</x:v>
      </x:c>
      <x:c r="O209" s="7" t="b">
        <x:v>1</x:v>
      </x:c>
      <x:c r="P209" s="6" t="str">
        <x:v>K2</x:v>
      </x:c>
      <x:c r="Q209" s="6" t="str">
        <x:v>K2: история пуста, вопрос соответствует статье FAQ poly8-003; в утверждённом источнике есть достаточный применимый ответ для 3.0.14.140. Бот отвечает сразу с источником.</x:v>
      </x:c>
      <x:c r="R209" s="6" t="str">
        <x:v>["faq","poly8","documented_answer"]</x:v>
      </x:c>
      <x:c r="S209" s="6" t="str">
        <x:v>answer</x:v>
      </x:c>
      <x:c r="T209" s="6" t="str">
        <x:v>["Свой оборот использует один комплект форм для двух сторон и может сокращать приладки.","В ответе различаются свой, чужой и комбинированный оборот; ограничения и числовые примеры не универсальны.","Указать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09"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09" s="6" t="str">
        <x:v>[{"source_file":"/Users/maria/chatbot_rag/knowledge base/faq_articles.jsonl","source_jsonl_line":47,"faq_id":"poly8-003","url":"https://1cpoly.ru/questions/faq-function-poligrafiy/","source_locator":"#field_0 &gt; accordion item 3","title":"Как 1С:Полиграфия может сэкономить приладку при печати со Своим оборотом ?","source_answer":"Рассмотрим что же такое печать \"с чужим оборотом\" и печать \"со своим оборотом\".\nПредположим, Вам надо отпечатать блок брошюры А5 формата.\nКоличество полос блока брошюры: 20.\nЦветность: 4+4.\nНа одном печатном листе формата А3 размещается 8 полос брошюры (То есть 4 полосы с лицевой части листа , и так как печать двусторонняя, то и 4 с оборотной части ).\nОбщее количество полос брошюры (20) делим на количество полос на одном печатном листе с двух сторон (8) и умножаем на тираж продукции (например 1000) , тем самым получаем общее количество печатных листов формата А3, которое нам потребуется для печати 1000 брошюр.\n20*1000/8=2500 листов.\n\nНа самом деле, выражения «свой» оборот, «чужой» оборот - термины полиграфистов. Корректнее говорить «оборот - своя форма» и «оборот - чужая форма». В нашем примере, если на лицевой части листа расположить только лицевые стороны продукции \"брошюра\", а на другом комплекте форм – обороты, такая независимая печать считается «чужой оборот».\n\nТеперь рассмотрим как программа разложит печатные полосы изделия на формате А3 при печати с \"Чужим оборотом\".\n\nНа рисунке 2 наглядно видно, что для печати 20 полосного блока брошюры формата А5 на печатном листе формата А3 и тиражом 1000 штук , мы получим 6 приладок и 6 спусков. 1,2,3.4 спуски будут по 1000 листов, и только 5 и 6 спуски будет по 500 штук, так как на листе поместятся в 2 раза больше полос продукции .\n\nПечать \"со своим оборотом\" -это печать сюжета с двух сторон материала, используя комплект печатных пластин только для одной стороны, с последующим переворотом материала без новой приладки. Таким образом, сначала печатается по одной стороне сразу и лицо и оборот изделия рядом, потом на другой стороне также печатаются лицо и оборот этого изделия. Количество печатных форм уменьшается вдвое, нет необходимости смены форм для печати лицевой и оборотной сторон. Технология выгодна тем, что количество печатных форм вдвое меньше, нет смены форм для печатания лицевой и оборотной сторон, но при этом количество листопрогонов удваивается.\n\nРассмотрим как программа разложит печатные полосы изделия на формате А3 при печати с \"Со своим оборотом \". Для этого на закладке \"Пресс\" в блоке \"Параметры печати\" нужно установить галочку \"Свой оборот\" и рассчитать заказ.\n\nНа рисунке 5,6 наглядно видно, что для печати \"своим оборотом\" 20 полосного блока брошюры формата А5 на печатном листе формата А3 и тиражом 1000 штук , мы получим 5 приладок и 10 спусков. Все спуски будут по 500 листов, так как на лице печатного листа мы одновременно размещаем одну форму сразу и «лицо», и «оборот». Процесс печати будет выглядеть следующим образом: приладка, печать половины тиража, переворот стопы и печать второй половины тиража. При таком подходе можно реально сэкономить одну приладку.\n\nПри печати со «своим» оборотом может реально ускорить и удешевить процесс производства. В принципе, все это так. Но есть и существенные ограничения. Первое и самое главное - потери времени, которые возникают при «вылеживании» стопы перед переворотом и повторной запечаткой. Свежеотпечатанную стопу нельзя некоторое время «беспокоить», пока краска не успела хорошо «схватиться», иначе есть риск смазать или поцарапать оттиски. А вот, сколько нельзя «беспокоить» стопу, зависит от множества факторов: вида бумаги, краски, «климата» в цеху и т. д. Это может быть 15–20 мин., а может и несколько часов (и даже дней, если печатать приходится на сложных материалах, например пластике).\n\nВ 1с полиграфии есть еще один способ печати (комбинированный) суть его в том, что все спуски печатаем с \"чужим\" оборотом и только последние со\"своим\" оборотом. Рассмотрим как программа разложит печатные полосы изделия на формате А3 при таком способе печати с \"Последние спуски со своим оборотом\". Для этого на закладке \"Пресс\" в блоке \"Параметры печати\" нужно установить галочку \" Последние спуски со СО\" и рассчитать заказ.\n\nНа рисунке 8,9 наглядно видно, что для печати \" Последние спуски со СО \" 20 полосного блока брошюры формата А5 на печатном листе формата А3 и тиражом 1000 штук , мы получим 5 приладок и 6 спусков. 1,2,3.4 спуски будут по 1000 листов, и только 5 и 6 спуски будет по 500 штук, так как на листе поместятся в 2 раза больше полос продукции.\n\nЕсли Изменить формат печатного листа с А3 на 840 x 900 мм, чтоб все полосы продукции помещались на печатный лист ( а именно на печатный лист умещаются 48 полос. 24 на лице и 24 на обороте, то увидим следующее, что для печати 20 полосного блока брошюры формата А5 тиражом 1000 штук , мы получим 2 приладки и 2 спуска по 500 листов при печати \"Чужой\" оборот.\n\nЕсли установить \"Свой оборот \" , то получим при печати 1 приладку и 2 спуска по 500 листов.","content_sha256":"1b42f6d756711635be2d6abe41a0b65f4bbbaf2867f4c3401b3850019b01674c","saved_at":"2026-10-24T22:59:41.544702+03:00","image_refs":[{"url":"https://1cpoly.ru/i/newcont/faq-ex-1.png","local_file":"/Users/maria/Documents/ChatGPT/chatbot/output/faq_1cpoly_prepared_2026-10-25/assets/0e1d8d901914b3c42197.png"},{"url":"https://1cpoly.ru/i/newcont/faq-ex-2.png","local_file":"/Users/maria/Documents/ChatGPT/chatbot/output/faq_1cpoly_prepared_2026-10-25/assets/80c1c4116df14682122e.png"},{"url":"https://1cpoly.ru/i/newcont/faq-ex-3.png","local_file":"/Users/maria/Documents/ChatGPT/chatbot/output/faq_1cpoly_prepared_2026-10-25/assets/6c6936d3bf765fb31c4e.png"},{"url":"https://1cpoly.ru/i/newcont/faq-ex-4.png","local_file":"/Users/maria/Documents/ChatGPT/chatbot/output/faq_1cpoly_prepared_2026-10-25/assets/ac2d8e874fad7be520d0.png"},{"url":"https://1cpoly.ru/i/newcont/faq-ex-5.png","local_file":"/Users/maria/Documents/ChatGPT/chatbot/output/faq_1cpoly_prepared_2026-10-25/assets/c564d6e07a7ec7cf85e2.png"},{"url":"https://1cpoly.ru/i/newcont/faq-ex-6.png","local_file":"/Users/maria/Documents/ChatGPT/chatbot/output/faq_1cpoly_prepared_2026-10-25/assets/ef8544d2ed0d39158748.png"},{"url":"https://1cpoly.ru/i/newcont/faq-ex-7.png","local_file":"/Users/maria/Documents/ChatGPT/chatbot/output/faq_1cpoly_prepared_2026-10-25/assets/4fd320a67cb1b3c3cbc1.png"},{"url":"https://1cpoly.ru/i/newcont/faq-ex-8.png","local_file":"/Users/maria/Documents/ChatGPT/chatbot/output/faq_1cpoly_prepared_2026-10-25/assets/19e788f2568df5e0b9ac.png"},{"url":"https://1cpoly.ru/i/newcont/faq-ex-9.png","local_file":"/Users/maria/Documents/ChatGPT/chatbot/output/faq_1cpoly_prepared_2026-10-25/assets/b0244bf527e6bc6aeaf0.png"},{"url":"https://1cpoly.ru/i/newcont/faq-ex-10.png","local_file":"/Users/maria/Documents/ChatGPT/chatbot/output/faq_1cpoly_prepared_2026-10-25/assets/73a748b50ab315ebb28d.png"},{"url":"https://1cpoly.ru/i/newcont/faq-ex-11.png","local_file":"/Users/maria/Documents/ChatGPT/chatbot/output/faq_1cpoly_prepared_2026-10-25/assets/fa0275b436ed4a5a38b0.png"},{"url":"https://1cpoly.ru/i/newcont/faq-ex-12.png","local_file":"/Users/maria/Documents/ChatGPT/chatbot/output/faq_1cpoly_prepared_2026-10-25/assets/7766a1098d7f0b9f7c10.png"},{"url":"https://1cpoly.ru/i/newcont/faq-ex-13.png","local_file":"/Users/maria/Documents/ChatGPT/chatbot/output/faq_1cpoly_prepared_2026-10-25/assets/08628758f4d38a831c5d.png"},{"url":"https://1cpoly.ru/i/newcont/faq-ex-14.png","local_file":"/Users/maria/Documents/ChatGPT/chatbot/output/faq_1cpoly_prepared_2026-10-25/assets/eb9b852c1c3f6759b4af.png"}],"applicability_check":"confirmed_by_consultant","required_facts":["Свой оборот использует один комплект форм для двух сторон и может сокращать приладки.","В ответе различаются свой, чужой и комбинированный оборот; ограничения и числовые примеры не универсальны."],"approval_basis":"user_confirmed_consultant_approval"}]</x:v>
      </x:c>
      <x:c r="W209" s="6" t="str">
        <x:v>["В содержательном ответе отражены следующие подтверждённые пункты: Свой оборот использует один комплект форм для двух сторон и может сокращать приладки. В ответе различаются свой, чужой и комбинированный оборот; ограничения и числовые примеры не универсальны.","Приведена релевантная ссылка на FAQ; смысл ответа согласуется с источником, нет неподтверждённых действий и лишнего уточнения."]</x:v>
      </x:c>
      <x:c r="X209" s="6" t="str">
        <x:v>approved</x:v>
      </x:c>
      <x:c r="Y209" s="6" t="str">
        <x:v>Карточка и применимость источников согласованы консультантом; утверждение подтверждено пользователем 25.10.2026.</x:v>
      </x:c>
      <x:c r="Z209" s="6" t="str">
        <x:v>G-16543269f02410</x:v>
      </x:c>
      <x:c r="AA209" s="6" t="str">
        <x:v>dev</x:v>
      </x:c>
      <x:c r="AB209" s="6" t="str">
        <x:v>official_faq_entry</x:v>
      </x:c>
    </x:row>
    <x:row r="210" ht="115" customHeight="1">
      <x:c r="A210" s="6" t="str">
        <x:v>FAQ-poly8-006</x:v>
      </x:c>
      <x:c r="B210" s="6" t="str">
        <x:v>official_faq_entry:poly8-006</x:v>
      </x:c>
      <x:c r="C210" s="6" t="str">
        <x:v>{"history":[],"user_message":"Как может быть оформлена «Резка бумаги»?"}</x:v>
      </x:c>
      <x:c r="D210" s="6" t="str">
        <x:v>{"product":"1С:УНФ 8. Полиграфия 2","version":"3.0.14.140","retrieval_state":"available","handoff_consent":false,"source_faq_id":"poly8-006","group_id":"faq_poly8-006","source_applicability":"confirmed_by_consultant","source_product":"1С:Полиграфия 8","approval_basis":"user_confirmed_consultant_approval"}</x:v>
      </x:c>
      <x:c r="E210" s="6" t="str">
        <x:v>1С:УНФ 8. Полиграфия 2</x:v>
      </x:c>
      <x:c r="F210" s="6" t="str">
        <x:v>3.0.14.140</x:v>
      </x:c>
      <x:c r="G210" s="6" t="str">
        <x:v>not_reported</x:v>
      </x:c>
      <x:c r="H210" s="6" t="str">
        <x:v>default</x:v>
      </x:c>
      <x:c r="I210" s="6" t="str">
        <x:v>Применимость источников и эталона к 1С:УНФ 8. Полиграфия 2, релиз 3.0.14.140, подтверждена консультантом со слов пользователя.</x:v>
      </x:c>
      <x:c r="J210" s="13" t="str">
        <x:v>0</x:v>
      </x:c>
      <x:c r="K210" s="13" t="str">
        <x:v>5</x:v>
      </x:c>
      <x:c r="L210" s="7" t="b">
        <x:v>0</x:v>
      </x:c>
      <x:c r="M210" s="6" t="str">
        <x:v>not_applicable</x:v>
      </x:c>
      <x:c r="N210" s="6" t="str">
        <x:v>[]</x:v>
      </x:c>
      <x:c r="O210" s="7" t="b">
        <x:v>1</x:v>
      </x:c>
      <x:c r="P210" s="6" t="str">
        <x:v>K2</x:v>
      </x:c>
      <x:c r="Q210" s="6" t="str">
        <x:v>K2: история пуста, вопрос соответствует статье FAQ poly8-006; в утверждённом источнике есть достаточный применимый ответ для 3.0.14.140. Бот отвечает сразу с источником.</x:v>
      </x:c>
      <x:c r="R210" s="6" t="str">
        <x:v>["faq","poly8","documented_answer"]</x:v>
      </x:c>
      <x:c r="S210" s="6" t="str">
        <x:v>answer</x:v>
      </x:c>
      <x:c r="T210" s="6" t="str">
        <x:v>["В старой конфигурации предварительная резка оформляется документом «Комплектация номенклатуры».","В примере 500 листов А1 превращаются в 1000 листов А2; название документа не переносится автоматически на УНФ 3.0.","Указать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10"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10" s="6" t="str">
        <x:v>[{"source_file":"/Users/maria/chatbot_rag/knowledge base/faq_articles.jsonl","source_jsonl_line":50,"faq_id":"poly8-006","url":"https://1cpoly.ru/questions/faq-function-poligrafiy/","source_locator":"#field_0 &gt; accordion item 6","title":"Как может быть оформлена «Резка бумаги»?","source_answer":"Факт предварительной резки бумаги может быть оформлен следующим образом:\n\n1. На складе есть Мелованная матовая формата А1 10000 листов по цене 90 руб . Стоимость 900 000 руб.\n\nНужно резчику подготовить Мелованная матовая 1000 листов формата А2 для выполнения заказа. Для этого он должен произвести резку 500 листов формата А1 и получить 1000 листов формата А2.\n\nЭту операцию можно оформить документом «Комплектация номенклатуры» Документы-Управление запасами-Комлектация Номенклатуры.\n\nВид выпуска – Разборка\n\nЗакладка «Исходящая номенклатура» Мелованная матовая формата А1 количество 500\n\nДля отражения операции в БУ заполнить счета учета.\n\nЗакладка Выходные изделия Мелованная матовая формата А1 количество 1000, поле «Доля стоимости» - 1.\nДля отражения операции в БУ заполнить счета учета.\n\nСтоимость не изменяется. Т.е. лист А1 стоил 90 руб., его порезали - получили 2 листа А2 общей стоимостью 90 руб.\nЭто можно увидеть, используя отчет «Ведомость по партиям товаров на складах».\n\nАналогично с рулонной бумагой\n\n2. Учитываем операцию «Резка» в расчете заказа .\n\nВ документе «Расчет заказа» на закладке «Препресс» добавляем допечатную операцию Резка, которую нормируем по стоимости, времени, или как нужно. Например:\n\nКоличество операций 50,\n\nстоимость операции 2 руб.,\n\nсебестоимость 1 руб.,\n\nвремя операции 10 сек,\n\nобщее время 500 сек. (8 мин. 20 сек)\n\nВыполнив расчет заказа (Нажимаем кнопку «Расчет всего заказа»), на закладке Обобщенные сведения увидим, как данная операция отразилась на времени выполнения заказа на стоимости.\n\nНиже пример без учета операции «Резка» и с учетом операции «Резка».\n\nЕсли при факте резки нужно отразить другие затраты, например на зарплату, чтобы к фактической стоимости порезанной бумаги прибавлялись затраты на з/п, то в этом случае оформляем « Отчет производства за смену».\n\nНа закладке «Продукция услуги» указываем Мелованная матовая 1000 листов формата А2 На закладке «Материалы» указываем Мелованная матовая 500 листов формата А1 На закладке «Прочие затраты»","content_sha256":"df87b23da1dfcd776255eb60ecd0ae2b92d21fd435ad4896832c069d7c50d03d","saved_at":"2026-10-24T22:59:41.544702+03:00","image_refs":[{"url":"https://1cpoly.ru/i/newcont/faq-cut-1.jpg","local_file":"/Users/maria/Documents/ChatGPT/chatbot/output/faq_1cpoly_prepared_2026-10-25/assets/fc220ce8d31fbf718680.jpg"},{"url":"https://1cpoly.ru/i/newcont/faq-cut-2.jpg","local_file":"/Users/maria/Documents/ChatGPT/chatbot/output/faq_1cpoly_prepared_2026-10-25/assets/369204786515c814c00f.jpg"},{"url":"https://1cpoly.ru/i/newcont/faq-cut-3.jpg","local_file":"/Users/maria/Documents/ChatGPT/chatbot/output/faq_1cpoly_prepared_2026-10-25/assets/1300be81a1745463bb92.jpg"},{"url":"https://1cpoly.ru/i/newcont/faq-cut-4.jpg","local_file":"/Users/maria/Documents/ChatGPT/chatbot/output/faq_1cpoly_prepared_2026-10-25/assets/cf0e4386cd1e186a9a63.jpg"},{"url":"https://1cpoly.ru/i/newcont/faq-cut-5.jpg","local_file":"/Users/maria/Documents/ChatGPT/chatbot/output/faq_1cpoly_prepared_2026-10-25/assets/a2109e29facfde6e2c46.jpg"},{"url":"https://1cpoly.ru/i/newcont/faq-cut-6.jpg","local_file":"/Users/maria/Documents/ChatGPT/chatbot/output/faq_1cpoly_prepared_2026-10-25/assets/3cbe5aa26503a4800c95.jpg"},{"url":"https://1cpoly.ru/i/newcont/faq-cut-7.jpg","local_file":"/Users/maria/Documents/ChatGPT/chatbot/output/faq_1cpoly_prepared_2026-10-25/assets/0231390ae272102e4582.jpg"},{"url":"https://1cpoly.ru/i/newcont/faq-cut-8.jpg","local_file":"/Users/maria/Documents/ChatGPT/chatbot/output/faq_1cpoly_prepared_2026-10-25/assets/642552e16024d5067ae2.jpg"},{"url":"https://1cpoly.ru/i/newcont/faq-cut-9.jpg","local_file":"/Users/maria/Documents/ChatGPT/chatbot/output/faq_1cpoly_prepared_2026-10-25/assets/9e695e233465dec964ec.jpg"},{"url":"https://1cpoly.ru/i/newcont/faq-cut-10.jpg","local_file":"/Users/maria/Documents/ChatGPT/chatbot/output/faq_1cpoly_prepared_2026-10-25/assets/1b235a4704fc46c8d6f3.jpg"},{"url":"https://1cpoly.ru/i/newcont/faq-cut-11.jpg","local_file":"/Users/maria/Documents/ChatGPT/chatbot/output/faq_1cpoly_prepared_2026-10-25/assets/7a0dbec20950296b3858.jpg"},{"url":"https://1cpoly.ru/i/newcont/faq-cut-12.jpg","local_file":"/Users/maria/Documents/ChatGPT/chatbot/output/faq_1cpoly_prepared_2026-10-25/assets/c43dcd620ba8fb1bdb37.jpg"},{"url":"https://1cpoly.ru/i/newcont/faq-cut-13.jpg","local_file":"/Users/maria/Documents/ChatGPT/chatbot/output/faq_1cpoly_prepared_2026-10-25/assets/dbb044f81492063cac54.jpg"},{"url":"https://1cpoly.ru/i/newcont/faq-cut-14.jpg","local_file":"/Users/maria/Documents/ChatGPT/chatbot/output/faq_1cpoly_prepared_2026-10-25/assets/b28619d6b06973ffa042.jpg"}],"applicability_check":"confirmed_by_consultant","required_facts":["В старой конфигурации предварительная резка оформляется документом «Комплектация номенклатуры».","В примере 500 листов А1 превращаются в 1000 листов А2; название документа не переносится автоматически на УНФ 3.0."],"approval_basis":"user_confirmed_consultant_approval"}]</x:v>
      </x:c>
      <x:c r="W210" s="6" t="str">
        <x:v>["В содержательном ответе отражены следующие подтверждённые пункты: В старой конфигурации предварительная резка оформляется документом «Комплектация номенклатуры». В примере 500 листов А1 превращаются в 1000 листов А2; название документа не переносится автоматически на УНФ 3.0.","Приведена релевантная ссылка на FAQ; смысл ответа согласуется с источником, нет неподтверждённых действий и лишнего уточнения."]</x:v>
      </x:c>
      <x:c r="X210" s="6" t="str">
        <x:v>approved</x:v>
      </x:c>
      <x:c r="Y210" s="6" t="str">
        <x:v>Карточка и применимость источников согласованы консультантом; утверждение подтверждено пользователем 25.10.2026.</x:v>
      </x:c>
      <x:c r="Z210" s="6" t="str">
        <x:v>G-c139d97246f7b3</x:v>
      </x:c>
      <x:c r="AA210" s="6" t="str">
        <x:v>dev</x:v>
      </x:c>
      <x:c r="AB210" s="6" t="str">
        <x:v>official_faq_entry</x:v>
      </x:c>
    </x:row>
    <x:row r="211" ht="115" customHeight="1">
      <x:c r="A211" s="6" t="str">
        <x:v>FAQ-poly8-007</x:v>
      </x:c>
      <x:c r="B211" s="6" t="str">
        <x:v>official_faq_entry:poly8-007</x:v>
      </x:c>
      <x:c r="C211" s="6" t="str">
        <x:v>{"history":[],"user_message":"Порядок обновления конфигурации"}</x:v>
      </x:c>
      <x:c r="D211" s="6" t="str">
        <x:v>{"product":"1С:УНФ 8. Полиграфия 2","version":"3.0.14.140","retrieval_state":"available","handoff_consent":false,"source_faq_id":"poly8-007","group_id":"faq_poly8-007","source_applicability":"confirmed_by_consultant","source_product":"1С:Полиграфия 8","approval_basis":"user_confirmed_consultant_approval"}</x:v>
      </x:c>
      <x:c r="E211" s="6" t="str">
        <x:v>1С:УНФ 8. Полиграфия 2</x:v>
      </x:c>
      <x:c r="F211" s="6" t="str">
        <x:v>3.0.14.140</x:v>
      </x:c>
      <x:c r="G211" s="6" t="str">
        <x:v>not_reported</x:v>
      </x:c>
      <x:c r="H211" s="6" t="str">
        <x:v>default</x:v>
      </x:c>
      <x:c r="I211" s="6" t="str">
        <x:v>Применимость источников и эталона к 1С:УНФ 8. Полиграфия 2, релиз 3.0.14.140, подтверждена консультантом со слов пользователя.</x:v>
      </x:c>
      <x:c r="J211" s="13" t="str">
        <x:v>0</x:v>
      </x:c>
      <x:c r="K211" s="13" t="str">
        <x:v>5</x:v>
      </x:c>
      <x:c r="L211" s="7" t="b">
        <x:v>0</x:v>
      </x:c>
      <x:c r="M211" s="6" t="str">
        <x:v>not_applicable</x:v>
      </x:c>
      <x:c r="N211" s="6" t="str">
        <x:v>[]</x:v>
      </x:c>
      <x:c r="O211" s="7" t="b">
        <x:v>1</x:v>
      </x:c>
      <x:c r="P211" s="6" t="str">
        <x:v>K2</x:v>
      </x:c>
      <x:c r="Q211" s="6" t="str">
        <x:v>K2: история пуста, вопрос соответствует статье FAQ poly8-007; в утверждённом источнике есть достаточный применимый ответ для 3.0.14.140. Бот отвечает сразу с источником.</x:v>
      </x:c>
      <x:c r="R211" s="6" t="str">
        <x:v>["faq","poly8","documented_answer"]</x:v>
      </x:c>
      <x:c r="S211" s="6" t="str">
        <x:v>answer</x:v>
      </x:c>
      <x:c r="T211" s="6" t="str">
        <x:v>["Статья описывает обновление конфигурации с файлом 1Cv8.cfu.","Перед обновлением требуется резервная копия; совместимость и режим обновления должны соответствовать продукту.","Указать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11"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11" s="6" t="str">
        <x:v>[{"source_file":"/Users/maria/chatbot_rag/knowledge base/faq_articles.jsonl","source_jsonl_line":51,"faq_id":"poly8-007","url":"https://1cpoly.ru/questions/faq-function-poligrafiy/","source_locator":"#field_0 &gt; accordion item 7","title":"Порядок обновления конфигурации","source_answer":"Для обновления версии конфигурации следует использовать режим «Обновление конфигураций». Файл обновлений 1Cv8.cfu находится в подкаталоге Armex\\...\\ соответствующего каталога шаблонов.\n\nСделайте резервную копию вашей информационной базы.\nРезервную копию можно создать:\n\nпри использовании файлового варианта 1С:Предприятия 8 - путем копирования файла 1СV8.1CD в отдельный каталог;\n\nпри использовании клиент - серверного варианта 1С:Предприятия 8 - средствами SQL Server.\n\nНезависимо от используемого варианта 1С:Предприятия 8, резервную копию можно создать, используя режим выгрузки информационной базы. Для этого:\n\nзапустите систему 1С:Предприятие в режиме \"Конфигуратор\";\n\nв меню \"Администрирование\" выберите пункт \"Выгрузить информационную базу\";\n\nв открывшемся диалоге укажите имя файла, в который будут записаны данные.\n\n1. Во время обновления конфигурации не должны выполняться регламентные и фоновые задания:\n\nДля контроля за выполнением заданий и их отмены необходимо использовать обработку \"Консоль заданий\" с диска ИТС.\n\nЕсли существуют задания, выполняемые по расписанию, необходимо запретить их выполнение на время обновления конфигурации.\n\nПри использовании файлового варианта работы с информационной базой для этого нужно завершить работу программы - планировщика заданий.\n\nВ клиент-серверном варианте работы следует использовать утилиту администрирования, где нужно установить флаг \"Блокировка регламентных заданий включена\" в свойствах информационной базы.\n\nЕсли в конфигурации выполнялись доработки, вызывающие запуск фоновых заданий, следует запретить их выполнение на время обновления конфигурации.\n\nПосле обновления конфигурации выполнение заданий можно вновь разрешить.\n\n2. Запустите систему 1С:Предприятие в режиме \"Конфигуратор\".\n\n3. Откройте конфигурацию, для этого в меню \"Конфигурация\" выберите пункт \"Открыть конфигурацию\".\n\n4. Вызовите режим \"Обновление конфигураций\", для этого в меню \"Конфигурация\", подменю \"Поддержка\", выберите пункт \"Обновить конфигурацию\".\n\n5. В диалоге выбора обновления в качестве источника обновления укажите \"Поиск доступных обновлений\", после чего выберите нужное обновление в соответствующем списке.\n\n6. Если в списке обновлений необходимое обновление отсутствует, то в диалоге выбора обновления в качестве источника обновления укажите \"Выбор файла обновления\", после чего выберите нужный файл обновления (по умолчанию 1cv8.cfu).\n\n7. В окне \"Обновление конфигураций\" нажмите кнопку \"Готово\" для продолжения обновления конфигурации.\n\n8. После завершения будет открыто окно \"Конфигурация\", содержащее конфигурацию с внесенными изменениями. Выполните сохранение конфигурации.\n\n9. Текущая версия конфигурации предназначена для использования с обновленной версией системы лицензирования и защиты конфигурации 3.0.. Обновленные файлы защиты расположены в подкаталоге Protection (В подкаталоге tmplts\\Armex\\...\\ соответствующего каталога шаблонов).\n\nВ подкаталог Protection включены следующие установочные пакеты:\n\nLicenceServer-{version}.Win.exe\n\nУстановочный пакет сервера СЛК и необходимых для его работы компонент (программа настройки параметров, программа управления службой).\n\nLicenceAddIn-{version}.Debug.Win.exe\n\nУстановочный пакет внешней компоненты\nдля установки/обновления компоненты без изменения макетов конфигураций.\n\nUPKey-X.X.X.X-X.exe\n\nПрограмма установки драйвера аппаратного ключа защиты.\n\nActivation-3.0.pdf\n\nОписание установки системы лицензирования и защиты конфигурации.\n\nLicenceServer-{version}.zip\n\nОбщий установочный пакеты сервера и драйвер ключа защиты для всех поддерживаемых ОС.\n\nLicenceAddIn-{version}.zip\n\nОбщий установочный пакет компоненты для всех поддерживаемых ОС.\n7758.zip\n\nархив с защищенными объектами конфигурации и лицензионными параметрами\n\nУстановка всех компонент производится в папку:\n%ProgramFiles%&gt;\\1C\\Licence\\3.0","content_sha256":"c2263698e173af35d3ea00424f56b1623ecfa095fb3470bc36aee442b853c010","saved_at":"2026-10-24T22:59:41.544702+03:00","image_refs":[{"url":"https://1cpoly.ru/i/newcont/faq-poly-1.jpg","local_file":"/Users/maria/Documents/ChatGPT/chatbot/output/faq_1cpoly_prepared_2026-10-25/assets/5e7fceb3ac00f476f954.jpg"},{"url":"https://1cpoly.ru/i/newcont/faq-poly-2.jpg","local_file":"/Users/maria/Documents/ChatGPT/chatbot/output/faq_1cpoly_prepared_2026-10-25/assets/d98fcdbdfed5c726ea5f.jpg"},{"url":"https://1cpoly.ru/i/newcont/faq-poly-3.jpg","local_file":"/Users/maria/Documents/ChatGPT/chatbot/output/faq_1cpoly_prepared_2026-10-25/assets/fdd25d762264110f4c2e.jpg"},{"url":"https://1cpoly.ru/i/newcont/faq-poly-4.jpg","local_file":"/Users/maria/Documents/ChatGPT/chatbot/output/faq_1cpoly_prepared_2026-10-25/assets/ac4714290e3f92cef8e5.jpg"},{"url":"https://1cpoly.ru/i/newcont/faq-poly-5.jpg","local_file":"/Users/maria/Documents/ChatGPT/chatbot/output/faq_1cpoly_prepared_2026-10-25/assets/6b195694e33b1a1e7cd1.jpg"},{"url":"https://1cpoly.ru/i/newcont/faq-poly-6.jpg","local_file":"/Users/maria/Documents/ChatGPT/chatbot/output/faq_1cpoly_prepared_2026-10-25/assets/2deb606269ab90637dc8.jpg"},{"url":"https://1cpoly.ru/i/newcont/faq-poly-7.jpg","local_file":"/Users/maria/Documents/ChatGPT/chatbot/output/faq_1cpoly_prepared_2026-10-25/assets/fd66acbf8f389b54e565.jpg"},{"url":"https://1cpoly.ru/i/newcont/faq-poly-8.jpg","local_file":"/Users/maria/Documents/ChatGPT/chatbot/output/faq_1cpoly_prepared_2026-10-25/assets/094b317d6a4e1f1b37ee.jpg"},{"url":"https://1cpoly.ru/i/newcont/faq-poly-9.jpg","local_file":"/Users/maria/Documents/ChatGPT/chatbot/output/faq_1cpoly_prepared_2026-10-25/assets/fb6e3912fcf3288ec34c.jpg"},{"url":"https://1cpoly.ru/i/newcont/faq-poly-10.jpg","local_file":"/Users/maria/Documents/ChatGPT/chatbot/output/faq_1cpoly_prepared_2026-10-25/assets/43e11a9065152e617b53.jpg"}],"applicability_check":"confirmed_by_consultant","required_facts":["Статья описывает обновление конфигурации с файлом 1Cv8.cfu.","Перед обновлением требуется резервная копия; совместимость и режим обновления должны соответствовать продукту."],"approval_basis":"user_confirmed_consultant_approval"}]</x:v>
      </x:c>
      <x:c r="W211" s="6" t="str">
        <x:v>["В содержательном ответе отражены следующие подтверждённые пункты: Статья описывает обновление конфигурации с файлом 1Cv8.cfu. Перед обновлением требуется резервная копия; совместимость и режим обновления должны соответствовать продукту.","Приведена релевантная ссылка на FAQ; смысл ответа согласуется с источником, нет неподтверждённых действий и лишнего уточнения."]</x:v>
      </x:c>
      <x:c r="X211" s="6" t="str">
        <x:v>approved</x:v>
      </x:c>
      <x:c r="Y211" s="6" t="str">
        <x:v>Карточка и применимость источников согласованы консультантом; утверждение подтверждено пользователем 25.10.2026.</x:v>
      </x:c>
      <x:c r="Z211" s="6" t="str">
        <x:v>G-4f6e0e42e3017d</x:v>
      </x:c>
      <x:c r="AA211" s="6" t="str">
        <x:v>dev</x:v>
      </x:c>
      <x:c r="AB211" s="6" t="str">
        <x:v>official_faq_entry</x:v>
      </x:c>
    </x:row>
    <x:row r="212" ht="115" customHeight="1">
      <x:c r="A212" s="6" t="str">
        <x:v>FAQ-poly8-008</x:v>
      </x:c>
      <x:c r="B212" s="6" t="str">
        <x:v>official_faq_entry:poly8-008</x:v>
      </x:c>
      <x:c r="C212" s="6" t="str">
        <x:v>{"history":[],"user_message":"Есть ли в программе средства планирования поступления и расхода денежных средств?"}</x:v>
      </x:c>
      <x:c r="D212" s="6" t="str">
        <x:v>{"product":"1С:УНФ 8. Полиграфия 2","version":"3.0.14.140","retrieval_state":"available","handoff_consent":false,"source_faq_id":"poly8-008","group_id":"faq_poly8-008","source_applicability":"confirmed_by_consultant","source_product":"1С:Полиграфия 8","approval_basis":"user_confirmed_consultant_approval"}</x:v>
      </x:c>
      <x:c r="E212" s="6" t="str">
        <x:v>1С:УНФ 8. Полиграфия 2</x:v>
      </x:c>
      <x:c r="F212" s="6" t="str">
        <x:v>3.0.14.140</x:v>
      </x:c>
      <x:c r="G212" s="6" t="str">
        <x:v>not_reported</x:v>
      </x:c>
      <x:c r="H212" s="6" t="str">
        <x:v>default</x:v>
      </x:c>
      <x:c r="I212" s="6" t="str">
        <x:v>Применимость источников и эталона к 1С:УНФ 8. Полиграфия 2, релиз 3.0.14.140, подтверждена консультантом со слов пользователя.</x:v>
      </x:c>
      <x:c r="J212" s="13" t="str">
        <x:v>0</x:v>
      </x:c>
      <x:c r="K212" s="13" t="str">
        <x:v>5</x:v>
      </x:c>
      <x:c r="L212" s="7" t="b">
        <x:v>0</x:v>
      </x:c>
      <x:c r="M212" s="6" t="str">
        <x:v>not_applicable</x:v>
      </x:c>
      <x:c r="N212" s="6" t="str">
        <x:v>[]</x:v>
      </x:c>
      <x:c r="O212" s="7" t="b">
        <x:v>1</x:v>
      </x:c>
      <x:c r="P212" s="6" t="str">
        <x:v>K2</x:v>
      </x:c>
      <x:c r="Q212" s="6" t="str">
        <x:v>K2: история пуста, вопрос соответствует статье FAQ poly8-008; в утверждённом источнике есть достаточный применимый ответ для 3.0.14.140. Бот отвечает сразу с источником.</x:v>
      </x:c>
      <x:c r="R212" s="6" t="str">
        <x:v>["faq","poly8","documented_answer"]</x:v>
      </x:c>
      <x:c r="S212" s="6" t="str">
        <x:v>answer</x:v>
      </x:c>
      <x:c r="T212" s="6" t="str">
        <x:v>["В FAQ заявлена система планирования поступлений и расходов денежных средств.","Краткий ответ отсылает к дополнительному описанию; названия документов, отсутствующие в тексте, не придумываются.","Указать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12"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12" s="6" t="str">
        <x:v>[{"source_file":"/Users/maria/chatbot_rag/knowledge base/faq_articles.jsonl","source_jsonl_line":52,"faq_id":"poly8-008","url":"https://1cpoly.ru/questions/faq-function-poligrafiy/","source_locator":"#field_0 &gt; accordion item 8","title":"Есть ли в программе средства планирования поступления и расхода денежных средств?","source_answer":"В программе реализована система полнофункционального планирования для\nопераций с денежными средствами. Для этого разработаны следующие\nдокументы и отчеты Подробнее...","content_sha256":"f5aef9b9d2d5f5ff752c9fa3890337877b848bfe6b1d886687a603b45741fa1c","saved_at":"2026-10-24T22:59:41.544702+03:00","image_refs":[],"applicability_check":"confirmed_by_consultant","required_facts":["В FAQ заявлена система планирования поступлений и расходов денежных средств.","Краткий ответ отсылает к дополнительному описанию; названия документов, отсутствующие в тексте, не придумываются."],"approval_basis":"user_confirmed_consultant_approval"}]</x:v>
      </x:c>
      <x:c r="W212" s="6" t="str">
        <x:v>["В содержательном ответе отражены следующие подтверждённые пункты: В FAQ заявлена система планирования поступлений и расходов денежных средств. Краткий ответ отсылает к дополнительному описанию; названия документов, отсутствующие в тексте, не придумываются.","Приведена релевантная ссылка на FAQ; смысл ответа согласуется с источником, нет неподтверждённых действий и лишнего уточнения."]</x:v>
      </x:c>
      <x:c r="X212" s="6" t="str">
        <x:v>approved</x:v>
      </x:c>
      <x:c r="Y212" s="6" t="str">
        <x:v>Карточка и применимость источников согласованы консультантом; утверждение подтверждено пользователем 25.10.2026.</x:v>
      </x:c>
      <x:c r="Z212" s="6" t="str">
        <x:v>G-a30c6ee54f35c0</x:v>
      </x:c>
      <x:c r="AA212" s="6" t="str">
        <x:v>dev</x:v>
      </x:c>
      <x:c r="AB212" s="6" t="str">
        <x:v>official_faq_entry</x:v>
      </x:c>
    </x:row>
    <x:row r="213" ht="115" customHeight="1">
      <x:c r="A213" s="6" t="str">
        <x:v>FAQ-poly8-010</x:v>
      </x:c>
      <x:c r="B213" s="6" t="str">
        <x:v>official_faq_entry:poly8-010</x:v>
      </x:c>
      <x:c r="C213" s="6" t="str">
        <x:v>{"history":[],"user_message":"Могу я в программе увидеть затраты на производство полиграфической продукции в разрезе интересующих меня статей затрат?"}</x:v>
      </x:c>
      <x:c r="D213" s="6" t="str">
        <x:v>{"product":"1С:УНФ 8. Полиграфия 2","version":"3.0.14.140","retrieval_state":"available","handoff_consent":false,"source_faq_id":"poly8-010","group_id":"faq_poly8-010","source_applicability":"confirmed_by_consultant","source_product":"1С:Полиграфия 8","approval_basis":"user_confirmed_consultant_approval"}</x:v>
      </x:c>
      <x:c r="E213" s="6" t="str">
        <x:v>1С:УНФ 8. Полиграфия 2</x:v>
      </x:c>
      <x:c r="F213" s="6" t="str">
        <x:v>3.0.14.140</x:v>
      </x:c>
      <x:c r="G213" s="6" t="str">
        <x:v>not_reported</x:v>
      </x:c>
      <x:c r="H213" s="6" t="str">
        <x:v>default</x:v>
      </x:c>
      <x:c r="I213" s="6" t="str">
        <x:v>Применимость источников и эталона к 1С:УНФ 8. Полиграфия 2, релиз 3.0.14.140, подтверждена консультантом со слов пользователя.</x:v>
      </x:c>
      <x:c r="J213" s="13" t="str">
        <x:v>0</x:v>
      </x:c>
      <x:c r="K213" s="13" t="str">
        <x:v>5</x:v>
      </x:c>
      <x:c r="L213" s="7" t="b">
        <x:v>0</x:v>
      </x:c>
      <x:c r="M213" s="6" t="str">
        <x:v>not_applicable</x:v>
      </x:c>
      <x:c r="N213" s="6" t="str">
        <x:v>[]</x:v>
      </x:c>
      <x:c r="O213" s="7" t="b">
        <x:v>1</x:v>
      </x:c>
      <x:c r="P213" s="6" t="str">
        <x:v>K2</x:v>
      </x:c>
      <x:c r="Q213" s="6" t="str">
        <x:v>K2: история пуста, вопрос соответствует статье FAQ poly8-010; в утверждённом источнике есть достаточный применимый ответ для 3.0.14.140. Бот отвечает сразу с источником.</x:v>
      </x:c>
      <x:c r="R213" s="6" t="str">
        <x:v>["faq","poly8","documented_answer"]</x:v>
      </x:c>
      <x:c r="S213" s="6" t="str">
        <x:v>answer</x:v>
      </x:c>
      <x:c r="T213" s="6" t="str">
        <x:v>["FAQ перечисляет отчёты: Затраты, Затраты на выпуск, Ведомость по затратам, Ведомость по производственным затратам и Ведомость по браку в производстве.","Выбор отчёта зависит от требуемого разреза аналитики.","Указать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13"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13" s="6" t="str">
        <x:v>[{"source_file":"/Users/maria/chatbot_rag/knowledge base/faq_articles.jsonl","source_jsonl_line":54,"faq_id":"poly8-010","url":"https://1cpoly.ru/questions/faq-function-poligrafiy/","source_locator":"#field_0 &gt; accordion item 10","title":"Могу я в программе увидеть затраты на производство полиграфической продукции в разрезе интересующих меня статей затрат?","source_answer":"В программе реализовано несколько отчетов по затратам, каждый систематизирует данные в нескольких разрезах аналитики. Такими отчетами являются :\n\nЗатраты\n\nЗатраты на выпуск\n\nВедомость по затратам\n\nВедомость по производственным затратам\n\nВедомость по браку в производстве\n\nПодробнее...","content_sha256":"009507d255c6e9b735ab109285252a564a440d5a4b71af6de58bc34ca69177ae","saved_at":"2026-10-24T22:59:41.544702+03:00","image_refs":[],"applicability_check":"confirmed_by_consultant","required_facts":["FAQ перечисляет отчёты: Затраты, Затраты на выпуск, Ведомость по затратам, Ведомость по производственным затратам и Ведомость по браку в производстве.","Выбор отчёта зависит от требуемого разреза аналитики."],"approval_basis":"user_confirmed_consultant_approval"}]</x:v>
      </x:c>
      <x:c r="W213" s="6" t="str">
        <x:v>["В содержательном ответе отражены следующие подтверждённые пункты: FAQ перечисляет отчёты: Затраты, Затраты на выпуск, Ведомость по затратам, Ведомость по производственным затратам и Ведомость по браку в производстве. Выбор отчёта зависит от требуемого разреза аналитики.","Приведена релевантная ссылка на FAQ; смысл ответа согласуется с источником, нет неподтверждённых действий и лишнего уточнения."]</x:v>
      </x:c>
      <x:c r="X213" s="6" t="str">
        <x:v>approved</x:v>
      </x:c>
      <x:c r="Y213" s="6" t="str">
        <x:v>Карточка и применимость источников согласованы консультантом; утверждение подтверждено пользователем 25.10.2026.</x:v>
      </x:c>
      <x:c r="Z213" s="6" t="str">
        <x:v>G-e5043895618886</x:v>
      </x:c>
      <x:c r="AA213" s="6" t="str">
        <x:v>dev</x:v>
      </x:c>
      <x:c r="AB213" s="6" t="str">
        <x:v>official_faq_entry</x:v>
      </x:c>
    </x:row>
    <x:row r="214" ht="115" customHeight="1">
      <x:c r="A214" s="6" t="str">
        <x:v>FAQ-poly8-011</x:v>
      </x:c>
      <x:c r="B214" s="6" t="str">
        <x:v>official_faq_entry:poly8-011</x:v>
      </x:c>
      <x:c r="C214" s="6" t="str">
        <x:v>{"history":[],"user_message":"У нас каждый день заведующий производством формирует сменно – суточные задания на оборудование, и в конце смены собирает отчеты о выполненных работах («рапортички»). Возможно вести такой учет в программе?"}</x:v>
      </x:c>
      <x:c r="D214" s="6" t="str">
        <x:v>{"product":"1С:УНФ 8. Полиграфия 2","version":"3.0.14.140","retrieval_state":"available","handoff_consent":false,"source_faq_id":"poly8-011","group_id":"faq_poly8-011","source_applicability":"confirmed_by_consultant","source_product":"1С:Полиграфия 8","approval_basis":"user_confirmed_consultant_approval"}</x:v>
      </x:c>
      <x:c r="E214" s="6" t="str">
        <x:v>1С:УНФ 8. Полиграфия 2</x:v>
      </x:c>
      <x:c r="F214" s="6" t="str">
        <x:v>3.0.14.140</x:v>
      </x:c>
      <x:c r="G214" s="6" t="str">
        <x:v>not_reported</x:v>
      </x:c>
      <x:c r="H214" s="6" t="str">
        <x:v>default</x:v>
      </x:c>
      <x:c r="I214" s="6" t="str">
        <x:v>Применимость источников и эталона к 1С:УНФ 8. Полиграфия 2, релиз 3.0.14.140, подтверждена консультантом со слов пользователя.</x:v>
      </x:c>
      <x:c r="J214" s="13" t="str">
        <x:v>0</x:v>
      </x:c>
      <x:c r="K214" s="13" t="str">
        <x:v>5</x:v>
      </x:c>
      <x:c r="L214" s="7" t="b">
        <x:v>0</x:v>
      </x:c>
      <x:c r="M214" s="6" t="str">
        <x:v>not_applicable</x:v>
      </x:c>
      <x:c r="N214" s="6" t="str">
        <x:v>[]</x:v>
      </x:c>
      <x:c r="O214" s="7" t="b">
        <x:v>1</x:v>
      </x:c>
      <x:c r="P214" s="6" t="str">
        <x:v>K2</x:v>
      </x:c>
      <x:c r="Q214" s="6" t="str">
        <x:v>K2: история пуста, вопрос соответствует статье FAQ poly8-011; в утверждённом источнике есть достаточный применимый ответ для 3.0.14.140. Бот отвечает сразу с источником.</x:v>
      </x:c>
      <x:c r="R214" s="6" t="str">
        <x:v>["faq","poly8","documented_answer"]</x:v>
      </x:c>
      <x:c r="S214" s="6" t="str">
        <x:v>answer</x:v>
      </x:c>
      <x:c r="T214" s="6" t="str">
        <x:v>["«Сменно-суточное задание» отображает операции, назначенные к исполнению.","Это визуализация плана-графика производства за интервал времени.","Указать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14"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14" s="6" t="str">
        <x:v>[{"source_file":"/Users/maria/chatbot_rag/knowledge base/faq_articles.jsonl","source_jsonl_line":55,"faq_id":"poly8-011","url":"https://1cpoly.ru/questions/faq-function-poligrafiy/","source_locator":"#field_0 &gt; accordion item 11","title":"У нас каждый день заведующий производством формирует сменно – суточные задания на оборудование, и в конце смены собирает отчеты о выполненных работах («рапортички»). Возможно вести такой учет в программе?","source_answer":"В программе реализован отчет «Сменно-суточное задание» - предназначенный\nдля выборки и отображения всех операций, назначенных к исполнению в\nпроизводстве, то есть для визуализации плана-графика производства за\nнекоторый интервал времени. Подробнее...","content_sha256":"2d8ce9c9af8e7a05586782273da2422daf577670f44c605657d68f8fc85e14b4","saved_at":"2026-10-24T22:59:41.544702+03:00","image_refs":[],"applicability_check":"confirmed_by_consultant","required_facts":["«Сменно-суточное задание» отображает операции, назначенные к исполнению.","Это визуализация плана-графика производства за интервал времени."],"approval_basis":"user_confirmed_consultant_approval"}]</x:v>
      </x:c>
      <x:c r="W214" s="6" t="str">
        <x:v>["В содержательном ответе отражены следующие подтверждённые пункты: «Сменно-суточное задание» отображает операции, назначенные к исполнению. Это визуализация плана-графика производства за интервал времени.","Приведена релевантная ссылка на FAQ; смысл ответа согласуется с источником, нет неподтверждённых действий и лишнего уточнения."]</x:v>
      </x:c>
      <x:c r="X214" s="6" t="str">
        <x:v>approved</x:v>
      </x:c>
      <x:c r="Y214" s="6" t="str">
        <x:v>Карточка и применимость источников согласованы консультантом; утверждение подтверждено пользователем 25.10.2026.</x:v>
      </x:c>
      <x:c r="Z214" s="6" t="str">
        <x:v>G-64a08974e4b4e6</x:v>
      </x:c>
      <x:c r="AA214" s="6" t="str">
        <x:v>dev</x:v>
      </x:c>
      <x:c r="AB214" s="6" t="str">
        <x:v>official_faq_entry</x:v>
      </x:c>
    </x:row>
    <x:row r="215" ht="115" customHeight="1">
      <x:c r="A215" s="6" t="str">
        <x:v>FAQ-poly8-014</x:v>
      </x:c>
      <x:c r="B215" s="6" t="str">
        <x:v>official_faq_entry:poly8-014</x:v>
      </x:c>
      <x:c r="C215" s="6" t="str">
        <x:v>{"history":[],"user_message":"Как можно в программе проанализировать продажи? Сравнить продажи с планом?"}</x:v>
      </x:c>
      <x:c r="D215" s="6" t="str">
        <x:v>{"product":"1С:УНФ 8. Полиграфия 2","version":"3.0.14.140","retrieval_state":"available","handoff_consent":false,"source_faq_id":"poly8-014","group_id":"faq_poly8-014","source_applicability":"confirmed_by_consultant","source_product":"1С:Полиграфия 8","approval_basis":"user_confirmed_consultant_approval"}</x:v>
      </x:c>
      <x:c r="E215" s="6" t="str">
        <x:v>1С:УНФ 8. Полиграфия 2</x:v>
      </x:c>
      <x:c r="F215" s="6" t="str">
        <x:v>3.0.14.140</x:v>
      </x:c>
      <x:c r="G215" s="6" t="str">
        <x:v>not_reported</x:v>
      </x:c>
      <x:c r="H215" s="6" t="str">
        <x:v>default</x:v>
      </x:c>
      <x:c r="I215" s="6" t="str">
        <x:v>Применимость источников и эталона к 1С:УНФ 8. Полиграфия 2, релиз 3.0.14.140, подтверждена консультантом со слов пользователя.</x:v>
      </x:c>
      <x:c r="J215" s="13" t="str">
        <x:v>0</x:v>
      </x:c>
      <x:c r="K215" s="13" t="str">
        <x:v>5</x:v>
      </x:c>
      <x:c r="L215" s="7" t="b">
        <x:v>0</x:v>
      </x:c>
      <x:c r="M215" s="6" t="str">
        <x:v>not_applicable</x:v>
      </x:c>
      <x:c r="N215" s="6" t="str">
        <x:v>[]</x:v>
      </x:c>
      <x:c r="O215" s="7" t="b">
        <x:v>1</x:v>
      </x:c>
      <x:c r="P215" s="6" t="str">
        <x:v>K2</x:v>
      </x:c>
      <x:c r="Q215" s="6" t="str">
        <x:v>K2: история пуста, вопрос соответствует статье FAQ poly8-014; в утверждённом источнике есть достаточный применимый ответ для 3.0.14.140. Бот отвечает сразу с источником.</x:v>
      </x:c>
      <x:c r="R215" s="6" t="str">
        <x:v>["faq","poly8","documented_answer"]</x:v>
      </x:c>
      <x:c r="S215" s="6" t="str">
        <x:v>answer</x:v>
      </x:c>
      <x:c r="T215" s="6" t="str">
        <x:v>["Для сравнения фактических продаж с планом используется «План-фактный анализ продаж».","Дополнительные измерения, которых нет в источнике, не выдумываются.","Указать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15"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15" s="6" t="str">
        <x:v>[{"source_file":"/Users/maria/chatbot_rag/knowledge base/faq_articles.jsonl","source_jsonl_line":58,"faq_id":"poly8-014","url":"https://1cpoly.ru/questions/faq-function-poligrafiy/","source_locator":"#field_0 &gt; accordion item 14","title":"Как можно в программе проанализировать продажи? Сравнить продажи с планом?","source_answer":"Для этого в программе существует система специализированных отчетов:\n«План-фактный анализ продаж» - отчет позволяет сравнить фактическое количество продаж с плановыми показателями. Подробнее...","content_sha256":"5244f13f4dd5260e5f439be1f9e53fdae1cb7c76924a703e0099c2b755eac55f","saved_at":"2026-10-24T22:59:41.544702+03:00","image_refs":[],"applicability_check":"confirmed_by_consultant","required_facts":["Для сравнения фактических продаж с планом используется «План-фактный анализ продаж».","Дополнительные измерения, которых нет в источнике, не выдумываются."],"approval_basis":"user_confirmed_consultant_approval"}]</x:v>
      </x:c>
      <x:c r="W215" s="6" t="str">
        <x:v>["В содержательном ответе отражены следующие подтверждённые пункты: Для сравнения фактических продаж с планом используется «План-фактный анализ продаж». Дополнительные измерения, которых нет в источнике, не выдумываются.","Приведена релевантная ссылка на FAQ; смысл ответа согласуется с источником, нет неподтверждённых действий и лишнего уточнения."]</x:v>
      </x:c>
      <x:c r="X215" s="6" t="str">
        <x:v>approved</x:v>
      </x:c>
      <x:c r="Y215" s="6" t="str">
        <x:v>Карточка и применимость источников согласованы консультантом; утверждение подтверждено пользователем 25.10.2026.</x:v>
      </x:c>
      <x:c r="Z215" s="6" t="str">
        <x:v>G-239f0d0248c653</x:v>
      </x:c>
      <x:c r="AA215" s="6" t="str">
        <x:v>dev</x:v>
      </x:c>
      <x:c r="AB215" s="6" t="str">
        <x:v>official_faq_entry</x:v>
      </x:c>
    </x:row>
    <x:row r="216" ht="115" customHeight="1">
      <x:c r="A216" s="6" t="str">
        <x:v>FAQ-poly8-016</x:v>
      </x:c>
      <x:c r="B216" s="6" t="str">
        <x:v>official_faq_entry:poly8-016</x:v>
      </x:c>
      <x:c r="C216" s="6" t="str">
        <x:v>{"history":[],"user_message":"Можно ли к определенному заказу привязать изображение рассчитываемого в нем макета?"}</x:v>
      </x:c>
      <x:c r="D216" s="6" t="str">
        <x:v>{"product":"1С:УНФ 8. Полиграфия 2","version":"3.0.14.140","retrieval_state":"available","handoff_consent":false,"source_faq_id":"poly8-016","group_id":"faq_poly8-016","source_applicability":"confirmed_by_consultant","source_product":"1С:Полиграфия 8","approval_basis":"user_confirmed_consultant_approval"}</x:v>
      </x:c>
      <x:c r="E216" s="6" t="str">
        <x:v>1С:УНФ 8. Полиграфия 2</x:v>
      </x:c>
      <x:c r="F216" s="6" t="str">
        <x:v>3.0.14.140</x:v>
      </x:c>
      <x:c r="G216" s="6" t="str">
        <x:v>not_reported</x:v>
      </x:c>
      <x:c r="H216" s="6" t="str">
        <x:v>default</x:v>
      </x:c>
      <x:c r="I216" s="6" t="str">
        <x:v>Применимость источников и эталона к 1С:УНФ 8. Полиграфия 2, релиз 3.0.14.140, подтверждена консультантом со слов пользователя.</x:v>
      </x:c>
      <x:c r="J216" s="13" t="str">
        <x:v>0</x:v>
      </x:c>
      <x:c r="K216" s="13" t="str">
        <x:v>5</x:v>
      </x:c>
      <x:c r="L216" s="7" t="b">
        <x:v>0</x:v>
      </x:c>
      <x:c r="M216" s="6" t="str">
        <x:v>not_applicable</x:v>
      </x:c>
      <x:c r="N216" s="6" t="str">
        <x:v>[]</x:v>
      </x:c>
      <x:c r="O216" s="7" t="b">
        <x:v>1</x:v>
      </x:c>
      <x:c r="P216" s="6" t="str">
        <x:v>K2</x:v>
      </x:c>
      <x:c r="Q216" s="6" t="str">
        <x:v>K2: история пуста, вопрос соответствует статье FAQ poly8-016; в утверждённом источнике есть достаточный применимый ответ для 3.0.14.140. Бот отвечает сразу с источником.</x:v>
      </x:c>
      <x:c r="R216" s="6" t="str">
        <x:v>["faq","poly8","documented_answer"]</x:v>
      </x:c>
      <x:c r="S216" s="6" t="str">
        <x:v>answer</x:v>
      </x:c>
      <x:c r="T216" s="6" t="str">
        <x:v>["К заказу можно прикрепить файл preview для отображения изображения.","Также может храниться путь к файлу макета для дизайна и вёрстки.","Указать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16"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16" s="6" t="str">
        <x:v>[{"source_file":"/Users/maria/chatbot_rag/knowledge base/faq_articles.jsonl","source_jsonl_line":60,"faq_id":"poly8-016","url":"https://1cpoly.ru/questions/faq-function-poligrafiy/","source_locator":"#field_0 &gt; accordion item 16","title":"Можно ли к определенному заказу привязать изображение рассчитываемого в нем макета?","source_answer":"Да, к заказу можно прикрепить файл preview, картинка которого будет\nотображаться при открытии данного заказа; так же можно хранить\nприкрепленным к заказу путь к файлу макета, с которым работает отдел\nдизайна и верстки. Подробнее...","content_sha256":"af4fdc655c1c937788534b5b89bba4861c8fcdb5f3f45c4e140759d1fa2a46f4","saved_at":"2026-10-24T22:59:41.544702+03:00","image_refs":[],"applicability_check":"confirmed_by_consultant","required_facts":["К заказу можно прикрепить файл preview для отображения изображения.","Также может храниться путь к файлу макета для дизайна и вёрстки."],"approval_basis":"user_confirmed_consultant_approval"}]</x:v>
      </x:c>
      <x:c r="W216" s="6" t="str">
        <x:v>["В содержательном ответе отражены следующие подтверждённые пункты: К заказу можно прикрепить файл preview для отображения изображения. Также может храниться путь к файлу макета для дизайна и вёрстки.","Приведена релевантная ссылка на FAQ; смысл ответа согласуется с источником, нет неподтверждённых действий и лишнего уточнения."]</x:v>
      </x:c>
      <x:c r="X216" s="6" t="str">
        <x:v>approved</x:v>
      </x:c>
      <x:c r="Y216" s="6" t="str">
        <x:v>Карточка и применимость источников согласованы консультантом; утверждение подтверждено пользователем 25.10.2026.</x:v>
      </x:c>
      <x:c r="Z216" s="6" t="str">
        <x:v>G-f248b05048ff0f</x:v>
      </x:c>
      <x:c r="AA216" s="6" t="str">
        <x:v>dev</x:v>
      </x:c>
      <x:c r="AB216" s="6" t="str">
        <x:v>official_faq_entry</x:v>
      </x:c>
    </x:row>
    <x:row r="217" ht="115" customHeight="1">
      <x:c r="A217" s="6" t="str">
        <x:v>FAQ-poly8-017</x:v>
      </x:c>
      <x:c r="B217" s="6" t="str">
        <x:v>official_faq_entry:poly8-017</x:v>
      </x:c>
      <x:c r="C217" s="6" t="str">
        <x:v>{"history":[],"user_message":"Как в программе можно решить задачу по повышению оперативности расчета заказов, учитывая специфику деятельности отрасли полиграфии, которая предполагает высокую степень дифференциации выпускаемой продукции?"}</x:v>
      </x:c>
      <x:c r="D217" s="6" t="str">
        <x:v>{"product":"1С:УНФ 8. Полиграфия 2","version":"3.0.14.140","retrieval_state":"available","handoff_consent":false,"source_faq_id":"poly8-017","group_id":"faq_poly8-017","source_applicability":"confirmed_by_consultant","source_product":"1С:Полиграфия 8","approval_basis":"user_confirmed_consultant_approval"}</x:v>
      </x:c>
      <x:c r="E217" s="6" t="str">
        <x:v>1С:УНФ 8. Полиграфия 2</x:v>
      </x:c>
      <x:c r="F217" s="6" t="str">
        <x:v>3.0.14.140</x:v>
      </x:c>
      <x:c r="G217" s="6" t="str">
        <x:v>not_reported</x:v>
      </x:c>
      <x:c r="H217" s="6" t="str">
        <x:v>default</x:v>
      </x:c>
      <x:c r="I217" s="6" t="str">
        <x:v>Применимость источников и эталона к 1С:УНФ 8. Полиграфия 2, релиз 3.0.14.140, подтверждена консультантом со слов пользователя.</x:v>
      </x:c>
      <x:c r="J217" s="13" t="str">
        <x:v>0</x:v>
      </x:c>
      <x:c r="K217" s="13" t="str">
        <x:v>5</x:v>
      </x:c>
      <x:c r="L217" s="7" t="b">
        <x:v>0</x:v>
      </x:c>
      <x:c r="M217" s="6" t="str">
        <x:v>not_applicable</x:v>
      </x:c>
      <x:c r="N217" s="6" t="str">
        <x:v>[]</x:v>
      </x:c>
      <x:c r="O217" s="7" t="b">
        <x:v>1</x:v>
      </x:c>
      <x:c r="P217" s="6" t="str">
        <x:v>K2</x:v>
      </x:c>
      <x:c r="Q217" s="6" t="str">
        <x:v>K2: история пуста, вопрос соответствует статье FAQ poly8-017; в утверждённом источнике есть достаточный применимый ответ для 3.0.14.140. Бот отвечает сразу с источником.</x:v>
      </x:c>
      <x:c r="R217" s="6" t="str">
        <x:v>["faq","poly8","documented_answer"]</x:v>
      </x:c>
      <x:c r="S217" s="6" t="str">
        <x:v>answer</x:v>
      </x:c>
      <x:c r="T217" s="6" t="str">
        <x:v>["Оперативность расчётов повышается использованием шаблонов.","Для быстрого поиска важна классификация списка шаблонов.","Указать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17"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17" s="6" t="str">
        <x:v>[{"source_file":"/Users/maria/chatbot_rag/knowledge base/faq_articles.jsonl","source_jsonl_line":61,"faq_id":"poly8-017","url":"https://1cpoly.ru/questions/faq-function-poligrafiy/","source_locator":"#field_0 &gt; accordion item 17","title":"Как в программе можно решить задачу по повышению оперативности расчета заказов, учитывая специфику деятельности отрасли полиграфии, которая предполагает высокую степень дифференциации выпускаемой продукции?","source_answer":"Данная задача решается с помощью использования шаблонов. При этом\nвозникает сопутствующая задача по классификации самого списка шаблонов\nдля быстрого нахождения нужного шаблона. Подробнее...","content_sha256":"43af51351db2e89409c8bf8ef5aec7a8ddf0793b9326496dbd8b34762b507956","saved_at":"2026-10-24T22:59:41.544702+03:00","image_refs":[],"applicability_check":"confirmed_by_consultant","required_facts":["Оперативность расчётов повышается использованием шаблонов.","Для быстрого поиска важна классификация списка шаблонов."],"approval_basis":"user_confirmed_consultant_approval"}]</x:v>
      </x:c>
      <x:c r="W217" s="6" t="str">
        <x:v>["В содержательном ответе отражены следующие подтверждённые пункты: Оперативность расчётов повышается использованием шаблонов. Для быстрого поиска важна классификация списка шаблонов.","Приведена релевантная ссылка на FAQ; смысл ответа согласуется с источником, нет неподтверждённых действий и лишнего уточнения."]</x:v>
      </x:c>
      <x:c r="X217" s="6" t="str">
        <x:v>approved</x:v>
      </x:c>
      <x:c r="Y217" s="6" t="str">
        <x:v>Карточка и применимость источников согласованы консультантом; утверждение подтверждено пользователем 25.10.2026.</x:v>
      </x:c>
      <x:c r="Z217" s="6" t="str">
        <x:v>G-1ccd4ed597872c</x:v>
      </x:c>
      <x:c r="AA217" s="6" t="str">
        <x:v>dev</x:v>
      </x:c>
      <x:c r="AB217" s="6" t="str">
        <x:v>official_faq_entry</x:v>
      </x:c>
    </x:row>
    <x:row r="218" ht="115" customHeight="1">
      <x:c r="A218" s="6" t="str">
        <x:v>FAQ-poly8-020</x:v>
      </x:c>
      <x:c r="B218" s="6" t="str">
        <x:v>official_faq_entry:poly8-020</x:v>
      </x:c>
      <x:c r="C218" s="6" t="str">
        <x:v>{"history":[],"user_message":"Можно ли в программе решить такую задачу, когда клиент делает заказ на несколько позиций продукции, например, буклет и листовку, но при этом на каждую из них нужно сделать свой расчет, а счет должен быть выставлен по заказу в целом?"}</x:v>
      </x:c>
      <x:c r="D218" s="6" t="str">
        <x:v>{"product":"1С:УНФ 8. Полиграфия 2","version":"3.0.14.140","retrieval_state":"available","handoff_consent":false,"source_faq_id":"poly8-020","group_id":"faq_poly8-020","source_applicability":"confirmed_by_consultant","source_product":"1С:Полиграфия 8","approval_basis":"user_confirmed_consultant_approval"}</x:v>
      </x:c>
      <x:c r="E218" s="6" t="str">
        <x:v>1С:УНФ 8. Полиграфия 2</x:v>
      </x:c>
      <x:c r="F218" s="6" t="str">
        <x:v>3.0.14.140</x:v>
      </x:c>
      <x:c r="G218" s="6" t="str">
        <x:v>not_reported</x:v>
      </x:c>
      <x:c r="H218" s="6" t="str">
        <x:v>default</x:v>
      </x:c>
      <x:c r="I218" s="6" t="str">
        <x:v>Применимость источников и эталона к 1С:УНФ 8. Полиграфия 2, релиз 3.0.14.140, подтверждена консультантом со слов пользователя.</x:v>
      </x:c>
      <x:c r="J218" s="13" t="str">
        <x:v>0</x:v>
      </x:c>
      <x:c r="K218" s="13" t="str">
        <x:v>5</x:v>
      </x:c>
      <x:c r="L218" s="7" t="b">
        <x:v>0</x:v>
      </x:c>
      <x:c r="M218" s="6" t="str">
        <x:v>not_applicable</x:v>
      </x:c>
      <x:c r="N218" s="6" t="str">
        <x:v>[]</x:v>
      </x:c>
      <x:c r="O218" s="7" t="b">
        <x:v>1</x:v>
      </x:c>
      <x:c r="P218" s="6" t="str">
        <x:v>K2</x:v>
      </x:c>
      <x:c r="Q218" s="6" t="str">
        <x:v>K2: история пуста, вопрос соответствует статье FAQ poly8-020; в утверждённом источнике есть достаточный применимый ответ для 3.0.14.140. Бот отвечает сразу с источником.</x:v>
      </x:c>
      <x:c r="R218" s="6" t="str">
        <x:v>["faq","poly8","documented_answer"]</x:v>
      </x:c>
      <x:c r="S218" s="6" t="str">
        <x:v>answer</x:v>
      </x:c>
      <x:c r="T218" s="6" t="str">
        <x:v>["Отдельные калькуляции продукции включаются в «Полиграфический заказ покупателя».","По нему формируется один заказ покупателя на несколько позиций.","Указать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18"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18" s="6" t="str">
        <x:v>[{"source_file":"/Users/maria/chatbot_rag/knowledge base/faq_articles.jsonl","source_jsonl_line":64,"faq_id":"poly8-020","url":"https://1cpoly.ru/questions/faq-function-poligrafiy/","source_locator":"#field_0 &gt; accordion item 20","title":"Можно ли в программе решить такую задачу, когда клиент делает заказ на несколько позиций продукции, например, буклет и листовку, но при этом на каждую из них нужно сделать свой расчет, а счет должен быть выставлен по заказу в целом?","source_answer":"Да, подобную задачу можно решить с помощью документа «Полиграфический\nзаказ покупателя», в котором указываются все ранее сделанные калькуляции\nна отдельные виды продукции, и на основании которого формируется один\nзаказ покупателя на несколько позиций продукции. Подробнее...","content_sha256":"846ef52ad45de83581ec47380ea4f955e2eccae1f1fc693961e8d82995390911","saved_at":"2026-10-24T22:59:41.544702+03:00","image_refs":[],"applicability_check":"confirmed_by_consultant","required_facts":["Отдельные калькуляции продукции включаются в «Полиграфический заказ покупателя».","По нему формируется один заказ покупателя на несколько позиций."],"approval_basis":"user_confirmed_consultant_approval"}]</x:v>
      </x:c>
      <x:c r="W218" s="6" t="str">
        <x:v>["В содержательном ответе отражены следующие подтверждённые пункты: Отдельные калькуляции продукции включаются в «Полиграфический заказ покупателя». По нему формируется один заказ покупателя на несколько позиций.","Приведена релевантная ссылка на FAQ; смысл ответа согласуется с источником, нет неподтверждённых действий и лишнего уточнения."]</x:v>
      </x:c>
      <x:c r="X218" s="6" t="str">
        <x:v>approved</x:v>
      </x:c>
      <x:c r="Y218" s="6" t="str">
        <x:v>Карточка и применимость источников согласованы консультантом; утверждение подтверждено пользователем 25.10.2026.</x:v>
      </x:c>
      <x:c r="Z218" s="6" t="str">
        <x:v>G-2133c5cf2f37bf</x:v>
      </x:c>
      <x:c r="AA218" s="6" t="str">
        <x:v>dev</x:v>
      </x:c>
      <x:c r="AB218" s="6" t="str">
        <x:v>official_faq_entry</x:v>
      </x:c>
    </x:row>
    <x:row r="219" ht="115" customHeight="1">
      <x:c r="A219" s="6" t="str">
        <x:v>FAQ-poly8-023</x:v>
      </x:c>
      <x:c r="B219" s="6" t="str">
        <x:v>official_faq_entry:poly8-023</x:v>
      </x:c>
      <x:c r="C219" s="6" t="str">
        <x:v>{"history":[],"user_message":"Как завпроизводством может узнать что необходимый материал поступил и можно выполнять заказ клиента?"}</x:v>
      </x:c>
      <x:c r="D219" s="6" t="str">
        <x:v>{"product":"1С:УНФ 8. Полиграфия 2","version":"3.0.14.140","retrieval_state":"available","handoff_consent":false,"source_faq_id":"poly8-023","group_id":"faq_poly8-023","source_applicability":"confirmed_by_consultant","source_product":"1С:Полиграфия 8","approval_basis":"user_confirmed_consultant_approval"}</x:v>
      </x:c>
      <x:c r="E219" s="6" t="str">
        <x:v>1С:УНФ 8. Полиграфия 2</x:v>
      </x:c>
      <x:c r="F219" s="6" t="str">
        <x:v>3.0.14.140</x:v>
      </x:c>
      <x:c r="G219" s="6" t="str">
        <x:v>not_reported</x:v>
      </x:c>
      <x:c r="H219" s="6" t="str">
        <x:v>default</x:v>
      </x:c>
      <x:c r="I219" s="6" t="str">
        <x:v>Применимость источников и эталона к 1С:УНФ 8. Полиграфия 2, релиз 3.0.14.140, подтверждена консультантом со слов пользователя.</x:v>
      </x:c>
      <x:c r="J219" s="13" t="str">
        <x:v>0</x:v>
      </x:c>
      <x:c r="K219" s="13" t="str">
        <x:v>5</x:v>
      </x:c>
      <x:c r="L219" s="7" t="b">
        <x:v>0</x:v>
      </x:c>
      <x:c r="M219" s="6" t="str">
        <x:v>not_applicable</x:v>
      </x:c>
      <x:c r="N219" s="6" t="str">
        <x:v>[]</x:v>
      </x:c>
      <x:c r="O219" s="7" t="b">
        <x:v>1</x:v>
      </x:c>
      <x:c r="P219" s="6" t="str">
        <x:v>K2</x:v>
      </x:c>
      <x:c r="Q219" s="6" t="str">
        <x:v>K2: история пуста, вопрос соответствует статье FAQ poly8-023; в утверждённом источнике есть достаточный применимый ответ для 3.0.14.140. Бот отвечает сразу с источником.</x:v>
      </x:c>
      <x:c r="R219" s="6" t="str">
        <x:v>["faq","poly8","documented_answer"]</x:v>
      </x:c>
      <x:c r="S219" s="6" t="str">
        <x:v>answer</x:v>
      </x:c>
      <x:c r="T219" s="6" t="str">
        <x:v>["Для анализа поступления нужных материалов используется «Анализ внутренних заказов».","Отчёт отражает состояние выполнения внутренних заказов и включение их в план закупок.","Указать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19"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19" s="6" t="str">
        <x:v>[{"source_file":"/Users/maria/chatbot_rag/knowledge base/faq_articles.jsonl","source_jsonl_line":67,"faq_id":"poly8-023","url":"https://1cpoly.ru/questions/faq-function-poligrafiy/","source_locator":"#field_0 &gt; accordion item 23","title":"Как завпроизводством может узнать что необходимый материал поступил и можно выполнять заказ клиента?","source_answer":"Для получения, подобной информации, в системе реализован отчет «Анализ\nвнутренних заказов». Отчет предназначен для анализа состояния внутренних\nзаказов на определенный момент времени. Для анализа заказов в отчете\nвыводятся показатели в части выполнения заказа, а также включения заказа\nв план закупок. Подробнее...","content_sha256":"b7b4ce4c2651fd50361ec4455b7f1fe468cd4051855ad575903ed99a24704221","saved_at":"2026-10-24T22:59:41.544702+03:00","image_refs":[],"applicability_check":"confirmed_by_consultant","required_facts":["Для анализа поступления нужных материалов используется «Анализ внутренних заказов».","Отчёт отражает состояние выполнения внутренних заказов и включение их в план закупок."],"approval_basis":"user_confirmed_consultant_approval"}]</x:v>
      </x:c>
      <x:c r="W219" s="6" t="str">
        <x:v>["В содержательном ответе отражены следующие подтверждённые пункты: Для анализа поступления нужных материалов используется «Анализ внутренних заказов». Отчёт отражает состояние выполнения внутренних заказов и включение их в план закупок.","Приведена релевантная ссылка на FAQ; смысл ответа согласуется с источником, нет неподтверждённых действий и лишнего уточнения."]</x:v>
      </x:c>
      <x:c r="X219" s="6" t="str">
        <x:v>approved</x:v>
      </x:c>
      <x:c r="Y219" s="6" t="str">
        <x:v>Карточка и применимость источников согласованы консультантом; утверждение подтверждено пользователем 25.10.2026.</x:v>
      </x:c>
      <x:c r="Z219" s="6" t="str">
        <x:v>G-3b52342889ef49</x:v>
      </x:c>
      <x:c r="AA219" s="6" t="str">
        <x:v>dev</x:v>
      </x:c>
      <x:c r="AB219" s="6" t="str">
        <x:v>official_faq_entry</x:v>
      </x:c>
    </x:row>
    <x:row r="220" ht="115" customHeight="1">
      <x:c r="A220" s="6" t="str">
        <x:v>FAQ-poly8-026</x:v>
      </x:c>
      <x:c r="B220" s="6" t="str">
        <x:v>official_faq_entry:poly8-026</x:v>
      </x:c>
      <x:c r="C220" s="6" t="str">
        <x:v>{"history":[],"user_message":"Есть ли готовое решение для учета мелких заказов, чтобы не заводить каждый раз отдельный заказ?"}</x:v>
      </x:c>
      <x:c r="D220" s="6" t="str">
        <x:v>{"product":"1С:УНФ 8. Полиграфия 2","version":"3.0.14.140","retrieval_state":"available","handoff_consent":false,"source_faq_id":"poly8-026","group_id":"faq_poly8-026","source_applicability":"confirmed_by_consultant","source_product":"1С:Полиграфия 8","approval_basis":"user_confirmed_consultant_approval"}</x:v>
      </x:c>
      <x:c r="E220" s="6" t="str">
        <x:v>1С:УНФ 8. Полиграфия 2</x:v>
      </x:c>
      <x:c r="F220" s="6" t="str">
        <x:v>3.0.14.140</x:v>
      </x:c>
      <x:c r="G220" s="6" t="str">
        <x:v>not_reported</x:v>
      </x:c>
      <x:c r="H220" s="6" t="str">
        <x:v>default</x:v>
      </x:c>
      <x:c r="I220" s="6" t="str">
        <x:v>Применимость источников и эталона к 1С:УНФ 8. Полиграфия 2, релиз 3.0.14.140, подтверждена консультантом со слов пользователя.</x:v>
      </x:c>
      <x:c r="J220" s="13" t="str">
        <x:v>0</x:v>
      </x:c>
      <x:c r="K220" s="13" t="str">
        <x:v>5</x:v>
      </x:c>
      <x:c r="L220" s="7" t="b">
        <x:v>0</x:v>
      </x:c>
      <x:c r="M220" s="6" t="str">
        <x:v>not_applicable</x:v>
      </x:c>
      <x:c r="N220" s="6" t="str">
        <x:v>[]</x:v>
      </x:c>
      <x:c r="O220" s="7" t="b">
        <x:v>1</x:v>
      </x:c>
      <x:c r="P220" s="6" t="str">
        <x:v>K2</x:v>
      </x:c>
      <x:c r="Q220" s="6" t="str">
        <x:v>K2: история пуста, вопрос соответствует статье FAQ poly8-026; в утверждённом источнике есть достаточный применимый ответ для 3.0.14.140. Бот отвечает сразу с источником.</x:v>
      </x:c>
      <x:c r="R220" s="6" t="str">
        <x:v>["faq","poly8","documented_answer"]</x:v>
      </x:c>
      <x:c r="S220" s="6" t="str">
        <x:v>answer</x:v>
      </x:c>
      <x:c r="T220" s="6" t="str">
        <x:v>["Для типового заказа создаётся шаблон на основании однажды введённого заказа.","Новые заказы вводятся по шаблону с необходимыми изменениями; это не отсутствие документов на каждый новый заказ.","Указать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20"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20" s="6" t="str">
        <x:v>[{"source_file":"/Users/maria/chatbot_rag/knowledge base/faq_articles.jsonl","source_jsonl_line":70,"faq_id":"poly8-026","url":"https://1cpoly.ru/questions/faq-function-poligrafiy/","source_locator":"#field_0 &gt; accordion item 26","title":"Есть ли готовое решение для учета мелких заказов, чтобы не заводить каждый раз отдельный заказ?","source_answer":"Если заказ является типовым, то в таком случае достаточно один раз\nзавести данный заказ в систему и на его основании создать шаблон заказа.\nНовый шаблон будет храниться в журнале шаблонов, и в последующем на его\nосновании можно будет вводить другие заказы, внося в них необходимые\nизменения. Количество шаблонов неограниченно.","content_sha256":"002c4e80618c0acea4ba1a878713e5d04560761fbfae63173fefcb4ce065a361","saved_at":"2026-10-24T22:59:41.544702+03:00","image_refs":[],"applicability_check":"confirmed_by_consultant","required_facts":["Для типового заказа создаётся шаблон на основании однажды введённого заказа.","Новые заказы вводятся по шаблону с необходимыми изменениями; это не отсутствие документов на каждый новый заказ."],"approval_basis":"user_confirmed_consultant_approval"}]</x:v>
      </x:c>
      <x:c r="W220" s="6" t="str">
        <x:v>["В содержательном ответе отражены следующие подтверждённые пункты: Для типового заказа создаётся шаблон на основании однажды введённого заказа. Новые заказы вводятся по шаблону с необходимыми изменениями; это не отсутствие документов на каждый новый заказ.","Приведена релевантная ссылка на FAQ; смысл ответа согласуется с источником, нет неподтверждённых действий и лишнего уточнения."]</x:v>
      </x:c>
      <x:c r="X220" s="6" t="str">
        <x:v>approved</x:v>
      </x:c>
      <x:c r="Y220" s="6" t="str">
        <x:v>Карточка и применимость источников согласованы консультантом; утверждение подтверждено пользователем 25.10.2026.</x:v>
      </x:c>
      <x:c r="Z220" s="6" t="str">
        <x:v>G-ccf7819d10de16</x:v>
      </x:c>
      <x:c r="AA220" s="6" t="str">
        <x:v>dev</x:v>
      </x:c>
      <x:c r="AB220" s="6" t="str">
        <x:v>official_faq_entry</x:v>
      </x:c>
    </x:row>
    <x:row r="221" ht="115" customHeight="1">
      <x:c r="A221" s="6" t="str">
        <x:v>FAQ-poly8-027</x:v>
      </x:c>
      <x:c r="B221" s="6" t="str">
        <x:v>official_faq_entry:poly8-027</x:v>
      </x:c>
      <x:c r="C221" s="6" t="str">
        <x:v>{"history":[],"user_message":"Мы ведем работу с рулонной печатью. Как в таком случае происходит нормирование операций и списание материалов?"}</x:v>
      </x:c>
      <x:c r="D221" s="6" t="str">
        <x:v>{"product":"1С:УНФ 8. Полиграфия 2","version":"3.0.14.140","retrieval_state":"available","handoff_consent":false,"source_faq_id":"poly8-027","group_id":"faq_poly8-027","source_applicability":"confirmed_by_consultant","source_product":"1С:Полиграфия 8","approval_basis":"user_confirmed_consultant_approval"}</x:v>
      </x:c>
      <x:c r="E221" s="6" t="str">
        <x:v>1С:УНФ 8. Полиграфия 2</x:v>
      </x:c>
      <x:c r="F221" s="6" t="str">
        <x:v>3.0.14.140</x:v>
      </x:c>
      <x:c r="G221" s="6" t="str">
        <x:v>not_reported</x:v>
      </x:c>
      <x:c r="H221" s="6" t="str">
        <x:v>default</x:v>
      </x:c>
      <x:c r="I221" s="6" t="str">
        <x:v>Применимость источников и эталона к 1С:УНФ 8. Полиграфия 2, релиз 3.0.14.140, подтверждена консультантом со слов пользователя.</x:v>
      </x:c>
      <x:c r="J221" s="13" t="str">
        <x:v>0</x:v>
      </x:c>
      <x:c r="K221" s="13" t="str">
        <x:v>5</x:v>
      </x:c>
      <x:c r="L221" s="7" t="b">
        <x:v>0</x:v>
      </x:c>
      <x:c r="M221" s="6" t="str">
        <x:v>not_applicable</x:v>
      </x:c>
      <x:c r="N221" s="6" t="str">
        <x:v>[]</x:v>
      </x:c>
      <x:c r="O221" s="7" t="b">
        <x:v>1</x:v>
      </x:c>
      <x:c r="P221" s="6" t="str">
        <x:v>K2</x:v>
      </x:c>
      <x:c r="Q221" s="6" t="str">
        <x:v>K2: история пуста, вопрос соответствует статье FAQ poly8-027; в утверждённом источнике есть достаточный применимый ответ для 3.0.14.140. Бот отвечает сразу с источником.</x:v>
      </x:c>
      <x:c r="R221" s="6" t="str">
        <x:v>["faq","poly8","documented_answer"]</x:v>
      </x:c>
      <x:c r="S221" s="6" t="str">
        <x:v>answer</x:v>
      </x:c>
      <x:c r="T221" s="6" t="str">
        <x:v>["В старом FAQ нормирование рулонной печати ведётся по площади.","Единица площади — квадратный метр; применимость к целевой УНФ подтверждена консультантом.","Указать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21"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21" s="6" t="str">
        <x:v>[{"source_file":"/Users/maria/chatbot_rag/knowledge base/faq_articles.jsonl","source_jsonl_line":71,"faq_id":"poly8-027","url":"https://1cpoly.ru/questions/faq-function-poligrafiy/","source_locator":"#field_0 &gt; accordion item 27","title":"Мы ведем работу с рулонной печатью. Как в таком случае происходит нормирование операций и списание материалов?","source_answer":"Если предприятие использует рулонную печать, то в этом случае\nнормирование и подсчет материалов производится по площади печати,\nединицей измерения которой является квадратный метр. Подробное описание использования рулонной печати в системе 1С:Полиграфия 8.0","content_sha256":"89487c94f693317bea1d2b485b0583eaa6efe93f65fd307e658d36ba226f0069","saved_at":"2026-10-24T22:59:41.544702+03:00","image_refs":[],"applicability_check":"confirmed_by_consultant","required_facts":["В старом FAQ нормирование рулонной печати ведётся по площади.","Единица площади — квадратный метр; применимость к целевой УНФ подтверждена консультантом."],"approval_basis":"user_confirmed_consultant_approval"}]</x:v>
      </x:c>
      <x:c r="W221" s="6" t="str">
        <x:v>["В содержательном ответе отражены следующие подтверждённые пункты: В старом FAQ нормирование рулонной печати ведётся по площади. Единица площади — квадратный метр; применимость к целевой УНФ подтверждена консультантом.","Приведена релевантная ссылка на FAQ; смысл ответа согласуется с источником, нет неподтверждённых действий и лишнего уточнения."]</x:v>
      </x:c>
      <x:c r="X221" s="6" t="str">
        <x:v>approved</x:v>
      </x:c>
      <x:c r="Y221" s="6" t="str">
        <x:v>Карточка и применимость источников согласованы консультантом; утверждение подтверждено пользователем 25.10.2026.</x:v>
      </x:c>
      <x:c r="Z221" s="6" t="str">
        <x:v>G-ffcd683965a875</x:v>
      </x:c>
      <x:c r="AA221" s="6" t="str">
        <x:v>dev</x:v>
      </x:c>
      <x:c r="AB221" s="6" t="str">
        <x:v>official_faq_entry</x:v>
      </x:c>
    </x:row>
    <x:row r="222" ht="115" customHeight="1">
      <x:c r="A222" s="6" t="str">
        <x:v>FAQ-poly8-028</x:v>
      </x:c>
      <x:c r="B222" s="6" t="str">
        <x:v>official_faq_entry:poly8-028</x:v>
      </x:c>
      <x:c r="C222" s="6" t="str">
        <x:v>{"history":[],"user_message":"При расчете заказа у менеджера есть возможность устанавливать скидки или наценки на данный заказ. Можно ли ограничить размер допустимых отклонений от первоначальной стоимости заказа?"}</x:v>
      </x:c>
      <x:c r="D222" s="6" t="str">
        <x:v>{"product":"1С:УНФ 8. Полиграфия 2","version":"3.0.14.140","retrieval_state":"available","handoff_consent":false,"source_faq_id":"poly8-028","group_id":"faq_poly8-028","source_applicability":"confirmed_by_consultant","source_product":"1С:Полиграфия 8","approval_basis":"user_confirmed_consultant_approval"}</x:v>
      </x:c>
      <x:c r="E222" s="6" t="str">
        <x:v>1С:УНФ 8. Полиграфия 2</x:v>
      </x:c>
      <x:c r="F222" s="6" t="str">
        <x:v>3.0.14.140</x:v>
      </x:c>
      <x:c r="G222" s="6" t="str">
        <x:v>not_reported</x:v>
      </x:c>
      <x:c r="H222" s="6" t="str">
        <x:v>default</x:v>
      </x:c>
      <x:c r="I222" s="6" t="str">
        <x:v>Применимость источников и эталона к 1С:УНФ 8. Полиграфия 2, релиз 3.0.14.140, подтверждена консультантом со слов пользователя.</x:v>
      </x:c>
      <x:c r="J222" s="13" t="str">
        <x:v>0</x:v>
      </x:c>
      <x:c r="K222" s="13" t="str">
        <x:v>5</x:v>
      </x:c>
      <x:c r="L222" s="7" t="b">
        <x:v>0</x:v>
      </x:c>
      <x:c r="M222" s="6" t="str">
        <x:v>not_applicable</x:v>
      </x:c>
      <x:c r="N222" s="6" t="str">
        <x:v>[]</x:v>
      </x:c>
      <x:c r="O222" s="7" t="b">
        <x:v>1</x:v>
      </x:c>
      <x:c r="P222" s="6" t="str">
        <x:v>K2</x:v>
      </x:c>
      <x:c r="Q222" s="6" t="str">
        <x:v>K2: история пуста, вопрос соответствует статье FAQ poly8-028; в утверждённом источнике есть достаточный применимый ответ для 3.0.14.140. Бот отвечает сразу с источником.</x:v>
      </x:c>
      <x:c r="R222" s="6" t="str">
        <x:v>["faq","poly8","documented_answer"]</x:v>
      </x:c>
      <x:c r="S222" s="6" t="str">
        <x:v>answer</x:v>
      </x:c>
      <x:c r="T222" s="6" t="str">
        <x:v>["В источнике ограничение отклонений связано с процентом нормы прибыли.","После настройки система контролирует отклонения стоимости при расчёте заказа.","Указать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22"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22" s="6" t="str">
        <x:v>[{"source_file":"/Users/maria/chatbot_rag/knowledge base/faq_articles.jsonl","source_jsonl_line":72,"faq_id":"poly8-028","url":"https://1cpoly.ru/questions/faq-function-poligrafiy/","source_locator":"#field_0 &gt; accordion item 28","title":"При расчете заказа у менеджера есть возможность устанавливать скидки или наценки на данный заказ. Можно ли ограничить размер допустимых отклонений от первоначальной стоимости заказа?","source_answer":"Да, такая возможность существует. Управляющий может установить процент\nнормы прибыли, после чего при расчете заказа все отклонения от\nпервоначальной его стоимости будут контролироваться системой. О работе данного механизма","content_sha256":"bd21c4773579b8845a0a15e2281c1599e604749550933951f9846f9d601d7e46","saved_at":"2026-10-24T22:59:41.544702+03:00","image_refs":[],"applicability_check":"confirmed_by_consultant","required_facts":["В источнике ограничение отклонений связано с процентом нормы прибыли.","После настройки система контролирует отклонения стоимости при расчёте заказа."],"approval_basis":"user_confirmed_consultant_approval"}]</x:v>
      </x:c>
      <x:c r="W222" s="6" t="str">
        <x:v>["В содержательном ответе отражены следующие подтверждённые пункты: В источнике ограничение отклонений связано с процентом нормы прибыли. После настройки система контролирует отклонения стоимости при расчёте заказа.","Приведена релевантная ссылка на FAQ; смысл ответа согласуется с источником, нет неподтверждённых действий и лишнего уточнения."]</x:v>
      </x:c>
      <x:c r="X222" s="6" t="str">
        <x:v>approved</x:v>
      </x:c>
      <x:c r="Y222" s="6" t="str">
        <x:v>Карточка и применимость источников согласованы консультантом; утверждение подтверждено пользователем 25.10.2026.</x:v>
      </x:c>
      <x:c r="Z222" s="6" t="str">
        <x:v>G-1ae186590eec9d</x:v>
      </x:c>
      <x:c r="AA222" s="6" t="str">
        <x:v>dev</x:v>
      </x:c>
      <x:c r="AB222" s="6" t="str">
        <x:v>official_faq_entry</x:v>
      </x:c>
    </x:row>
    <x:row r="223" ht="115" customHeight="1">
      <x:c r="A223" s="6" t="str">
        <x:v>FAQ-poly8-031</x:v>
      </x:c>
      <x:c r="B223" s="6" t="str">
        <x:v>official_faq_entry:poly8-031</x:v>
      </x:c>
      <x:c r="C223" s="6" t="str">
        <x:v>{"history":[],"user_message":"Как в системе реализован механизм диспетчеризации для контроля прохождения заказов по технологической цепочке?"}</x:v>
      </x:c>
      <x:c r="D223" s="6" t="str">
        <x:v>{"product":"1С:УНФ 8. Полиграфия 2","version":"3.0.14.140","retrieval_state":"available","handoff_consent":false,"source_faq_id":"poly8-031","group_id":"faq_poly8-031","source_applicability":"confirmed_by_consultant","source_product":"1С:Полиграфия 8","approval_basis":"user_confirmed_consultant_approval"}</x:v>
      </x:c>
      <x:c r="E223" s="6" t="str">
        <x:v>1С:УНФ 8. Полиграфия 2</x:v>
      </x:c>
      <x:c r="F223" s="6" t="str">
        <x:v>3.0.14.140</x:v>
      </x:c>
      <x:c r="G223" s="6" t="str">
        <x:v>not_reported</x:v>
      </x:c>
      <x:c r="H223" s="6" t="str">
        <x:v>default</x:v>
      </x:c>
      <x:c r="I223" s="6" t="str">
        <x:v>Применимость источников и эталона к 1С:УНФ 8. Полиграфия 2, релиз 3.0.14.140, подтверждена консультантом со слов пользователя.</x:v>
      </x:c>
      <x:c r="J223" s="13" t="str">
        <x:v>0</x:v>
      </x:c>
      <x:c r="K223" s="13" t="str">
        <x:v>5</x:v>
      </x:c>
      <x:c r="L223" s="7" t="b">
        <x:v>0</x:v>
      </x:c>
      <x:c r="M223" s="6" t="str">
        <x:v>not_applicable</x:v>
      </x:c>
      <x:c r="N223" s="6" t="str">
        <x:v>[]</x:v>
      </x:c>
      <x:c r="O223" s="7" t="b">
        <x:v>1</x:v>
      </x:c>
      <x:c r="P223" s="6" t="str">
        <x:v>K2</x:v>
      </x:c>
      <x:c r="Q223" s="6" t="str">
        <x:v>K2: история пуста, вопрос соответствует статье FAQ poly8-031; в утверждённом источнике есть достаточный применимый ответ для 3.0.14.140. Бот отвечает сразу с источником.</x:v>
      </x:c>
      <x:c r="R223" s="6" t="str">
        <x:v>["faq","poly8","documented_answer"]</x:v>
      </x:c>
      <x:c r="S223" s="6" t="str">
        <x:v>answer</x:v>
      </x:c>
      <x:c r="T223" s="6" t="str">
        <x:v>["Диспетчеризация использует изменение статусов заказа по оплате и выполнению.","Набор статусов задаётся для пользователя и обеспечивает передачу заказа между сотрудниками.","Указать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23"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23" s="6" t="str">
        <x:v>[{"source_file":"/Users/maria/chatbot_rag/knowledge base/faq_articles.jsonl","source_jsonl_line":75,"faq_id":"poly8-031","url":"https://1cpoly.ru/questions/faq-function-poligrafiy/","source_locator":"#field_0 &gt; accordion item 31","title":"Как в системе реализован механизм диспетчеризации для контроля прохождения заказов по технологической цепочке?","source_answer":"Для того, чтобы контролировать изменения состояния заказов (по оплате\nили выполнению) используется механизм установления различных статусов\nзаказов. Состав статусов определяется для каждого отдельного\nпользователя. Таким образом, осуществляется передача заказа от одного\nработника к другому. Подробнее о процессе диспетчеризации","content_sha256":"ced6ab2cdd8c6da4bba4d8348a876b1d0ee1c3ff38e2344ace0217d0e303bc68","saved_at":"2026-10-24T22:59:41.544702+03:00","image_refs":[],"applicability_check":"confirmed_by_consultant","required_facts":["Диспетчеризация использует изменение статусов заказа по оплате и выполнению.","Набор статусов задаётся для пользователя и обеспечивает передачу заказа между сотрудниками."],"approval_basis":"user_confirmed_consultant_approval"}]</x:v>
      </x:c>
      <x:c r="W223" s="6" t="str">
        <x:v>["В содержательном ответе отражены следующие подтверждённые пункты: Диспетчеризация использует изменение статусов заказа по оплате и выполнению. Набор статусов задаётся для пользователя и обеспечивает передачу заказа между сотрудниками.","Приведена релевантная ссылка на FAQ; смысл ответа согласуется с источником, нет неподтверждённых действий и лишнего уточнения."]</x:v>
      </x:c>
      <x:c r="X223" s="6" t="str">
        <x:v>approved</x:v>
      </x:c>
      <x:c r="Y223" s="6" t="str">
        <x:v>Карточка и применимость источников согласованы консультантом; утверждение подтверждено пользователем 25.10.2026.</x:v>
      </x:c>
      <x:c r="Z223" s="6" t="str">
        <x:v>G-df20bb60bd7990</x:v>
      </x:c>
      <x:c r="AA223" s="6" t="str">
        <x:v>dev</x:v>
      </x:c>
      <x:c r="AB223" s="6" t="str">
        <x:v>official_faq_entry</x:v>
      </x:c>
    </x:row>
    <x:row r="224" ht="115" customHeight="1">
      <x:c r="A224" s="6" t="str">
        <x:v>FAQ-poly8-032</x:v>
      </x:c>
      <x:c r="B224" s="6" t="str">
        <x:v>official_faq_entry:poly8-032</x:v>
      </x:c>
      <x:c r="C224" s="6" t="str">
        <x:v>{"history":[],"user_message":"Как подключить использование штрих-кодирования на производстве?"}</x:v>
      </x:c>
      <x:c r="D224" s="6" t="str">
        <x:v>{"product":"1С:УНФ 8. Полиграфия 2","version":"3.0.14.140","retrieval_state":"available","handoff_consent":false,"source_faq_id":"poly8-032","group_id":"faq_poly8-032","source_applicability":"confirmed_by_consultant","source_product":"1С:Полиграфия 8","approval_basis":"user_confirmed_consultant_approval"}</x:v>
      </x:c>
      <x:c r="E224" s="6" t="str">
        <x:v>1С:УНФ 8. Полиграфия 2</x:v>
      </x:c>
      <x:c r="F224" s="6" t="str">
        <x:v>3.0.14.140</x:v>
      </x:c>
      <x:c r="G224" s="6" t="str">
        <x:v>not_reported</x:v>
      </x:c>
      <x:c r="H224" s="6" t="str">
        <x:v>default</x:v>
      </x:c>
      <x:c r="I224" s="6" t="str">
        <x:v>Применимость источников и эталона к 1С:УНФ 8. Полиграфия 2, релиз 3.0.14.140, подтверждена консультантом со слов пользователя.</x:v>
      </x:c>
      <x:c r="J224" s="13" t="str">
        <x:v>0</x:v>
      </x:c>
      <x:c r="K224" s="13" t="str">
        <x:v>5</x:v>
      </x:c>
      <x:c r="L224" s="7" t="b">
        <x:v>0</x:v>
      </x:c>
      <x:c r="M224" s="6" t="str">
        <x:v>not_applicable</x:v>
      </x:c>
      <x:c r="N224" s="6" t="str">
        <x:v>[]</x:v>
      </x:c>
      <x:c r="O224" s="7" t="b">
        <x:v>1</x:v>
      </x:c>
      <x:c r="P224" s="6" t="str">
        <x:v>K2</x:v>
      </x:c>
      <x:c r="Q224" s="6" t="str">
        <x:v>K2: история пуста, вопрос соответствует статье FAQ poly8-032; в утверждённом источнике есть достаточный применимый ответ для 3.0.14.140. Бот отвечает сразу с источником.</x:v>
      </x:c>
      <x:c r="R224" s="6" t="str">
        <x:v>["faq","poly8","documented_answer"]</x:v>
      </x:c>
      <x:c r="S224" s="6" t="str">
        <x:v>answer</x:v>
      </x:c>
      <x:c r="T224" s="6" t="str">
        <x:v>["Проверяется подключение торгового оборудования и работоспособность сканера на штрихкоде номенклатуры.","Для производства используются штрихкоды техкарты и обработка поиска по штрихкоду; настройки приведены в изображениях утверждённого источника.","Указать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224"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224" s="6" t="str">
        <x:v>[{"source_file":"/Users/maria/chatbot_rag/knowledge base/faq_articles.jsonl","source_jsonl_line":76,"faq_id":"poly8-032","url":"https://1cpoly.ru/questions/faq-function-poligrafiy/","source_locator":"#field_0 &gt; accordion item 32","title":"Как подключить использование штрих-кодирования на производстве?","source_answer":"1. Необходимо проверить - в данной конфигурации было подключено торговое оборудование.\n\n2. Корректность работы сканера проверяется –\nСоздаем новый штрихкод на закладке элемента справочника номенклатуры, распечатываем его. Открываем справочник номенклатуры, сканируем распечатанный штрихкод – дожна открыться форма соответствующей номенклатуры.\n\nДля демонстрации обработки Поиск по штрихкоду.\nВ настройках параметров учета на закладке Полиграфия должно быть отмечено\n\nДля документов расчета заказа нужно напечатать формы Тех карта\n\nОткрываем обработку «Поиск по штрихкоду». «Печать состояний» - распечатываем\n\nПосле этого можно приступать к демонстрации как это работает.\nОткрываем обработку. Сканируем штрихкод на распечатанной ранее Тех карте. И информация по ней отображается в соответствующих полях.\n\nДля изменения статуса этого Расчета заказа Нужно очистить поле с цифровым значением штрихкода технологической карты\n\nи затем, сканируем штрихкод соответствующего статуса\n\nТаким образом изменяется статус Расчета заказа.\nДля демонстрации обработки «ОтражениеФактаПланированияПолиграфии» Необходимо распечатать штрихкоды сотрудников организации. (Регистр сведений-Штриклды сотрудников организации)\n\nДля того, чтобы в дальнейшем сотрудник мог видеть только свои операции или пустых операций заказа необходимо в настройках роли этого пользователя на закладке «Планирование» отметить\n\nОткрываем обработку «ОтражениеФактаПланированияПолиграфии»\n\nСканируем штрихкод сотрудника\n\nНажимаем ОК и переходим в форму отображения данных планирования по этому сотруднику.","content_sha256":"7916f3d87858defdd427e50ad2c408bebb13b4d7899e67d3b85b01e6b3893b70","saved_at":"2026-10-24T22:59:41.544702+03:00","image_refs":[{"url":"https://1cpoly.ru/i/newcont/ga-unf-051.jpg","local_file":"/Users/maria/Documents/ChatGPT/chatbot/output/faq_1cpoly_prepared_2026-10-25/assets/fd0402a7a56ac11b204b.jpg"},{"url":"https://1cpoly.ru/i/newcont/ga-unf-052.jpg","local_file":"/Users/maria/Documents/ChatGPT/chatbot/output/faq_1cpoly_prepared_2026-10-25/assets/b59563a085b923273a97.jpg"},{"url":"https://1cpoly.ru/i/newcont/ga-unf-053.jpg","local_file":"/Users/maria/Documents/ChatGPT/chatbot/output/faq_1cpoly_prepared_2026-10-25/assets/2b3fa4e31574faf6d9f1.jpg"},{"url":"https://1cpoly.ru/i/newcont/ga-unf-054.jpg","local_file":"/Users/maria/Documents/ChatGPT/chatbot/output/faq_1cpoly_prepared_2026-10-25/assets/c6cc97ebe2c4581d37f6.jpg"},{"url":"https://1cpoly.ru/i/newcont/ga-unf-055.jpg","local_file":"/Users/maria/Documents/ChatGPT/chatbot/output/faq_1cpoly_prepared_2026-10-25/assets/fe176b1d879f8350afa3.jpg"},{"url":"https://1cpoly.ru/i/newcont/ga-unf-056.jpg","local_file":"/Users/maria/Documents/ChatGPT/chatbot/output/faq_1cpoly_prepared_2026-10-25/assets/96f68a0e2e54602491f7.jpg"},{"url":"https://1cpoly.ru/i/newcont/ga-unf-057.jpg","local_file":"/Users/maria/Documents/ChatGPT/chatbot/output/faq_1cpoly_prepared_2026-10-25/assets/f636fb561bfa5258655c.jpg"},{"url":"https://1cpoly.ru/i/newcont/ga-unf-058.jpg","local_file":"/Users/maria/Documents/ChatGPT/chatbot/output/faq_1cpoly_prepared_2026-10-25/assets/826dc2e8c04b4388d280.jpg"},{"url":"https://1cpoly.ru/i/newcont/ga-unf-059.jpg","local_file":"/Users/maria/Documents/ChatGPT/chatbot/output/faq_1cpoly_prepared_2026-10-25/assets/64c7566eaf78dcaea48f.jpg"},{"url":"https://1cpoly.ru/i/newcont/ga-unf-060.jpg","local_file":"/Users/maria/Documents/ChatGPT/chatbot/output/faq_1cpoly_prepared_2026-10-25/assets/41d8d404ffd222ac6355.jpg"},{"url":"https://1cpoly.ru/i/newcont/ga-unf-061.jpg","local_file":"/Users/maria/Documents/ChatGPT/chatbot/output/faq_1cpoly_prepared_2026-10-25/assets/651a91ec25e176a03077.jpg"},{"url":"https://1cpoly.ru/i/newcont/ga-unf-062.jpg","local_file":"/Users/maria/Documents/ChatGPT/chatbot/output/faq_1cpoly_prepared_2026-10-25/assets/ac1049fd959d0e387148.jpg"},{"url":"https://1cpoly.ru/i/newcont/ga-unf-063.jpg","local_file":"/Users/maria/Documents/ChatGPT/chatbot/output/faq_1cpoly_prepared_2026-10-25/assets/c0d94c142f66449bba0b.jpg"},{"url":"https://1cpoly.ru/i/newcont/ga-unf-064.jpg","local_file":"/Users/maria/Documents/ChatGPT/chatbot/output/faq_1cpoly_prepared_2026-10-25/assets/9936455ea337d9425972.jpg"},{"url":"https://1cpoly.ru/i/newcont/ga-unf-065.jpg","local_file":"/Users/maria/Documents/ChatGPT/chatbot/output/faq_1cpoly_prepared_2026-10-25/assets/f25114994890ef731e97.jpg"},{"url":"https://1cpoly.ru/i/newcont/ga-unf-066.jpg","local_file":"/Users/maria/Documents/ChatGPT/chatbot/output/faq_1cpoly_prepared_2026-10-25/assets/ad4da235ef057fbf0f93.jpg"},{"url":"https://1cpoly.ru/i/newcont/ga-unf-067.jpg","local_file":"/Users/maria/Documents/ChatGPT/chatbot/output/faq_1cpoly_prepared_2026-10-25/assets/a858e26a667301a68448.jpg"}],"applicability_check":"confirmed_by_consultant","required_facts":["Проверяется подключение торгового оборудования и работоспособность сканера на штрихкоде номенклатуры.","Для производства используются штрихкоды техкарты и обработка поиска по штрихкоду; настройки приведены в изображениях утверждённого источника."],"approval_basis":"user_confirmed_consultant_approval"}]</x:v>
      </x:c>
      <x:c r="W224" s="6" t="str">
        <x:v>["В содержательном ответе отражены следующие подтверждённые пункты: Проверяется подключение торгового оборудования и работоспособность сканера на штрихкоде номенклатуры. Для производства используются штрихкоды техкарты и обработка поиска по штрихкоду; настройки приведены в изображениях утверждённого источника.","Приведена релевантная ссылка на FAQ; смысл ответа согласуется с источником, нет неподтверждённых действий и лишнего уточнения."]</x:v>
      </x:c>
      <x:c r="X224" s="6" t="str">
        <x:v>approved</x:v>
      </x:c>
      <x:c r="Y224" s="6" t="str">
        <x:v>Карточка и применимость источников согласованы консультантом; утверждение подтверждено пользователем 25.10.2026.</x:v>
      </x:c>
      <x:c r="Z224" s="6" t="str">
        <x:v>G-76bc858895daac</x:v>
      </x:c>
      <x:c r="AA224" s="6" t="str">
        <x:v>dev</x:v>
      </x:c>
      <x:c r="AB224" s="6" t="str">
        <x:v>official_faq_entry</x:v>
      </x:c>
    </x:row>
    <x:row r="225" ht="115" customHeight="1">
      <x:c r="A225" s="6" t="str">
        <x:v>OMNI-261420480-M002</x:v>
      </x:c>
      <x:c r="B225" s="6" t="str">
        <x:v>real_anonymized_candidate:omnidesk:261420480:message:2</x:v>
      </x:c>
      <x:c r="C225" s="6" t="str">
        <x:v>{"history":[],"user_message":"Правильно ли я понял, что лицензии на Полиграфию обслуживаются СЛК-сервером, а лицензии на саму 1С это вообще другая песня?\nДругими словами:\nесли мы купим USB-носитель для СЛК, то на наго мы сможем перенести только лицензии на 1С:Полиграфию?\nА лицензии на само 1С:Предприятие у нас по-прежнему будут где-то отдельно лежать на диске.\nИ например будут привязаны к HASP-ключу?\nТо есть в любом случае нам надо будет втыкать в сервер и HASP для лицензий 1С:Предприятие, и СЛК-USB для лицензий 1С:Полиграфии?\nВерно?\nНа один носитель мы не сможем их все вместе сохранить?"}</x:v>
      </x:c>
      <x:c r="D225" s="6" t="str">
        <x:v>{"product":"1С:УНФ 8. Полиграфия 2","version":"3.0.14.140","retrieval_state":"available","handoff_consent":false,"source_case_id":"261420480","group_id":"omnidesk_261420480","target_message_index":2,"history_status":"approved_case_first_turn","reported_release":"not_reported","approval_basis":"user_confirmed_consultant_approval"}</x:v>
      </x:c>
      <x:c r="E225" s="6" t="str">
        <x:v>1С:УНФ 8. Полиграфия 2</x:v>
      </x:c>
      <x:c r="F225" s="6" t="str">
        <x:v>3.0.14.140</x:v>
      </x:c>
      <x:c r="G225" s="6" t="str">
        <x:v>not_reported</x:v>
      </x:c>
      <x:c r="H225" s="6" t="str">
        <x:v>default</x:v>
      </x:c>
      <x:c r="I225" s="6" t="str">
        <x:v>Применимость источников и эталона к 1С:УНФ 8. Полиграфия 2, релиз 3.0.14.140, подтверждена консультантом со слов пользователя.</x:v>
      </x:c>
      <x:c r="J225" s="13" t="str">
        <x:v>0</x:v>
      </x:c>
      <x:c r="K225" s="13" t="str">
        <x:v>5</x:v>
      </x:c>
      <x:c r="L225" s="7" t="b">
        <x:v>0</x:v>
      </x:c>
      <x:c r="M225" s="6" t="str">
        <x:v>not_applicable</x:v>
      </x:c>
      <x:c r="N225" s="6" t="str">
        <x:v>[]</x:v>
      </x:c>
      <x:c r="O225" s="7" t="b">
        <x:v>1</x:v>
      </x:c>
      <x:c r="P225" s="6" t="str">
        <x:v>K2</x:v>
      </x:c>
      <x:c r="Q225" s="6" t="str">
        <x:v>На заданном первом ходе данных достаточно; утверждённые источники дают применимый ответ для 3.0.14.140. Ожидается ответ по существу с источником.</x:v>
      </x:c>
      <x:c r="R225" s="6" t="str">
        <x:v>["omnidesk","real_anonymized","licensing"]</x:v>
      </x:c>
      <x:c r="S225" s="6" t="str">
        <x:v>answer</x:v>
      </x:c>
      <x:c r="T22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СЛК [URL] 1с Предприятие (Платформа) Привязка программной лицензии к аппаратному ключу USB HASP Это нововведение платформы 8.3.14 - см.","Подтверждённый факт из поддержки: документацию на ИТС [URL] Привязка к ключу - это новый способ привязки лицензии, альтернативный привязке к параметрам оборудования компьютера.","Подтверждённый факт из поддержки: Привязка лицензии к ключу доступна в версии платформы 8.3.14, а также в последних версиях платформ 8.3.12 и 8.3.13.","Вежливый деловой русский и понятный следующий шаг; без обвинений и необоснованных обещаний."]</x:v>
      </x:c>
      <x:c r="U22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25" s="6" t="str">
        <x:v>[{"source_file":"/Users/maria/chatbot_rag/knowledge base/omnidesk_cases.jsonl","source_case_id":"261420480","source_jsonl_line":383,"target_message_index":2,"evidence_type":"historical_support_consultant_approved","support_message_indices":[1],"source_answer":"[Поддержка, сообщение №1]\n1. СЛК [URL] 1с Предприятие (Платформа) Привязка программной лицензии к аппаратному ключу USB HASP Это нововведение платформы 8.3.14 - см. документацию на ИТС [URL] Привязка к ключу - это новый способ привязки лицензии, альтернативный привязке к параметрам оборудования компьютера. Привязка лицензии к ключу доступна в версии платформы 8.3.14, а также в последних версиях платформ 8.3.12 и 8.3.13. Это способ не зависит от изменений параметров компьютеров, включая виртуальные. Параметры ключа более стабильны, и ломаются ключи редко.","corpus_check":"confirmed_by_consultant_per_user","release_applicability":"confirmed_by_consultant","required_facts":["СЛК [URL] 1с Предприятие (Платформа) Привязка программной лицензии к аппаратному ключу USB HASP Это нововведение платформы 8.3.14 - см.","документацию на ИТС [URL] Привязка к ключу - это новый способ привязки лицензии, альтернативный привязке к параметрам оборудования компьютера.","Привязка лицензии к ключу доступна в версии платформы 8.3.14, а также в последних версиях платформ 8.3.12 и 8.3.13."],"approval_basis":"user_confirmed_consultant_approval"}]</x:v>
      </x:c>
      <x:c r="W22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25" s="6" t="str">
        <x:v>approved</x:v>
      </x:c>
      <x:c r="Y225" s="6" t="str">
        <x:v>Карточка и применимость источников согласованы консультантом; утверждение подтверждено пользователем 25.10.2026.</x:v>
      </x:c>
      <x:c r="Z225" s="6" t="str">
        <x:v>G-f9fb4a97df4830</x:v>
      </x:c>
      <x:c r="AA225" s="6" t="str">
        <x:v>dev</x:v>
      </x:c>
      <x:c r="AB225" s="6" t="str">
        <x:v>real_anonymized_candidate</x:v>
      </x:c>
    </x:row>
    <x:row r="226" ht="115" customHeight="1">
      <x:c r="A226" s="6" t="str">
        <x:v>OMNI-229827988-M002</x:v>
      </x:c>
      <x:c r="B226" s="6" t="str">
        <x:v>real_anonymized_candidate:omnidesk:229827988:message:2</x:v>
      </x:c>
      <x:c r="C226" s="6" t="str">
        <x:v>{"history":[],"user_message":"В наименование участвует то, что забито в номенклатуре, называть технологические карты так же, как и наименование? Где участвует то название, из тех. карт?"}</x:v>
      </x:c>
      <x:c r="D226" s="6" t="str">
        <x:v>{"product":"1С:УНФ 8. Полиграфия 2","version":"3.0.14.140","retrieval_state":"available","handoff_consent":false,"source_case_id":"229827988","group_id":"omnidesk_229827988","target_message_index":2,"history_status":"approved_case_first_turn","reported_release":"not_reported","approval_basis":"user_confirmed_consultant_approval"}</x:v>
      </x:c>
      <x:c r="E226" s="6" t="str">
        <x:v>1С:УНФ 8. Полиграфия 2</x:v>
      </x:c>
      <x:c r="F226" s="6" t="str">
        <x:v>3.0.14.140</x:v>
      </x:c>
      <x:c r="G226" s="6" t="str">
        <x:v>not_reported</x:v>
      </x:c>
      <x:c r="H226" s="6" t="str">
        <x:v>default</x:v>
      </x:c>
      <x:c r="I226" s="6" t="str">
        <x:v>Применимость источников и эталона к 1С:УНФ 8. Полиграфия 2, релиз 3.0.14.140, подтверждена консультантом со слов пользователя.</x:v>
      </x:c>
      <x:c r="J226" s="13" t="str">
        <x:v>0</x:v>
      </x:c>
      <x:c r="K226" s="13" t="str">
        <x:v>5</x:v>
      </x:c>
      <x:c r="L226" s="7" t="b">
        <x:v>0</x:v>
      </x:c>
      <x:c r="M226" s="6" t="str">
        <x:v>not_applicable</x:v>
      </x:c>
      <x:c r="N226" s="6" t="str">
        <x:v>[]</x:v>
      </x:c>
      <x:c r="O226" s="7" t="b">
        <x:v>1</x:v>
      </x:c>
      <x:c r="P226" s="6" t="str">
        <x:v>K2</x:v>
      </x:c>
      <x:c r="Q226" s="6" t="str">
        <x:v>На заданном первом ходе данных достаточно; утверждённые источники дают применимый ответ для 3.0.14.140. Ожидается ответ по существу с источником.</x:v>
      </x:c>
      <x:c r="R226" s="6" t="str">
        <x:v>["omnidesk","real_anonymized","materials","printing_forms"]</x:v>
      </x:c>
      <x:c r="S226" s="6" t="str">
        <x:v>answer</x:v>
      </x:c>
      <x:c r="T22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Справочник «Технологическая карта флексопечать» предназначен для хранения сведений об используемых красках и пантонах при производстве продукции по технологии флексопечати.","Подтверждённый факт из поддержки: Справочник имеет две формы представления информации: форму списка и форму элемента.","Подтверждённый факт из поддержки: Форма списка имеет иерархическую структуру и позволяет создавать неограниченное число вложенных каталогов.","Вежливый деловой русский и понятный следующий шаг; без обвинений и необоснованных обещаний."]</x:v>
      </x:c>
      <x:c r="U22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26" s="6" t="str">
        <x:v>[{"source_file":"/Users/maria/chatbot_rag/knowledge base/omnidesk_cases.jsonl","source_case_id":"229827988","source_jsonl_line":453,"target_message_index":2,"evidence_type":"historical_support_consultant_approved","support_message_indices":[1],"source_answer":"[Поддержка, сообщение №1]\nСправочник «Технологическая карта флексопечать» предназначен для хранения сведений об используемых красках и пантонах при производстве продукции по технологии флексопечати. Справочник имеет две формы представления информации: форму списка и форму элемента. Форма списка имеет иерархическую структуру и позволяет создавать неограниченное число вложенных каталогов. Заполнение реквизитов технологической карты осуществляется в форме элемента справочника. Реквизиты технологической карты: - Наименование – наименование служит для условного обозначения данной технологической карты. - Вид изделия – вид изделия, для которого составляется технологическая карта (выбирается элемент справочника «Вид изделия»). - Оборудование – информационное поле, которое может быть заполнено печатным оборудованием, для которого будет использоваться данная технологическая карта. - Скорость – скорость указанного печатного оборудования. Табличная часть имеет следующие реквизиты: - Краска – краска (элемент справочника «Номенклатура») или пантон (элемент справочника «Пантоны»), которые используются при производстве данной продукции. - Характеристика – характеристика краски. - Анилокс/Сетка – характеристика растрового вала, который используется при флексопечати данной продукции и применяется для выбранной краски. - Процент запечатки – процент запечатки для выбранной краски. - Оптическая плотность – характеристика краски (мера непрозрачности краски для световых лучей). - Коэффициент растискивания – степень увеличения площади печатных элементов в процессе печати. Сведения из технологической карты используются для расчета расхода краски при расчете заказа флексопечати и включаются в печатную форму «Технологическая карта» при формировании документа «Расчет флексопечати». Значения из данного справочника заполняются в реквизите «Тех. карта» на закладке «Сведения» документа «Расчет флексопечати», если в настройках «Панель администрирования Полиграфии – Флексопечать» параметр Вариант учета технологической карты флексопечати установлен «на заказ». Если параметр «Вариант учета технологической карты флексопечати» установлен «на продукцию», то технологическая карта указывается для каждой продукции заказа на закладке «Пресс» в табличной части «Номенклатура заказа» блока «Расположение печатной продукции».","corpus_check":"confirmed_by_consultant_per_user","release_applicability":"confirmed_by_consultant","required_facts":["Справочник «Технологическая карта флексопечать» предназначен для хранения сведений об используемых красках и пантонах при производстве продукции по технологии флексопечати.","Справочник имеет две формы представления информации: форму списка и форму элемента.","Форма списка имеет иерархическую структуру и позволяет создавать неограниченное число вложенных каталогов."],"approval_basis":"user_confirmed_consultant_approval"}]</x:v>
      </x:c>
      <x:c r="W22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26" s="6" t="str">
        <x:v>approved</x:v>
      </x:c>
      <x:c r="Y226" s="6" t="str">
        <x:v>Карточка и применимость источников согласованы консультантом; утверждение подтверждено пользователем 25.10.2026.</x:v>
      </x:c>
      <x:c r="Z226" s="6" t="str">
        <x:v>G-135c1bf0ffe9c5</x:v>
      </x:c>
      <x:c r="AA226" s="6" t="str">
        <x:v>dev</x:v>
      </x:c>
      <x:c r="AB226" s="6" t="str">
        <x:v>real_anonymized_candidate</x:v>
      </x:c>
    </x:row>
    <x:row r="227" ht="115" customHeight="1">
      <x:c r="A227" s="6" t="str">
        <x:v>OMNI-422983543-M001</x:v>
      </x:c>
      <x:c r="B227" s="6" t="str">
        <x:v>real_anonymized_candidate:omnidesk:422983543:message:1</x:v>
      </x:c>
      <x:c r="C227" s="6" t="str">
        <x:v>{"history":[],"user_message":"Возможно ли ввести произвольное название продукции (заказа)? Или только из справочника Номенклатуры?"}</x:v>
      </x:c>
      <x:c r="D227" s="6" t="str">
        <x:v>{"product":"1С:УНФ 8. Полиграфия 2","version":"3.0.14.140","retrieval_state":"available","handoff_consent":false,"source_case_id":"422983543","group_id":"omnidesk_422983543","target_message_index":1,"history_status":"approved_case_first_turn","reported_release":"not_reported","approval_basis":"user_confirmed_consultant_approval"}</x:v>
      </x:c>
      <x:c r="E227" s="6" t="str">
        <x:v>1С:УНФ 8. Полиграфия 2</x:v>
      </x:c>
      <x:c r="F227" s="6" t="str">
        <x:v>3.0.14.140</x:v>
      </x:c>
      <x:c r="G227" s="6" t="str">
        <x:v>not_reported</x:v>
      </x:c>
      <x:c r="H227" s="6" t="str">
        <x:v>default</x:v>
      </x:c>
      <x:c r="I227" s="6" t="str">
        <x:v>Применимость источников и эталона к 1С:УНФ 8. Полиграфия 2, релиз 3.0.14.140, подтверждена консультантом со слов пользователя.</x:v>
      </x:c>
      <x:c r="J227" s="13" t="str">
        <x:v>0</x:v>
      </x:c>
      <x:c r="K227" s="13" t="str">
        <x:v>5</x:v>
      </x:c>
      <x:c r="L227" s="7" t="b">
        <x:v>0</x:v>
      </x:c>
      <x:c r="M227" s="6" t="str">
        <x:v>not_applicable</x:v>
      </x:c>
      <x:c r="N227" s="6" t="str">
        <x:v>[]</x:v>
      </x:c>
      <x:c r="O227" s="7" t="b">
        <x:v>1</x:v>
      </x:c>
      <x:c r="P227" s="6" t="str">
        <x:v>K2</x:v>
      </x:c>
      <x:c r="Q227" s="6" t="str">
        <x:v>На заданном первом ходе данных достаточно; утверждённые источники дают применимый ответ для 3.0.14.140. Ожидается ответ по существу с источником.</x:v>
      </x:c>
      <x:c r="R227" s="6" t="str">
        <x:v>["omnidesk","real_anonymized","materials"]</x:v>
      </x:c>
      <x:c r="S227" s="6" t="str">
        <x:v>answer</x:v>
      </x:c>
      <x:c r="T22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Только из справочника номенклатуры.","Подтверждённый факт из поддержки: Но, если нужно индивидуальные параметры (печать 4+0, фальцовка гармошкой и т.д.","Подтверждённый факт из поддержки: и т.п ), то используйте колонку Содержание в ЗП.","Вежливый деловой русский и понятный следующий шаг; без обвинений и необоснованных обещаний."]</x:v>
      </x:c>
      <x:c r="U22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27" s="6" t="str">
        <x:v>[{"source_file":"/Users/maria/chatbot_rag/knowledge base/omnidesk_cases.jsonl","source_case_id":"422983543","source_jsonl_line":14,"target_message_index":1,"evidence_type":"historical_support_consultant_approved","support_message_indices":[2],"source_answer":"[Поддержка, сообщение №2]\nВасилий! Только из справочника номенклатуры. Но, если нужно индивидуальные параметры (печать 4+0, фальцовка гармошкой и т.д. и т.п ), то используйте колонку Содержание в ЗП. Тогда и в счете, и в расходной накладной будет выводиться значение из этой колонки.","corpus_check":"confirmed_by_consultant_per_user","release_applicability":"confirmed_by_consultant","required_facts":["Только из справочника номенклатуры.","Но, если нужно индивидуальные параметры (печать 4+0, фальцовка гармошкой и т.д.","и т.п ), то используйте колонку Содержание в ЗП."],"approval_basis":"user_confirmed_consultant_approval"}]</x:v>
      </x:c>
      <x:c r="W22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27" s="6" t="str">
        <x:v>approved</x:v>
      </x:c>
      <x:c r="Y227" s="6" t="str">
        <x:v>Карточка и применимость источников согласованы консультантом; утверждение подтверждено пользователем 25.10.2026.</x:v>
      </x:c>
      <x:c r="Z227" s="6" t="str">
        <x:v>G-19d38573a0161b</x:v>
      </x:c>
      <x:c r="AA227" s="6" t="str">
        <x:v>dev</x:v>
      </x:c>
      <x:c r="AB227" s="6" t="str">
        <x:v>real_anonymized_candidate</x:v>
      </x:c>
    </x:row>
    <x:row r="228" ht="115" customHeight="1">
      <x:c r="A228" s="6" t="str">
        <x:v>OMNI-419354462-M001</x:v>
      </x:c>
      <x:c r="B228" s="6" t="str">
        <x:v>real_anonymized_candidate:omnidesk:419354462:message:1</x:v>
      </x:c>
      <x:c r="C228" s="6" t="str">
        <x:v>{"history":[],"user_message":"Подскажите, пожалуйста, как с 1С:УНФ 8. Полиграфия 2 ([IP_ADDRESS]) перейти на С:УНФ 8. Полиграфия 2 ( [IP_ADDRESS] ) с наименьшими возможными проблемами? Что нужно устанавливать платформу 1с 8.5 мы знаем."}</x:v>
      </x:c>
      <x:c r="D228" s="6" t="str">
        <x:v>{"product":"1С:УНФ 8. Полиграфия 2","version":"3.0.14.140","retrieval_state":"available","handoff_consent":false,"source_case_id":"419354462","group_id":"omnidesk_419354462","target_message_index":1,"history_status":"approved_case_first_turn","reported_release":"not_reported","approval_basis":"user_confirmed_consultant_approval"}</x:v>
      </x:c>
      <x:c r="E228" s="6" t="str">
        <x:v>1С:УНФ 8. Полиграфия 2</x:v>
      </x:c>
      <x:c r="F228" s="6" t="str">
        <x:v>3.0.14.140</x:v>
      </x:c>
      <x:c r="G228" s="6" t="str">
        <x:v>not_reported</x:v>
      </x:c>
      <x:c r="H228" s="6" t="str">
        <x:v>default</x:v>
      </x:c>
      <x:c r="I228" s="6" t="str">
        <x:v>Применимость источников и эталона к 1С:УНФ 8. Полиграфия 2, релиз 3.0.14.140, подтверждена консультантом со слов пользователя.</x:v>
      </x:c>
      <x:c r="J228" s="13" t="str">
        <x:v>0</x:v>
      </x:c>
      <x:c r="K228" s="13" t="str">
        <x:v>5</x:v>
      </x:c>
      <x:c r="L228" s="7" t="b">
        <x:v>0</x:v>
      </x:c>
      <x:c r="M228" s="6" t="str">
        <x:v>not_applicable</x:v>
      </x:c>
      <x:c r="N228" s="6" t="str">
        <x:v>[]</x:v>
      </x:c>
      <x:c r="O228" s="7" t="b">
        <x:v>1</x:v>
      </x:c>
      <x:c r="P228" s="6" t="str">
        <x:v>K2</x:v>
      </x:c>
      <x:c r="Q228" s="6" t="str">
        <x:v>На заданном первом ходе данных достаточно; утверждённые источники дают применимый ответ для 3.0.14.140. Ожидается ответ по существу с источником.</x:v>
      </x:c>
      <x:c r="R228" s="6" t="str">
        <x:v>["omnidesk","real_anonymized","product_function"]</x:v>
      </x:c>
      <x:c r="S228" s="6" t="str">
        <x:v>answer</x:v>
      </x:c>
      <x:c r="T22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 портале [URL] Скачать и последовательно установить все обновления (это будут шаблоны обновлений) и далее уже устанавливать.","Подтверждённый факт из поддержки: после каждой установки проверяйте, что все обновления прошли успешно.","Вежливый деловой русский и понятный следующий шаг; без обвинений и необоснованных обещаний."]</x:v>
      </x:c>
      <x:c r="U22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28" s="6" t="str">
        <x:v>[{"source_file":"/Users/maria/chatbot_rag/knowledge base/omnidesk_cases.jsonl","source_case_id":"419354462","source_jsonl_line":23,"target_message_index":1,"evidence_type":"historical_support_consultant_approved","support_message_indices":[2],"source_answer":"[Поддержка, сообщение №2]\nНа портале [URL] Скачать и последовательно установить все обновления (это будут шаблоны обновлений) и далее уже устанавливать. обновления. после каждой установки проверяйте, что все обновления прошли успешно.","corpus_check":"confirmed_by_consultant_per_user","release_applicability":"confirmed_by_consultant","required_facts":["На портале [URL] Скачать и последовательно установить все обновления (это будут шаблоны обновлений) и далее уже устанавливать.","после каждой установки проверяйте, что все обновления прошли успешно."],"approval_basis":"user_confirmed_consultant_approval"}]</x:v>
      </x:c>
      <x:c r="W22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28" s="6" t="str">
        <x:v>approved</x:v>
      </x:c>
      <x:c r="Y228" s="6" t="str">
        <x:v>Карточка и применимость источников согласованы консультантом; утверждение подтверждено пользователем 25.10.2026.</x:v>
      </x:c>
      <x:c r="Z228" s="6" t="str">
        <x:v>G-8ec13eca5c3f34</x:v>
      </x:c>
      <x:c r="AA228" s="6" t="str">
        <x:v>dev</x:v>
      </x:c>
      <x:c r="AB228" s="6" t="str">
        <x:v>real_anonymized_candidate</x:v>
      </x:c>
    </x:row>
    <x:row r="229" ht="115" customHeight="1">
      <x:c r="A229" s="6" t="str">
        <x:v>OMNI-10832917-M002</x:v>
      </x:c>
      <x:c r="B229" s="6" t="str">
        <x:v>real_anonymized_candidate:omnidesk:10832917:message:2</x:v>
      </x:c>
      <x:c r="C229" s="6" t="str">
        <x:v>{"history":[],"user_message":"При попытке посчитать заказ выходит сообщение:\nУ элемента справочника \"номенклатура\" \"Colotech(это бумага для печати)\" не задана цена с типом розничная.\nХотя документ Установка цен номенклатуры успешно проведен."}</x:v>
      </x:c>
      <x:c r="D229" s="6" t="str">
        <x:v>{"product":"1С:УНФ 8. Полиграфия 2","version":"3.0.14.140","retrieval_state":"available","handoff_consent":false,"source_case_id":"10832917","group_id":"omnidesk_10832917","target_message_index":2,"history_status":"approved_case_first_turn","reported_release":"not_reported","approval_basis":"user_confirmed_consultant_approval"}</x:v>
      </x:c>
      <x:c r="E229" s="6" t="str">
        <x:v>1С:УНФ 8. Полиграфия 2</x:v>
      </x:c>
      <x:c r="F229" s="6" t="str">
        <x:v>3.0.14.140</x:v>
      </x:c>
      <x:c r="G229" s="6" t="str">
        <x:v>not_reported</x:v>
      </x:c>
      <x:c r="H229" s="6" t="str">
        <x:v>default</x:v>
      </x:c>
      <x:c r="I229" s="6" t="str">
        <x:v>Применимость источников и эталона к 1С:УНФ 8. Полиграфия 2, релиз 3.0.14.140, подтверждена консультантом со слов пользователя.</x:v>
      </x:c>
      <x:c r="J229" s="13" t="str">
        <x:v>0</x:v>
      </x:c>
      <x:c r="K229" s="13" t="str">
        <x:v>5</x:v>
      </x:c>
      <x:c r="L229" s="7" t="b">
        <x:v>0</x:v>
      </x:c>
      <x:c r="M229" s="6" t="str">
        <x:v>not_applicable</x:v>
      </x:c>
      <x:c r="N229" s="6" t="str">
        <x:v>[]</x:v>
      </x:c>
      <x:c r="O229" s="7" t="b">
        <x:v>1</x:v>
      </x:c>
      <x:c r="P229" s="6" t="str">
        <x:v>K2</x:v>
      </x:c>
      <x:c r="Q229" s="6" t="str">
        <x:v>На заданном первом ходе данных достаточно; утверждённые источники дают применимый ответ для 3.0.14.140. Ожидается ответ по существу с источником.</x:v>
      </x:c>
      <x:c r="R229" s="6" t="str">
        <x:v>["omnidesk","real_anonymized","materials"]</x:v>
      </x:c>
      <x:c r="S229" s="6" t="str">
        <x:v>answer</x:v>
      </x:c>
      <x:c r="T22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Ознакомьтесь пожалуйста с регламентом работы тех поддержки.","Подтверждённый факт из поддержки: Обратите внимание на дату документа Установка цен номенклатуры (если есть и характеристики тоже) и дату расчета заказа, она должна быть старше.","Вежливый деловой русский и понятный следующий шаг; без обвинений и необоснованных обещаний."]</x:v>
      </x:c>
      <x:c r="U22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29" s="6" t="str">
        <x:v>[{"source_file":"/Users/maria/chatbot_rag/knowledge base/omnidesk_cases.jsonl","source_case_id":"10832917","source_jsonl_line":1253,"target_message_index":2,"evidence_type":"historical_support_consultant_approved","support_message_indices":[1],"source_answer":"[Поддержка, сообщение №1]\n1. Ознакомьтесь пожалуйста с регламентом работы тех поддержки. (см вложение. 2. Обратите внимание на дату документа Установка цен номенклатуры (если есть и характеристики тоже) и дату расчета заказа, она должна быть старше.","corpus_check":"confirmed_by_consultant_per_user","release_applicability":"confirmed_by_consultant","required_facts":["Ознакомьтесь пожалуйста с регламентом работы тех поддержки.","Обратите внимание на дату документа Установка цен номенклатуры (если есть и характеристики тоже) и дату расчета заказа, она должна быть старше."],"approval_basis":"user_confirmed_consultant_approval"}]</x:v>
      </x:c>
      <x:c r="W22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29" s="6" t="str">
        <x:v>approved</x:v>
      </x:c>
      <x:c r="Y229" s="6" t="str">
        <x:v>Карточка и применимость источников согласованы консультантом; утверждение подтверждено пользователем 25.10.2026.</x:v>
      </x:c>
      <x:c r="Z229" s="6" t="str">
        <x:v>G-383f0ae87284d1</x:v>
      </x:c>
      <x:c r="AA229" s="6" t="str">
        <x:v>dev</x:v>
      </x:c>
      <x:c r="AB229" s="6" t="str">
        <x:v>real_anonymized_candidate</x:v>
      </x:c>
    </x:row>
    <x:row r="230" ht="115" customHeight="1">
      <x:c r="A230" s="6" t="str">
        <x:v>OMNI-50748502-M001</x:v>
      </x:c>
      <x:c r="B230" s="6" t="str">
        <x:v>real_anonymized_candidate:omnidesk:50748502:message:1</x:v>
      </x:c>
      <x:c r="C230" s="6" t="str">
        <x:v>{"history":[],"user_message":"Как запустить мастер расчета заказов?\nОн не находится ни в справочной системе, ни через полнотекстовый поиск в 1С:Полиграфии :(\nЯ имею в виду \"Мастер расчета заказов\", работа с которым описана вот на этой странице:\n[URL]\nЗаранее спасибо."}</x:v>
      </x:c>
      <x:c r="D230" s="6" t="str">
        <x:v>{"product":"1С:УНФ 8. Полиграфия 2","version":"3.0.14.140","retrieval_state":"available","handoff_consent":false,"source_case_id":"50748502","group_id":"omnidesk_50748502","target_message_index":1,"history_status":"approved_case_first_turn","reported_release":"not_reported","approval_basis":"user_confirmed_consultant_approval"}</x:v>
      </x:c>
      <x:c r="E230" s="6" t="str">
        <x:v>1С:УНФ 8. Полиграфия 2</x:v>
      </x:c>
      <x:c r="F230" s="6" t="str">
        <x:v>3.0.14.140</x:v>
      </x:c>
      <x:c r="G230" s="6" t="str">
        <x:v>not_reported</x:v>
      </x:c>
      <x:c r="H230" s="6" t="str">
        <x:v>default</x:v>
      </x:c>
      <x:c r="I230" s="6" t="str">
        <x:v>Применимость источников и эталона к 1С:УНФ 8. Полиграфия 2, релиз 3.0.14.140, подтверждена консультантом со слов пользователя.</x:v>
      </x:c>
      <x:c r="J230" s="13" t="str">
        <x:v>0</x:v>
      </x:c>
      <x:c r="K230" s="13" t="str">
        <x:v>5</x:v>
      </x:c>
      <x:c r="L230" s="7" t="b">
        <x:v>0</x:v>
      </x:c>
      <x:c r="M230" s="6" t="str">
        <x:v>not_applicable</x:v>
      </x:c>
      <x:c r="N230" s="6" t="str">
        <x:v>[]</x:v>
      </x:c>
      <x:c r="O230" s="7" t="b">
        <x:v>1</x:v>
      </x:c>
      <x:c r="P230" s="6" t="str">
        <x:v>K2</x:v>
      </x:c>
      <x:c r="Q230" s="6" t="str">
        <x:v>На заданном первом ходе данных достаточно; утверждённые источники дают применимый ответ для 3.0.14.140. Ожидается ответ по существу с источником.</x:v>
      </x:c>
      <x:c r="R230" s="6" t="str">
        <x:v>["omnidesk","real_anonymized","product_function"]</x:v>
      </x:c>
      <x:c r="S230" s="6" t="str">
        <x:v>answer</x:v>
      </x:c>
      <x:c r="T23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Мастер расчета заказов использовался в прежних версиях 1С Полиграфии.","Подтверждённый факт из поддержки: В новых версиях, вместо него используется механизм шаблонов, создание и использование нового шаблона изображено в прикрепленных файлах.","Подтверждённый факт из поддержки: Суть в следующем, из любого Расчета заказа создаем шаблон, данный шаблон сохраняется в Журнале шаблонов.","Вежливый деловой русский и понятный следующий шаг; без обвинений и необоснованных обещаний."]</x:v>
      </x:c>
      <x:c r="U23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30" s="6" t="str">
        <x:v>[{"source_file":"/Users/maria/chatbot_rag/knowledge base/omnidesk_cases.jsonl","source_case_id":"50748502","source_jsonl_line":1004,"target_message_index":1,"evidence_type":"historical_support_consultant_approved","support_message_indices":[2],"source_answer":"[Поддержка, сообщение №2]\nМастер расчета заказов использовался в прежних версиях 1С Полиграфии. В новых версиях, вместо него используется механизм шаблонов, создание и использование нового шаблона изображено в прикрепленных файлах. Суть в следующем, из любого Расчета заказа создаем шаблон, данный шаблон сохраняется в Журнале шаблонов. При создании нового Расчета заказа достаточно лишь нажать кнопку \"Заполнить по шаблону\" и выбрать необходимый.","corpus_check":"confirmed_by_consultant_per_user","release_applicability":"confirmed_by_consultant","required_facts":["Мастер расчета заказов использовался в прежних версиях 1С Полиграфии.","В новых версиях, вместо него используется механизм шаблонов, создание и использование нового шаблона изображено в прикрепленных файлах.","Суть в следующем, из любого Расчета заказа создаем шаблон, данный шаблон сохраняется в Журнале шаблонов."],"approval_basis":"user_confirmed_consultant_approval"}]</x:v>
      </x:c>
      <x:c r="W23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30" s="6" t="str">
        <x:v>approved</x:v>
      </x:c>
      <x:c r="Y230" s="6" t="str">
        <x:v>Карточка и применимость источников согласованы консультантом; утверждение подтверждено пользователем 25.10.2026.</x:v>
      </x:c>
      <x:c r="Z230" s="6" t="str">
        <x:v>G-42985b32b6b403</x:v>
      </x:c>
      <x:c r="AA230" s="6" t="str">
        <x:v>dev</x:v>
      </x:c>
      <x:c r="AB230" s="6" t="str">
        <x:v>real_anonymized_candidate</x:v>
      </x:c>
    </x:row>
    <x:row r="231" ht="115" customHeight="1">
      <x:c r="A231" s="6" t="str">
        <x:v>OMNI-69581623-M001</x:v>
      </x:c>
      <x:c r="B231" s="6" t="str">
        <x:v>real_anonymized_candidate:omnidesk:69581623:message:1</x:v>
      </x:c>
      <x:c r="C231" s="6" t="str">
        <x:v>{"history":[],"user_message":"Не могу понять, почему выдает служебное сообщение «Для операции \"Подготовка макета дизайна\" не найдено время в регистре нормирования» при выборе операции.» При этом в документе «Нормирование операций по времени» время указано. Помогите, пожалуйста, разобраться в чём дело?"}</x:v>
      </x:c>
      <x:c r="D231" s="6" t="str">
        <x:v>{"product":"1С:УНФ 8. Полиграфия 2","version":"3.0.14.140","retrieval_state":"available","handoff_consent":false,"source_case_id":"69581623","group_id":"omnidesk_69581623","target_message_index":1,"history_status":"approved_case_first_turn","reported_release":"not_reported","approval_basis":"user_confirmed_consultant_approval"}</x:v>
      </x:c>
      <x:c r="E231" s="6" t="str">
        <x:v>1С:УНФ 8. Полиграфия 2</x:v>
      </x:c>
      <x:c r="F231" s="6" t="str">
        <x:v>3.0.14.140</x:v>
      </x:c>
      <x:c r="G231" s="6" t="str">
        <x:v>not_reported</x:v>
      </x:c>
      <x:c r="H231" s="6" t="str">
        <x:v>default</x:v>
      </x:c>
      <x:c r="I231" s="6" t="str">
        <x:v>Применимость источников и эталона к 1С:УНФ 8. Полиграфия 2, релиз 3.0.14.140, подтверждена консультантом со слов пользователя.</x:v>
      </x:c>
      <x:c r="J231" s="13" t="str">
        <x:v>0</x:v>
      </x:c>
      <x:c r="K231" s="13" t="str">
        <x:v>5</x:v>
      </x:c>
      <x:c r="L231" s="7" t="b">
        <x:v>0</x:v>
      </x:c>
      <x:c r="M231" s="6" t="str">
        <x:v>not_applicable</x:v>
      </x:c>
      <x:c r="N231" s="6" t="str">
        <x:v>[]</x:v>
      </x:c>
      <x:c r="O231" s="7" t="b">
        <x:v>1</x:v>
      </x:c>
      <x:c r="P231" s="6" t="str">
        <x:v>K2</x:v>
      </x:c>
      <x:c r="Q231" s="6" t="str">
        <x:v>На заданном первом ходе данных достаточно; утверждённые источники дают применимый ответ для 3.0.14.140. Ожидается ответ по существу с источником.</x:v>
      </x:c>
      <x:c r="R231" s="6" t="str">
        <x:v>["omnidesk","real_anonymized","cost_calculation"]</x:v>
      </x:c>
      <x:c r="S231" s="6" t="str">
        <x:v>answer</x:v>
      </x:c>
      <x:c r="T23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Обращайте внимание на время регистрации документа.","Подтверждённый факт из поддержки: У вас нормирование от 10/10/2019, а документ от 27/09/2019.","Подтверждённый факт из поддержки: Конечно до 27 -го 16-0 дальше не видно.","Вежливый деловой русский и понятный следующий шаг; без обвинений и необоснованных обещаний."]</x:v>
      </x:c>
      <x:c r="U23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31" s="6" t="str">
        <x:v>[{"source_file":"/Users/maria/chatbot_rag/knowledge base/omnidesk_cases.jsonl","source_case_id":"69581623","source_jsonl_line":867,"target_message_index":1,"evidence_type":"historical_support_consultant_approved","support_message_indices":[3],"source_answer":"[Поддержка, сообщение №3]\nОбращайте внимание на время регистрации документа. У вас нормирование от 10/10/2019, а документ от 27/09/2019. Конечно до 27 -го 16-0 дальше не видно. Поставьте в нормировании 26/09 например (или на секунду раньше, чем расчет заказа )","corpus_check":"confirmed_by_consultant_per_user","release_applicability":"confirmed_by_consultant","required_facts":["Обращайте внимание на время регистрации документа.","У вас нормирование от 10/10/2019, а документ от 27/09/2019.","Конечно до 27 -го 16-0 дальше не видно."],"approval_basis":"user_confirmed_consultant_approval"}]</x:v>
      </x:c>
      <x:c r="W23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31" s="6" t="str">
        <x:v>approved</x:v>
      </x:c>
      <x:c r="Y231" s="6" t="str">
        <x:v>Карточка и применимость источников согласованы консультантом; утверждение подтверждено пользователем 25.10.2026.</x:v>
      </x:c>
      <x:c r="Z231" s="6" t="str">
        <x:v>G-46ade200d208ce</x:v>
      </x:c>
      <x:c r="AA231" s="6" t="str">
        <x:v>dev</x:v>
      </x:c>
      <x:c r="AB231" s="6" t="str">
        <x:v>real_anonymized_candidate</x:v>
      </x:c>
    </x:row>
    <x:row r="232" ht="115" customHeight="1">
      <x:c r="A232" s="6" t="str">
        <x:v>OMNI-190090109-M001</x:v>
      </x:c>
      <x:c r="B232" s="6" t="str">
        <x:v>real_anonymized_candidate:omnidesk:190090109:message:1</x:v>
      </x:c>
      <x:c r="C232" s="6" t="str">
        <x:v>{"history":[],"user_message":"Возможно ли установить сервер слк для Полиграфии 1 и Полиграфии 2?"}</x:v>
      </x:c>
      <x:c r="D232" s="6" t="str">
        <x:v>{"product":"1С:УНФ 8. Полиграфия 2","version":"3.0.14.140","retrieval_state":"available","handoff_consent":false,"source_case_id":"190090109","group_id":"omnidesk_190090109","target_message_index":1,"history_status":"approved_case_first_turn","reported_release":"not_reported","approval_basis":"user_confirmed_consultant_approval"}</x:v>
      </x:c>
      <x:c r="E232" s="6" t="str">
        <x:v>1С:УНФ 8. Полиграфия 2</x:v>
      </x:c>
      <x:c r="F232" s="6" t="str">
        <x:v>3.0.14.140</x:v>
      </x:c>
      <x:c r="G232" s="6" t="str">
        <x:v>not_reported</x:v>
      </x:c>
      <x:c r="H232" s="6" t="str">
        <x:v>default</x:v>
      </x:c>
      <x:c r="I232" s="6" t="str">
        <x:v>Применимость источников и эталона к 1С:УНФ 8. Полиграфия 2, релиз 3.0.14.140, подтверждена консультантом со слов пользователя.</x:v>
      </x:c>
      <x:c r="J232" s="13" t="str">
        <x:v>0</x:v>
      </x:c>
      <x:c r="K232" s="13" t="str">
        <x:v>5</x:v>
      </x:c>
      <x:c r="L232" s="7" t="b">
        <x:v>0</x:v>
      </x:c>
      <x:c r="M232" s="6" t="str">
        <x:v>not_applicable</x:v>
      </x:c>
      <x:c r="N232" s="6" t="str">
        <x:v>[]</x:v>
      </x:c>
      <x:c r="O232" s="7" t="b">
        <x:v>1</x:v>
      </x:c>
      <x:c r="P232" s="6" t="str">
        <x:v>K2</x:v>
      </x:c>
      <x:c r="Q232" s="6" t="str">
        <x:v>На заданном первом ходе данных достаточно; утверждённые источники дают применимый ответ для 3.0.14.140. Ожидается ответ по существу с источником.</x:v>
      </x:c>
      <x:c r="R232" s="6" t="str">
        <x:v>["omnidesk","real_anonymized","licensing"]</x:v>
      </x:c>
      <x:c r="S232" s="6" t="str">
        <x:v>answer</x:v>
      </x:c>
      <x:c r="T23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Ресурс предназначен для зарегистрированных пользователей наших продуктов.","Подтверждённый факт из поддержки: Сообщите наименование вашей организации, рег № программного продукта.","Вежливый деловой русский и понятный следующий шаг; без обвинений и необоснованных обещаний."]</x:v>
      </x:c>
      <x:c r="U23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32" s="6" t="str">
        <x:v>[{"source_file":"/Users/maria/chatbot_rag/knowledge base/omnidesk_cases.jsonl","source_case_id":"190090109","source_jsonl_line":516,"target_message_index":1,"evidence_type":"historical_support_consultant_approved","support_message_indices":[2,4],"source_answer":"[Поддержка, сообщение №2]\nРесурс предназначен для зарегистрированных пользователей наших продуктов. с ативной подпиской ИТС. Сообщите наименование вашей организации, рег № программного продукта.\n\n[Поддержка, сообщение №4]\nОформите подписку. Возможно ли установить сервер слк для Полиграфии 1 и Полиграфии 2? ДА.","corpus_check":"confirmed_by_consultant_per_user","release_applicability":"confirmed_by_consultant","required_facts":["Ресурс предназначен для зарегистрированных пользователей наших продуктов.","Сообщите наименование вашей организации, рег № программного продукта."],"approval_basis":"user_confirmed_consultant_approval"}]</x:v>
      </x:c>
      <x:c r="W23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32" s="6" t="str">
        <x:v>approved</x:v>
      </x:c>
      <x:c r="Y232" s="6" t="str">
        <x:v>Карточка и применимость источников согласованы консультантом; утверждение подтверждено пользователем 25.10.2026.</x:v>
      </x:c>
      <x:c r="Z232" s="6" t="str">
        <x:v>G-60153e5bdaf017</x:v>
      </x:c>
      <x:c r="AA232" s="6" t="str">
        <x:v>dev</x:v>
      </x:c>
      <x:c r="AB232" s="6" t="str">
        <x:v>real_anonymized_candidate</x:v>
      </x:c>
    </x:row>
    <x:row r="233" ht="115" customHeight="1">
      <x:c r="A233" s="6" t="str">
        <x:v>OMNI-112889205-M001</x:v>
      </x:c>
      <x:c r="B233" s="6" t="str">
        <x:v>real_anonymized_candidate:omnidesk:112889205:message:1</x:v>
      </x:c>
      <x:c r="C233" s="6" t="str">
        <x:v>{"history":[],"user_message":"Можно ли как-то в шаблоне сложного заказа использовать ранее разработанные шаблоны расчета составляющих?\nНапример, разработал я Шаблон расчета составляющей \"Печать блока книги\", и вставляю его во все шаблоны типа \"Книга\".\nИ если мне надо например чтобы одновременно во всех шаблонах расчета сложного заказа поменялся расчет Блока -- я меняю один шаблон расчета составляющей, и это вызывает изменение во всех шаблонах расчетов сложного заказа, в которых используется этот шаблон расчета составляющей?\nНе могу найти нигде указание на наличие или отсутствие такого механизма.\nЯ не призываю его делать (потому что не могу пока что представить себе все плюсы и минусы), просто хочу уточнить -- есть он или нет.\nЗаранее спасибо!"}</x:v>
      </x:c>
      <x:c r="D233" s="6" t="str">
        <x:v>{"product":"1С:УНФ 8. Полиграфия 2","version":"3.0.14.140","retrieval_state":"available","handoff_consent":false,"source_case_id":"112889205","group_id":"omnidesk_112889205","target_message_index":1,"history_status":"approved_case_first_turn","reported_release":"not_reported","approval_basis":"user_confirmed_consultant_approval"}</x:v>
      </x:c>
      <x:c r="E233" s="6" t="str">
        <x:v>1С:УНФ 8. Полиграфия 2</x:v>
      </x:c>
      <x:c r="F233" s="6" t="str">
        <x:v>3.0.14.140</x:v>
      </x:c>
      <x:c r="G233" s="6" t="str">
        <x:v>not_reported</x:v>
      </x:c>
      <x:c r="H233" s="6" t="str">
        <x:v>default</x:v>
      </x:c>
      <x:c r="I233" s="6" t="str">
        <x:v>Применимость источников и эталона к 1С:УНФ 8. Полиграфия 2, релиз 3.0.14.140, подтверждена консультантом со слов пользователя.</x:v>
      </x:c>
      <x:c r="J233" s="13" t="str">
        <x:v>0</x:v>
      </x:c>
      <x:c r="K233" s="13" t="str">
        <x:v>5</x:v>
      </x:c>
      <x:c r="L233" s="7" t="b">
        <x:v>0</x:v>
      </x:c>
      <x:c r="M233" s="6" t="str">
        <x:v>not_applicable</x:v>
      </x:c>
      <x:c r="N233" s="6" t="str">
        <x:v>[]</x:v>
      </x:c>
      <x:c r="O233" s="7" t="b">
        <x:v>1</x:v>
      </x:c>
      <x:c r="P233" s="6" t="str">
        <x:v>K2</x:v>
      </x:c>
      <x:c r="Q233" s="6" t="str">
        <x:v>На заданном первом ходе данных достаточно; утверждённые источники дают применимый ответ для 3.0.14.140. Ожидается ответ по существу с источником.</x:v>
      </x:c>
      <x:c r="R233" s="6" t="str">
        <x:v>["omnidesk","real_anonymized","product_function"]</x:v>
      </x:c>
      <x:c r="S233" s="6" t="str">
        <x:v>answer</x:v>
      </x:c>
      <x:c r="T23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Нет наверное смысла писать об отсутствующих механизмах.","Подтверждённый факт из поддержки: Логика следующая - каждый шаблон, это отдельный документ.","Подтверждённый факт из поддержки: И изменение в одном не повлечет изменение в другом(гих).","Вежливый деловой русский и понятный следующий шаг; без обвинений и необоснованных обещаний."]</x:v>
      </x:c>
      <x:c r="U23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33" s="6" t="str">
        <x:v>[{"source_file":"/Users/maria/chatbot_rag/knowledge base/omnidesk_cases.jsonl","source_case_id":"112889205","source_jsonl_line":770,"target_message_index":1,"evidence_type":"historical_support_consultant_approved","support_message_indices":[2],"source_answer":"[Поддержка, сообщение №2]\nНет наверное смысла писать об отсутствующих механизмах. Логика следующая - каждый шаблон, это отдельный документ. И изменение в одном не повлечет изменение в другом(гих).","corpus_check":"confirmed_by_consultant_per_user","release_applicability":"confirmed_by_consultant","required_facts":["Нет наверное смысла писать об отсутствующих механизмах.","Логика следующая - каждый шаблон, это отдельный документ.","И изменение в одном не повлечет изменение в другом(гих)."],"approval_basis":"user_confirmed_consultant_approval"}]</x:v>
      </x:c>
      <x:c r="W23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33" s="6" t="str">
        <x:v>approved</x:v>
      </x:c>
      <x:c r="Y233" s="6" t="str">
        <x:v>Карточка и применимость источников согласованы консультантом; утверждение подтверждено пользователем 25.10.2026.</x:v>
      </x:c>
      <x:c r="Z233" s="6" t="str">
        <x:v>G-77bdd757386d61</x:v>
      </x:c>
      <x:c r="AA233" s="6" t="str">
        <x:v>dev</x:v>
      </x:c>
      <x:c r="AB233" s="6" t="str">
        <x:v>real_anonymized_candidate</x:v>
      </x:c>
    </x:row>
    <x:row r="234" ht="115" customHeight="1">
      <x:c r="A234" s="6" t="str">
        <x:v>OMNI-346532418-M001</x:v>
      </x:c>
      <x:c r="B234" s="6" t="str">
        <x:v>real_anonymized_candidate:omnidesk:346532418:message:1</x:v>
      </x:c>
      <x:c r="C234" s="6" t="str">
        <x:v>{"history":[],"user_message":"Наш клиент ООО ГЛЛОСС ЛЕЙБЛ [ИНН] КПП [LONG_NUMBER] Рег номер [LONG_NUMBER] Интересуется, поддерживает ли ПП 1С:УНФ 8. Полиграфия 2. работу с сервисом 1С: ЭДО?"}</x:v>
      </x:c>
      <x:c r="D234" s="6" t="str">
        <x:v>{"product":"1С:УНФ 8. Полиграфия 2","version":"3.0.14.140","retrieval_state":"available","handoff_consent":false,"source_case_id":"346532418","group_id":"omnidesk_346532418","target_message_index":1,"history_status":"approved_case_first_turn","reported_release":"not_reported","approval_basis":"user_confirmed_consultant_approval"}</x:v>
      </x:c>
      <x:c r="E234" s="6" t="str">
        <x:v>1С:УНФ 8. Полиграфия 2</x:v>
      </x:c>
      <x:c r="F234" s="6" t="str">
        <x:v>3.0.14.140</x:v>
      </x:c>
      <x:c r="G234" s="6" t="str">
        <x:v>not_reported</x:v>
      </x:c>
      <x:c r="H234" s="6" t="str">
        <x:v>default</x:v>
      </x:c>
      <x:c r="I234" s="6" t="str">
        <x:v>Применимость источников и эталона к 1С:УНФ 8. Полиграфия 2, релиз 3.0.14.140, подтверждена консультантом со слов пользователя.</x:v>
      </x:c>
      <x:c r="J234" s="13" t="str">
        <x:v>0</x:v>
      </x:c>
      <x:c r="K234" s="13" t="str">
        <x:v>5</x:v>
      </x:c>
      <x:c r="L234" s="7" t="b">
        <x:v>0</x:v>
      </x:c>
      <x:c r="M234" s="6" t="str">
        <x:v>not_applicable</x:v>
      </x:c>
      <x:c r="N234" s="6" t="str">
        <x:v>[]</x:v>
      </x:c>
      <x:c r="O234" s="7" t="b">
        <x:v>1</x:v>
      </x:c>
      <x:c r="P234" s="6" t="str">
        <x:v>K2</x:v>
      </x:c>
      <x:c r="Q234" s="6" t="str">
        <x:v>На заданном первом ходе данных достаточно; утверждённые источники дают применимый ответ для 3.0.14.140. Ожидается ответ по существу с источником.</x:v>
      </x:c>
      <x:c r="R234" s="6" t="str">
        <x:v>["omnidesk","real_anonymized","product_function"]</x:v>
      </x:c>
      <x:c r="S234" s="6" t="str">
        <x:v>answer</x:v>
      </x:c>
      <x:c r="T23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конфигурации полностью сохранен функционал типовой УНФ 3.0 [URL]","Вежливый деловой русский и понятный следующий шаг; без обвинений и необоснованных обещаний."]</x:v>
      </x:c>
      <x:c r="U23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34" s="6" t="str">
        <x:v>[{"source_file":"/Users/maria/chatbot_rag/knowledge base/omnidesk_cases.jsonl","source_case_id":"346532418","source_jsonl_line":176,"target_message_index":1,"evidence_type":"historical_support_consultant_approved","support_message_indices":[2],"source_answer":"[Поддержка, сообщение №2]\n1С:УНФ 8. Полиграфия 2. Да, конечно. В конфигурации полностью сохранен функционал типовой УНФ 3.0 [URL]","corpus_check":"confirmed_by_consultant_per_user","release_applicability":"confirmed_by_consultant","required_facts":["В конфигурации полностью сохранен функционал типовой УНФ 3.0 [URL]"],"approval_basis":"user_confirmed_consultant_approval"}]</x:v>
      </x:c>
      <x:c r="W23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34" s="6" t="str">
        <x:v>approved</x:v>
      </x:c>
      <x:c r="Y234" s="6" t="str">
        <x:v>Карточка и применимость источников согласованы консультантом; утверждение подтверждено пользователем 25.10.2026.</x:v>
      </x:c>
      <x:c r="Z234" s="6" t="str">
        <x:v>G-ce88d4262bd670</x:v>
      </x:c>
      <x:c r="AA234" s="6" t="str">
        <x:v>dev</x:v>
      </x:c>
      <x:c r="AB234" s="6" t="str">
        <x:v>real_anonymized_candidate</x:v>
      </x:c>
    </x:row>
    <x:row r="235" ht="115" customHeight="1">
      <x:c r="A235" s="6" t="str">
        <x:v>OMNI-327182205-M001</x:v>
      </x:c>
      <x:c r="B235" s="6" t="str">
        <x:v>real_anonymized_candidate:omnidesk:327182205:message:1</x:v>
      </x:c>
      <x:c r="C235" s="6" t="str">
        <x:v>{"history":[],"user_message":"В 1С есть стандартная настройка -- Настройка работы с файлами (Настройки =&gt; Администрирование).\nИзменение настроек в этом разделе никак не затронет настройку хранения файлов макетов, прилагаемых к расчетам заказов?"}</x:v>
      </x:c>
      <x:c r="D235" s="6" t="str">
        <x:v>{"product":"1С:УНФ 8. Полиграфия 2","version":"3.0.14.140","retrieval_state":"available","handoff_consent":false,"source_case_id":"327182205","group_id":"omnidesk_327182205","target_message_index":1,"history_status":"approved_case_first_turn","reported_release":"not_reported","approval_basis":"user_confirmed_consultant_approval"}</x:v>
      </x:c>
      <x:c r="E235" s="6" t="str">
        <x:v>1С:УНФ 8. Полиграфия 2</x:v>
      </x:c>
      <x:c r="F235" s="6" t="str">
        <x:v>3.0.14.140</x:v>
      </x:c>
      <x:c r="G235" s="6" t="str">
        <x:v>not_reported</x:v>
      </x:c>
      <x:c r="H235" s="6" t="str">
        <x:v>default</x:v>
      </x:c>
      <x:c r="I235" s="6" t="str">
        <x:v>Применимость источников и эталона к 1С:УНФ 8. Полиграфия 2, релиз 3.0.14.140, подтверждена консультантом со слов пользователя.</x:v>
      </x:c>
      <x:c r="J235" s="13" t="str">
        <x:v>0</x:v>
      </x:c>
      <x:c r="K235" s="13" t="str">
        <x:v>5</x:v>
      </x:c>
      <x:c r="L235" s="7" t="b">
        <x:v>0</x:v>
      </x:c>
      <x:c r="M235" s="6" t="str">
        <x:v>not_applicable</x:v>
      </x:c>
      <x:c r="N235" s="6" t="str">
        <x:v>[]</x:v>
      </x:c>
      <x:c r="O235" s="7" t="b">
        <x:v>1</x:v>
      </x:c>
      <x:c r="P235" s="6" t="str">
        <x:v>K2</x:v>
      </x:c>
      <x:c r="Q235" s="6" t="str">
        <x:v>На заданном первом ходе данных достаточно; утверждённые источники дают применимый ответ для 3.0.14.140. Ожидается ответ по существу с источником.</x:v>
      </x:c>
      <x:c r="R235" s="6" t="str">
        <x:v>["omnidesk","real_anonymized","product_function"]</x:v>
      </x:c>
      <x:c r="S235" s="6" t="str">
        <x:v>answer</x:v>
      </x:c>
      <x:c r="T23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Стандартная настройка 1с -это относительно типовых объектов.","Подтверждённый факт из поддержки: Настройка хранения макетов это полиграфические объекты.","Подтверждённый факт из поддержки: И настраивается в панели полиграфии.","Вежливый деловой русский и понятный следующий шаг; без обвинений и необоснованных обещаний."]</x:v>
      </x:c>
      <x:c r="U23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35" s="6" t="str">
        <x:v>[{"source_file":"/Users/maria/chatbot_rag/knowledge base/omnidesk_cases.jsonl","source_case_id":"327182205","source_jsonl_line":254,"target_message_index":1,"evidence_type":"historical_support_consultant_approved","support_message_indices":[2],"source_answer":"[Поддержка, сообщение №2]\nСтандартная настройка 1с -это относительно типовых объектов. Настройка хранения макетов это полиграфические объекты. И настраивается в панели полиграфии. Не затронет.","corpus_check":"confirmed_by_consultant_per_user","release_applicability":"confirmed_by_consultant","required_facts":["Стандартная настройка 1с -это относительно типовых объектов.","Настройка хранения макетов это полиграфические объекты.","И настраивается в панели полиграфии."],"approval_basis":"user_confirmed_consultant_approval"}]</x:v>
      </x:c>
      <x:c r="W23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35" s="6" t="str">
        <x:v>approved</x:v>
      </x:c>
      <x:c r="Y235" s="6" t="str">
        <x:v>Карточка и применимость источников согласованы консультантом; утверждение подтверждено пользователем 25.10.2026.</x:v>
      </x:c>
      <x:c r="Z235" s="6" t="str">
        <x:v>G-7d7c42e24e28b9</x:v>
      </x:c>
      <x:c r="AA235" s="6" t="str">
        <x:v>dev</x:v>
      </x:c>
      <x:c r="AB235" s="6" t="str">
        <x:v>real_anonymized_candidate</x:v>
      </x:c>
    </x:row>
    <x:row r="236" ht="115" customHeight="1">
      <x:c r="A236" s="6" t="str">
        <x:v>OMNI-110655739-M001</x:v>
      </x:c>
      <x:c r="B236" s="6" t="str">
        <x:v>real_anonymized_candidate:omnidesk:110655739:message:1</x:v>
      </x:c>
      <x:c r="C236" s="6" t="str">
        <x:v>{"history":[],"user_message":"Можно ли назначать несколько цен закупки для расчета себестоимости?\nВ \"Панели администрирования полиграфии\" есть вкладка \"Значения по умолчанию\", и там есть два списка видов цен:\n1. Материала заказа (для расчета отпускных цен).\n2. Закупки материалов (для расчета себестоимости).\nУ нас сейчас для части материалов указаны цены закупки в рублях, а для части материалов -- в Евро.\nКаким образом сделать настройку так, чтобы выполнялось логическое условие:\nЕСЛИ у материала указана цена закупки в Евро, то использовать для расчета себестоимости цену в Евро, ИНАЧЕ использовать для расчета себестоимости цену в рублях.\n?\nЗаранее спасибо!"}</x:v>
      </x:c>
      <x:c r="D236" s="6" t="str">
        <x:v>{"product":"1С:УНФ 8. Полиграфия 2","version":"3.0.14.140","retrieval_state":"available","handoff_consent":false,"source_case_id":"110655739","group_id":"omnidesk_110655739","target_message_index":1,"history_status":"approved_case_first_turn","reported_release":"not_reported","approval_basis":"user_confirmed_consultant_approval"}</x:v>
      </x:c>
      <x:c r="E236" s="6" t="str">
        <x:v>1С:УНФ 8. Полиграфия 2</x:v>
      </x:c>
      <x:c r="F236" s="6" t="str">
        <x:v>3.0.14.140</x:v>
      </x:c>
      <x:c r="G236" s="6" t="str">
        <x:v>not_reported</x:v>
      </x:c>
      <x:c r="H236" s="6" t="str">
        <x:v>default</x:v>
      </x:c>
      <x:c r="I236" s="6" t="str">
        <x:v>Применимость источников и эталона к 1С:УНФ 8. Полиграфия 2, релиз 3.0.14.140, подтверждена консультантом со слов пользователя.</x:v>
      </x:c>
      <x:c r="J236" s="13" t="str">
        <x:v>0</x:v>
      </x:c>
      <x:c r="K236" s="13" t="str">
        <x:v>5</x:v>
      </x:c>
      <x:c r="L236" s="7" t="b">
        <x:v>0</x:v>
      </x:c>
      <x:c r="M236" s="6" t="str">
        <x:v>not_applicable</x:v>
      </x:c>
      <x:c r="N236" s="6" t="str">
        <x:v>[]</x:v>
      </x:c>
      <x:c r="O236" s="7" t="b">
        <x:v>1</x:v>
      </x:c>
      <x:c r="P236" s="6" t="str">
        <x:v>K2</x:v>
      </x:c>
      <x:c r="Q236" s="6" t="str">
        <x:v>На заданном первом ходе данных достаточно; утверждённые источники дают применимый ответ для 3.0.14.140. Ожидается ответ по существу с источником.</x:v>
      </x:c>
      <x:c r="R236" s="6" t="str">
        <x:v>["omnidesk","real_anonymized","cost_calculation","materials"]</x:v>
      </x:c>
      <x:c r="S236" s="6" t="str">
        <x:v>answer</x:v>
      </x:c>
      <x:c r="T23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расчете вы указываете одну из А себестоимость будет выбираться по порядку, если не указаны в этом, то будет переходить к другому виду цен.","Вежливый деловой русский и понятный следующий шаг; без обвинений и необоснованных обещаний."]</x:v>
      </x:c>
      <x:c r="U23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36" s="6" t="str">
        <x:v>[{"source_file":"/Users/maria/chatbot_rag/knowledge base/omnidesk_cases.jsonl","source_case_id":"110655739","source_jsonl_line":774,"target_message_index":1,"evidence_type":"historical_support_consultant_approved","support_message_indices":[2],"source_answer":"[Поддержка, сообщение №2]\nЗадача уже была. В расчете вы указываете одну из А себестоимость будет выбираться по порядку, если не указаны в этом, то будет переходить к другому виду цен.","corpus_check":"confirmed_by_consultant_per_user","release_applicability":"confirmed_by_consultant","required_facts":["В расчете вы указываете одну из А себестоимость будет выбираться по порядку, если не указаны в этом, то будет переходить к другому виду цен."],"approval_basis":"user_confirmed_consultant_approval"}]</x:v>
      </x:c>
      <x:c r="W23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36" s="6" t="str">
        <x:v>approved</x:v>
      </x:c>
      <x:c r="Y236" s="6" t="str">
        <x:v>Карточка и применимость источников согласованы консультантом; утверждение подтверждено пользователем 25.10.2026.</x:v>
      </x:c>
      <x:c r="Z236" s="6" t="str">
        <x:v>G-72e835612a1704</x:v>
      </x:c>
      <x:c r="AA236" s="6" t="str">
        <x:v>dev</x:v>
      </x:c>
      <x:c r="AB236" s="6" t="str">
        <x:v>real_anonymized_candidate</x:v>
      </x:c>
    </x:row>
    <x:row r="237" ht="115" customHeight="1">
      <x:c r="A237" s="6" t="str">
        <x:v>OMNI-420488275-M002</x:v>
      </x:c>
      <x:c r="B237" s="6" t="str">
        <x:v>real_anonymized_candidate:omnidesk:420488275:message:2</x:v>
      </x:c>
      <x:c r="C237" s="6" t="str">
        <x:v>{"history":[],"user_message":"При попытке входа на ПК пользователя возникает такая ошибка Подробнее: С другой машины в этот сеанс заходит без проблем"}</x:v>
      </x:c>
      <x:c r="D237" s="6" t="str">
        <x:v>{"product":"1С:УНФ 8. Полиграфия 2","version":"3.0.14.140","retrieval_state":"available","handoff_consent":false,"source_case_id":"420488275","group_id":"omnidesk_420488275","target_message_index":2,"history_status":"approved_case_first_turn","reported_release":"not_reported","approval_basis":"user_confirmed_consultant_approval"}</x:v>
      </x:c>
      <x:c r="E237" s="6" t="str">
        <x:v>1С:УНФ 8. Полиграфия 2</x:v>
      </x:c>
      <x:c r="F237" s="6" t="str">
        <x:v>3.0.14.140</x:v>
      </x:c>
      <x:c r="G237" s="6" t="str">
        <x:v>not_reported</x:v>
      </x:c>
      <x:c r="H237" s="6" t="str">
        <x:v>default</x:v>
      </x:c>
      <x:c r="I237" s="6" t="str">
        <x:v>Применимость источников и эталона к 1С:УНФ 8. Полиграфия 2, релиз 3.0.14.140, подтверждена консультантом со слов пользователя.</x:v>
      </x:c>
      <x:c r="J237" s="13" t="str">
        <x:v>0</x:v>
      </x:c>
      <x:c r="K237" s="13" t="str">
        <x:v>5</x:v>
      </x:c>
      <x:c r="L237" s="7" t="b">
        <x:v>1</x:v>
      </x:c>
      <x:c r="M237" s="6" t="str">
        <x:v>not_applicable</x:v>
      </x:c>
      <x:c r="N237" s="6" t="str">
        <x:v>["Точный текст ошибки при входе","Один ли пользователь и одна ли база используются при проверке на двух ПК"]</x:v>
      </x:c>
      <x:c r="O237" s="7" t="b">
        <x:v>0</x:v>
      </x:c>
      <x:c r="P237" s="6" t="str">
        <x:v>K3</x:v>
      </x:c>
      <x:c r="Q237"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237" s="6" t="str">
        <x:v>["omnidesk","real_anonymized","access_rights"]</x:v>
      </x:c>
      <x:c r="S237" s="6" t="str">
        <x:v>clarify</x:v>
      </x:c>
      <x:c r="T237" s="6" t="str">
        <x:v>["Запросить следующие существенные сведения: Точный текст ошибки при входе; Один ли пользователь и одна ли база используются при проверке на двух ПК.","Уточнение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237"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237" s="6" t="str">
        <x:v>[{"source_file":"/Users/maria/chatbot_rag/knowledge base/omnidesk_cases.jsonl","source_case_id":"420488275","source_jsonl_line":21,"target_message_index":2,"evidence_type":"historical_support_consultant_approved","support_message_indices":[1,3],"source_answer":"[Поддержка, сообщение №1]\nВопрос решен при подключении.\n\n[Поддержка, сообщение №3]\nАлексей!","corpus_check":"confirmed_by_consultant_per_user","release_applicability":"confirmed_by_consultant","approval_basis":"user_confirmed_consultant_approval"}]</x:v>
      </x:c>
      <x:c r="W237" s="6" t="str">
        <x:v>["Есть конкретный полезный вопрос о недостающих сведениях: Точный текст ошибки при входе; Один ли пользователь и одна ли база используются при проверке на двух ПК.","Нет произвольного решения и необоснованного отказа. Соблюдены доступная история и лимит пяти уточнений."]</x:v>
      </x:c>
      <x:c r="X237" s="6" t="str">
        <x:v>approved</x:v>
      </x:c>
      <x:c r="Y237" s="6" t="str">
        <x:v>Карточка и применимость источников согласованы консультантом; утверждение подтверждено пользователем 25.10.2026.</x:v>
      </x:c>
      <x:c r="Z237" s="6" t="str">
        <x:v>G-2e720aca8508ca</x:v>
      </x:c>
      <x:c r="AA237" s="6" t="str">
        <x:v>dev</x:v>
      </x:c>
      <x:c r="AB237" s="6" t="str">
        <x:v>real_anonymized_candidate</x:v>
      </x:c>
    </x:row>
    <x:row r="238" ht="115" customHeight="1">
      <x:c r="A238" s="6" t="str">
        <x:v>OMNI-364121980-M001</x:v>
      </x:c>
      <x:c r="B238" s="6" t="str">
        <x:v>real_anonymized_candidate:omnidesk:364121980:message:1</x:v>
      </x:c>
      <x:c r="C238" s="6" t="str">
        <x:v>{"history":[],"user_message":"С 1 сентября по требованию ФНС изменяются требования к ФФД кассовой техники. Изменения, в частности, касаются чеков безналичной оплаты и интернет торговли.\nЭти требования уже учтены в конфигурации УНФ [IP_ADDRESS].\nБудет ли соответствующее обновление конфигурации УНФ Полиграфия?"}</x:v>
      </x:c>
      <x:c r="D238" s="6" t="str">
        <x:v>{"product":"1С:УНФ 8. Полиграфия 2","version":"3.0.14.140","retrieval_state":"available","handoff_consent":false,"source_case_id":"364121980","group_id":"omnidesk_364121980","target_message_index":1,"history_status":"approved_case_first_turn","reported_release":"redacted_in_source","approval_basis":"user_confirmed_consultant_approval"}</x:v>
      </x:c>
      <x:c r="E238" s="6" t="str">
        <x:v>1С:УНФ 8. Полиграфия 2</x:v>
      </x:c>
      <x:c r="F238" s="6" t="str">
        <x:v>3.0.14.140</x:v>
      </x:c>
      <x:c r="G238" s="6" t="str">
        <x:v>redacted_in_source</x:v>
      </x:c>
      <x:c r="H238" s="6" t="str">
        <x:v>explicit</x:v>
      </x:c>
      <x:c r="I238" s="6" t="str">
        <x:v>Применимость источников и эталона к 1С:УНФ 8. Полиграфия 2, релиз 3.0.14.140, подтверждена консультантом со слов пользователя.</x:v>
      </x:c>
      <x:c r="J238" s="13" t="str">
        <x:v>0</x:v>
      </x:c>
      <x:c r="K238" s="13" t="str">
        <x:v>5</x:v>
      </x:c>
      <x:c r="L238" s="7" t="b">
        <x:v>0</x:v>
      </x:c>
      <x:c r="M238" s="6" t="str">
        <x:v>not_applicable</x:v>
      </x:c>
      <x:c r="N238" s="6" t="str">
        <x:v>[]</x:v>
      </x:c>
      <x:c r="O238" s="7" t="b">
        <x:v>1</x:v>
      </x:c>
      <x:c r="P238" s="6" t="str">
        <x:v>K2</x:v>
      </x:c>
      <x:c r="Q238" s="6" t="str">
        <x:v>На заданном первом ходе данных достаточно; утверждённые источники дают применимый ответ для 3.0.14.140. Ожидается ответ по существу с источником.</x:v>
      </x:c>
      <x:c r="R238" s="6" t="str">
        <x:v>["omnidesk","real_anonymized","update"]</x:v>
      </x:c>
      <x:c r="S238" s="6" t="str">
        <x:v>answer</x:v>
      </x:c>
      <x:c r="T23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Проверить ИТС по регистрационному номеру продукта Тарифы на 1С:ИТС Регламент службы технической поддержки","Вежливый деловой русский и понятный следующий шаг; без обвинений и необоснованных обещаний."]</x:v>
      </x:c>
      <x:c r="U23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38" s="6" t="str">
        <x:v>[{"source_file":"/Users/maria/chatbot_rag/knowledge base/omnidesk_cases.jsonl","source_case_id":"364121980","source_jsonl_line":119,"target_message_index":1,"evidence_type":"historical_support_consultant_approved","support_message_indices":[2],"source_answer":"[Поддержка, сообщение №2]\nПока не было. Планируется в ближайшее время. О выходе сообщим дополнительно. Проверить ИТС по регистрационному номеру продукта Тарифы на 1С:ИТС Регламент службы технической поддержки","corpus_check":"confirmed_by_consultant_per_user","release_applicability":"confirmed_by_consultant","required_facts":["Проверить ИТС по регистрационному номеру продукта Тарифы на 1С:ИТС Регламент службы технической поддержки"],"approval_basis":"user_confirmed_consultant_approval"}]</x:v>
      </x:c>
      <x:c r="W23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38" s="6" t="str">
        <x:v>approved</x:v>
      </x:c>
      <x:c r="Y238" s="6" t="str">
        <x:v>Карточка и применимость источников согласованы консультантом; утверждение подтверждено пользователем 25.10.2026.</x:v>
      </x:c>
      <x:c r="Z238" s="6" t="str">
        <x:v>G-bc3b63870ebf4b</x:v>
      </x:c>
      <x:c r="AA238" s="6" t="str">
        <x:v>dev</x:v>
      </x:c>
      <x:c r="AB238" s="6" t="str">
        <x:v>real_anonymized_candidate</x:v>
      </x:c>
    </x:row>
    <x:row r="239" ht="115" customHeight="1">
      <x:c r="A239" s="6" t="str">
        <x:v>OMNI-380288004-M006</x:v>
      </x:c>
      <x:c r="B239" s="6" t="str">
        <x:v>real_anonymized_candidate:omnidesk:380288004:message:6</x:v>
      </x:c>
      <x:c r="C239" s="6" t="str">
        <x:v>{"history":[],"user_message":"Программа: 1с УНФ Полиграфия 2 Номер лицензии: [LONG_NUMBER] Куплена: ИП Языкова Е.С. Когда через Отражение факта сотрудник закрывает часть операции в которой есть использование материалов. В ту часть которая закрывается, добавляется весь объем материала. А в операцию которая остается не закрытой и создается новая, добавляется верный остаток по материалу. Мы что то делаем не так или не соблюдаем алгоритм закрытия? При делении операции материалы разбиваются корректно. Александр Богачев / Руководитель подразделения [EMAIL] / +[LONG_NUMBER] Типография Линк Принт Офис: +[LONG_NUMBER] Екатеринбург. ул. Красноармейская, д. 92а, оф. 204 [URL] Мы в соц. сетях Отдел продаж Нижний Тагил +[LONG_NUMBER]"}</x:v>
      </x:c>
      <x:c r="D239" s="6" t="str">
        <x:v>{"product":"1С:УНФ 8. Полиграфия 2","version":"3.0.14.140","retrieval_state":"available","handoff_consent":false,"source_case_id":"380288004","group_id":"omnidesk_380288004","target_message_index":6,"history_status":"approved_case_first_turn","reported_release":"not_reported","approval_basis":"user_confirmed_consultant_approval"}</x:v>
      </x:c>
      <x:c r="E239" s="6" t="str">
        <x:v>1С:УНФ 8. Полиграфия 2</x:v>
      </x:c>
      <x:c r="F239" s="6" t="str">
        <x:v>3.0.14.140</x:v>
      </x:c>
      <x:c r="G239" s="6" t="str">
        <x:v>not_reported</x:v>
      </x:c>
      <x:c r="H239" s="6" t="str">
        <x:v>default</x:v>
      </x:c>
      <x:c r="I239" s="6" t="str">
        <x:v>Применимость источников и эталона к 1С:УНФ 8. Полиграфия 2, релиз 3.0.14.140, подтверждена консультантом со слов пользователя.</x:v>
      </x:c>
      <x:c r="J239" s="13" t="str">
        <x:v>0</x:v>
      </x:c>
      <x:c r="K239" s="13" t="str">
        <x:v>5</x:v>
      </x:c>
      <x:c r="L239" s="7" t="b">
        <x:v>0</x:v>
      </x:c>
      <x:c r="M239" s="6" t="str">
        <x:v>not_applicable</x:v>
      </x:c>
      <x:c r="N239" s="6" t="str">
        <x:v>[]</x:v>
      </x:c>
      <x:c r="O239" s="7" t="b">
        <x:v>1</x:v>
      </x:c>
      <x:c r="P239" s="6" t="str">
        <x:v>K2</x:v>
      </x:c>
      <x:c r="Q239" s="6" t="str">
        <x:v>На заданном первом ходе данных достаточно; утверждённые источники дают применимый ответ для 3.0.14.140. Ожидается ответ по существу с источником.</x:v>
      </x:c>
      <x:c r="R239" s="6" t="str">
        <x:v>["omnidesk","real_anonymized","licensing","planning","materials"]</x:v>
      </x:c>
      <x:c r="S239" s="6" t="str">
        <x:v>answer</x:v>
      </x:c>
      <x:c r="T23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Обратите внимание на константы в панели администрирования полиграфии.","Подтверждённый факт из поддержки: Если у вас установлено - Автоматически заполнять количество материалов данными плана.","Подтверждённый факт из поддержки: То и в табличной части материалов по операции будет всегда подставляться плановое значение.","Вежливый деловой русский и понятный следующий шаг; без обвинений и необоснованных обещаний."]</x:v>
      </x:c>
      <x:c r="U23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39" s="6" t="str">
        <x:v>[{"source_file":"/Users/maria/chatbot_rag/knowledge base/omnidesk_cases.jsonl","source_case_id":"380288004","source_jsonl_line":99,"target_message_index":6,"evidence_type":"historical_support_consultant_approved","support_message_indices":[1,2,3,5],"source_answer":"[Поддержка, сообщение №1]\nОбратите внимание на константы в панели администрирования полиграфии. Если у вас установлено - Автоматически заполнять количество материалов данными плана. То и в табличной части материалов по операции будет всегда подставляться плановое значение. См ниже В случае изменения факта это корректируется в 2-местах\n\n[Поддержка, сообщение №3]\nПо этому вопросу вы можете посмотреть здесь [URL]\n\n[Поддержка, сообщение №5]\nСделайте пример на демо базе с описанием последовательности действий для воспроизведения. Или организуйте работу с консультантом. По этому вопросу с вами свяжется наш менеджер в ближайшее время.","corpus_check":"confirmed_by_consultant_per_user","release_applicability":"confirmed_by_consultant","required_facts":["Обратите внимание на константы в панели администрирования полиграфии.","Если у вас установлено - Автоматически заполнять количество материалов данными плана.","То и в табличной части материалов по операции будет всегда подставляться плановое значение."],"approval_basis":"user_confirmed_consultant_approval"}]</x:v>
      </x:c>
      <x:c r="W23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39" s="6" t="str">
        <x:v>approved</x:v>
      </x:c>
      <x:c r="Y239" s="6" t="str">
        <x:v>Карточка и применимость источников согласованы консультантом; утверждение подтверждено пользователем 25.10.2026.</x:v>
      </x:c>
      <x:c r="Z239" s="6" t="str">
        <x:v>G-9982f529dd19a1</x:v>
      </x:c>
      <x:c r="AA239" s="6" t="str">
        <x:v>dev</x:v>
      </x:c>
      <x:c r="AB239" s="6" t="str">
        <x:v>real_anonymized_candidate</x:v>
      </x:c>
    </x:row>
    <x:row r="240" ht="115" customHeight="1">
      <x:c r="A240" s="6" t="str">
        <x:v>OMNI-12020456-M001</x:v>
      </x:c>
      <x:c r="B240" s="6" t="str">
        <x:v>real_anonymized_candidate:omnidesk:12020456:message:1</x:v>
      </x:c>
      <x:c r="C240" s="6" t="str">
        <x:v>{"history":[],"user_message":"как сделать что-бы в тираже операции можно было поставить два знака после запятой\nсейчас он округляется в большую сторону"}</x:v>
      </x:c>
      <x:c r="D240" s="6" t="str">
        <x:v>{"product":"1С:УНФ 8. Полиграфия 2","version":"3.0.14.140","retrieval_state":"available","handoff_consent":false,"source_case_id":"12020456","group_id":"omnidesk_12020456","target_message_index":1,"history_status":"approved_case_first_turn","reported_release":"not_reported","approval_basis":"user_confirmed_consultant_approval"}</x:v>
      </x:c>
      <x:c r="E240" s="6" t="str">
        <x:v>1С:УНФ 8. Полиграфия 2</x:v>
      </x:c>
      <x:c r="F240" s="6" t="str">
        <x:v>3.0.14.140</x:v>
      </x:c>
      <x:c r="G240" s="6" t="str">
        <x:v>not_reported</x:v>
      </x:c>
      <x:c r="H240" s="6" t="str">
        <x:v>default</x:v>
      </x:c>
      <x:c r="I240" s="6" t="str">
        <x:v>Применимость источников и эталона к 1С:УНФ 8. Полиграфия 2, релиз 3.0.14.140, подтверждена консультантом со слов пользователя.</x:v>
      </x:c>
      <x:c r="J240" s="13" t="str">
        <x:v>0</x:v>
      </x:c>
      <x:c r="K240" s="13" t="str">
        <x:v>5</x:v>
      </x:c>
      <x:c r="L240" s="7" t="b">
        <x:v>0</x:v>
      </x:c>
      <x:c r="M240" s="6" t="str">
        <x:v>not_applicable</x:v>
      </x:c>
      <x:c r="N240" s="6" t="str">
        <x:v>[]</x:v>
      </x:c>
      <x:c r="O240" s="7" t="b">
        <x:v>1</x:v>
      </x:c>
      <x:c r="P240" s="6" t="str">
        <x:v>K2</x:v>
      </x:c>
      <x:c r="Q240" s="6" t="str">
        <x:v>На заданном первом ходе данных достаточно; утверждённые источники дают применимый ответ для 3.0.14.140. Ожидается ответ по существу с источником.</x:v>
      </x:c>
      <x:c r="R240" s="6" t="str">
        <x:v>["omnidesk","real_anonymized","product_function"]</x:v>
      </x:c>
      <x:c r="S240" s="6" t="str">
        <x:v>answer</x:v>
      </x:c>
      <x:c r="T24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Поясните пожалуйста, желательно со скриншотом, где нужно поставить 2 знака после \",\"","Вежливый деловой русский и понятный следующий шаг; без обвинений и необоснованных обещаний."]</x:v>
      </x:c>
      <x:c r="U24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40" s="6" t="str">
        <x:v>[{"source_file":"/Users/maria/chatbot_rag/knowledge base/omnidesk_cases.jsonl","source_case_id":"12020456","source_jsonl_line":1234,"target_message_index":1,"evidence_type":"historical_support_consultant_approved","support_message_indices":[2],"source_answer":"[Поддержка, сообщение №2]\nПоясните пожалуйста, желательно со скриншотом, где нужно поставить 2 знака после \",\"","corpus_check":"confirmed_by_consultant_per_user","release_applicability":"confirmed_by_consultant","required_facts":["Поясните пожалуйста, желательно со скриншотом, где нужно поставить 2 знака после \",\""],"approval_basis":"user_confirmed_consultant_approval"}]</x:v>
      </x:c>
      <x:c r="W24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40" s="6" t="str">
        <x:v>approved</x:v>
      </x:c>
      <x:c r="Y240" s="6" t="str">
        <x:v>Карточка и применимость источников согласованы консультантом; утверждение подтверждено пользователем 25.10.2026.</x:v>
      </x:c>
      <x:c r="Z240" s="6" t="str">
        <x:v>G-087b53306251df</x:v>
      </x:c>
      <x:c r="AA240" s="6" t="str">
        <x:v>dev</x:v>
      </x:c>
      <x:c r="AB240" s="6" t="str">
        <x:v>real_anonymized_candidate</x:v>
      </x:c>
    </x:row>
    <x:row r="241" ht="115" customHeight="1">
      <x:c r="A241" s="6" t="str">
        <x:v>OMNI-6900653-M002</x:v>
      </x:c>
      <x:c r="B241" s="6" t="str">
        <x:v>real_anonymized_candidate:omnidesk:6900653:message:2</x:v>
      </x:c>
      <x:c r="C241" s="6" t="str">
        <x:v>{"history":[],"user_message":"В комплексной программе 1 Оприходовали товар на сч 41., при его продаже с сч 41 в себестоимость уходит только количество, а сумма не списывается. 2 Как происходит закрытие месяца ?"}</x:v>
      </x:c>
      <x:c r="D241" s="6" t="str">
        <x:v>{"product":"1С:УНФ 8. Полиграфия 2","version":"3.0.14.140","retrieval_state":"available","handoff_consent":false,"source_case_id":"6900653","group_id":"omnidesk_6900653","target_message_index":2,"history_status":"approved_case_first_turn","reported_release":"not_reported","approval_basis":"user_confirmed_consultant_approval"}</x:v>
      </x:c>
      <x:c r="E241" s="6" t="str">
        <x:v>1С:УНФ 8. Полиграфия 2</x:v>
      </x:c>
      <x:c r="F241" s="6" t="str">
        <x:v>3.0.14.140</x:v>
      </x:c>
      <x:c r="G241" s="6" t="str">
        <x:v>not_reported</x:v>
      </x:c>
      <x:c r="H241" s="6" t="str">
        <x:v>default</x:v>
      </x:c>
      <x:c r="I241" s="6" t="str">
        <x:v>Применимость источников и эталона к 1С:УНФ 8. Полиграфия 2, релиз 3.0.14.140, подтверждена консультантом со слов пользователя.</x:v>
      </x:c>
      <x:c r="J241" s="13" t="str">
        <x:v>0</x:v>
      </x:c>
      <x:c r="K241" s="13" t="str">
        <x:v>5</x:v>
      </x:c>
      <x:c r="L241" s="7" t="b">
        <x:v>0</x:v>
      </x:c>
      <x:c r="M241" s="6" t="str">
        <x:v>not_applicable</x:v>
      </x:c>
      <x:c r="N241" s="6" t="str">
        <x:v>[]</x:v>
      </x:c>
      <x:c r="O241" s="7" t="b">
        <x:v>1</x:v>
      </x:c>
      <x:c r="P241" s="6" t="str">
        <x:v>K2</x:v>
      </x:c>
      <x:c r="Q241" s="6" t="str">
        <x:v>На заданном первом ходе данных достаточно; утверждённые источники дают применимый ответ для 3.0.14.140. Ожидается ответ по существу с источником.</x:v>
      </x:c>
      <x:c r="R241" s="6" t="str">
        <x:v>["omnidesk","real_anonymized","cost_calculation"]</x:v>
      </x:c>
      <x:c r="S241" s="6" t="str">
        <x:v>answer</x:v>
      </x:c>
      <x:c r="T24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Обратите внимание на настройки НСИ и соответствующую справочную информацию к ним.","Подтверждённый факт из поддержки: Консультации по работе с неактуальными (старыми) релизами программных продуктов и не типовых конфигураций не оказываются.","Подтверждённый факт из поддержки: В обязанности бесплатной линии консультаций не входит: консультации по методическим вопросам работы с программой, консультации по работе с рабочей/реальной базой данных клиента, консультации по выверке данных (например, не сходятся данные результата «Расчета себестоимости» в базе данных клиента и т.д., в этом случае оказывается консультация по алгоритму работы ), обучение пользователей, удаленная настройка программных продуктов, а также решение вопросов, связанных с конфигурированием программированием, тестирование и исправление баз данных, создание резервных копий.","Вежливый деловой русский и понятный следующий шаг; без обвинений и необоснованных обещаний."]</x:v>
      </x:c>
      <x:c r="U24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41" s="6" t="str">
        <x:v>[{"source_file":"/Users/maria/chatbot_rag/knowledge base/omnidesk_cases.jsonl","source_case_id":"6900653","source_jsonl_line":1333,"target_message_index":2,"evidence_type":"historical_support_consultant_approved","support_message_indices":[1,3],"source_answer":"[Поддержка, сообщение №1]\nОбновление во вложении.\n\n[Поддержка, сообщение №3]\nОбратите внимание на настройки НСИ и соответствующую справочную информацию к ним. См вложения. Консультации по работе с неактуальными (старыми) релизами программных продуктов и не типовых конфигураций не оказываются. В обязанности бесплатной линии консультаций не входит: консультации по методическим вопросам работы с программой, консультации по работе с рабочей/реальной базой данных клиента, консультации по выверке данных (например, не сходятся данные результата «Расчета себестоимости» в базе данных клиента и т.д., в этом случае оказывается консультация по алгоритму работы ), обучение пользователей, удаленная настройка программных продуктов, а также решение вопросов, связанных с конфигурированием программированием, тестирование и исправление баз данных, создание резервных копий. Мы рекомендуем в числе услуг дополнительной поддержки заключить договор на абонентское обслуживание. В рамках абонентского обслуживания вы можете проводить полный цикл работ, направленных на получение максимального результата от использования программ 1С. Преимущество абонентского обслуживания: Безотказность работы систем 1С; Консультирование по любым видам вопросов; Поддержка программ в актуальном состоянии; Оперативное решение задач, возникающих при эксплуатации системы; Возможность планировать затраты на обслуживание 1С","corpus_check":"confirmed_by_consultant_per_user","release_applicability":"confirmed_by_consultant","required_facts":["Обратите внимание на настройки НСИ и соответствующую справочную информацию к ним.","Консультации по работе с неактуальными (старыми) релизами программных продуктов и не типовых конфигураций не оказываются.","В обязанности бесплатной линии консультаций не входит: консультации по методическим вопросам работы с программой, консультации по работе с рабочей/реальной базой данных клиента, консультации по выверке данных (например, не сходятся данные результата «Расчета себестоимости» в базе данных клиента и т.д., в этом случае оказывается консультация по алгоритму работы ), обучение пользователей, удаленная настройка программных продуктов, а также решение вопросов, связанных с конфигурированием программированием, тестирование и исправление баз данных, создание резервных копий."],"approval_basis":"user_confirmed_consultant_approval"}]</x:v>
      </x:c>
      <x:c r="W24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41" s="6" t="str">
        <x:v>approved</x:v>
      </x:c>
      <x:c r="Y241" s="6" t="str">
        <x:v>Карточка и применимость источников согласованы консультантом; утверждение подтверждено пользователем 25.10.2026.</x:v>
      </x:c>
      <x:c r="Z241" s="6" t="str">
        <x:v>G-30824f5294292e</x:v>
      </x:c>
      <x:c r="AA241" s="6" t="str">
        <x:v>dev</x:v>
      </x:c>
      <x:c r="AB241" s="6" t="str">
        <x:v>real_anonymized_candidate</x:v>
      </x:c>
    </x:row>
    <x:row r="242" ht="115" customHeight="1">
      <x:c r="A242" s="6" t="str">
        <x:v>OMNI-30716150-M002</x:v>
      </x:c>
      <x:c r="B242" s="6" t="str">
        <x:v>real_anonymized_candidate:omnidesk:30716150:message:2</x:v>
      </x:c>
      <x:c r="C242" s="6" t="str">
        <x:v>{"history":[],"user_message":"подскажите как работает маркер \"ручной ввод тиража\" У меня получается так, что если в формуле расчета тиража операции в карточке операции нет ссылки на формулу или \"Тираж операции = тираж заказа\" то тираж вводится в любом случае не подтягивается и требуется ручной ввод, а если формула есть то поле тираж и маркер ручного ввода недоступны и корректировать тираж операции вручную невозможно."}</x:v>
      </x:c>
      <x:c r="D242" s="6" t="str">
        <x:v>{"product":"1С:УНФ 8. Полиграфия 2","version":"3.0.14.140","retrieval_state":"available","handoff_consent":false,"source_case_id":"30716150","group_id":"omnidesk_30716150","target_message_index":2,"history_status":"approved_case_first_turn","reported_release":"not_reported","approval_basis":"user_confirmed_consultant_approval"}</x:v>
      </x:c>
      <x:c r="E242" s="6" t="str">
        <x:v>1С:УНФ 8. Полиграфия 2</x:v>
      </x:c>
      <x:c r="F242" s="6" t="str">
        <x:v>3.0.14.140</x:v>
      </x:c>
      <x:c r="G242" s="6" t="str">
        <x:v>not_reported</x:v>
      </x:c>
      <x:c r="H242" s="6" t="str">
        <x:v>default</x:v>
      </x:c>
      <x:c r="I242" s="6" t="str">
        <x:v>Применимость источников и эталона к 1С:УНФ 8. Полиграфия 2, релиз 3.0.14.140, подтверждена консультантом со слов пользователя.</x:v>
      </x:c>
      <x:c r="J242" s="13" t="str">
        <x:v>0</x:v>
      </x:c>
      <x:c r="K242" s="13" t="str">
        <x:v>5</x:v>
      </x:c>
      <x:c r="L242" s="7" t="b">
        <x:v>0</x:v>
      </x:c>
      <x:c r="M242" s="6" t="str">
        <x:v>not_applicable</x:v>
      </x:c>
      <x:c r="N242" s="6" t="str">
        <x:v>[]</x:v>
      </x:c>
      <x:c r="O242" s="7" t="b">
        <x:v>1</x:v>
      </x:c>
      <x:c r="P242" s="6" t="str">
        <x:v>K2</x:v>
      </x:c>
      <x:c r="Q242" s="6" t="str">
        <x:v>На заданном первом ходе данных достаточно; утверждённые источники дают применимый ответ для 3.0.14.140. Ожидается ответ по существу с источником.</x:v>
      </x:c>
      <x:c r="R242" s="6" t="str">
        <x:v>["omnidesk","real_anonymized","cost_calculation","access_rights"]</x:v>
      </x:c>
      <x:c r="S242" s="6" t="str">
        <x:v>answer</x:v>
      </x:c>
      <x:c r="T24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Елена Ивановна, на демке у меня если, есть зависимость от тиража, то поле ручного ввода активно, если нет зависимости, то не активно.","Вежливый деловой русский и понятный следующий шаг; без обвинений и необоснованных обещаний."]</x:v>
      </x:c>
      <x:c r="U24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42" s="6" t="str">
        <x:v>[{"source_file":"/Users/maria/chatbot_rag/knowledge base/omnidesk_cases.jsonl","source_case_id":"30716150","source_jsonl_line":1083,"target_message_index":2,"evidence_type":"historical_support_consultant_approved","support_message_indices":[1],"source_answer":"[Поддержка, сообщение №1]\nЕлена Ивановна, на демке у меня если, есть зависимость от тиража, то поле ручного ввода активно, если нет зависимости, то не активно.","corpus_check":"confirmed_by_consultant_per_user","release_applicability":"confirmed_by_consultant","required_facts":["Елена Ивановна, на демке у меня если, есть зависимость от тиража, то поле ручного ввода активно, если нет зависимости, то не активно."],"approval_basis":"user_confirmed_consultant_approval"}]</x:v>
      </x:c>
      <x:c r="W24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42" s="6" t="str">
        <x:v>approved</x:v>
      </x:c>
      <x:c r="Y242" s="6" t="str">
        <x:v>Карточка и применимость источников согласованы консультантом; утверждение подтверждено пользователем 25.10.2026.</x:v>
      </x:c>
      <x:c r="Z242" s="6" t="str">
        <x:v>G-84d812fabb744e</x:v>
      </x:c>
      <x:c r="AA242" s="6" t="str">
        <x:v>dev</x:v>
      </x:c>
      <x:c r="AB242" s="6" t="str">
        <x:v>real_anonymized_candidate</x:v>
      </x:c>
    </x:row>
    <x:row r="243" ht="115" customHeight="1">
      <x:c r="A243" s="6" t="str">
        <x:v>OMNI-78857124-M001</x:v>
      </x:c>
      <x:c r="B243" s="6" t="str">
        <x:v>real_anonymized_candidate:omnidesk:78857124:message:1</x:v>
      </x:c>
      <x:c r="C243" s="6" t="str">
        <x:v>{"history":[],"user_message":"Возможна ли Ваша помощь в настройке синхронизации удаленно. Мы никак не можем добиться обмена, идет выгрузка только из Бух в УНФ, а из УНФ в Бух с перебоями. Если вы можете помочь настроить, то прошу сообщить условия такой помощи ?! -- Без вирусов. [URL]"}</x:v>
      </x:c>
      <x:c r="D243" s="6" t="str">
        <x:v>{"product":"1С:УНФ 8. Полиграфия 2","version":"3.0.14.140","retrieval_state":"available","handoff_consent":false,"source_case_id":"78857124","group_id":"omnidesk_78857124","target_message_index":1,"history_status":"approved_case_first_turn","reported_release":"not_reported","approval_basis":"user_confirmed_consultant_approval"}</x:v>
      </x:c>
      <x:c r="E243" s="6" t="str">
        <x:v>1С:УНФ 8. Полиграфия 2</x:v>
      </x:c>
      <x:c r="F243" s="6" t="str">
        <x:v>3.0.14.140</x:v>
      </x:c>
      <x:c r="G243" s="6" t="str">
        <x:v>not_reported</x:v>
      </x:c>
      <x:c r="H243" s="6" t="str">
        <x:v>default</x:v>
      </x:c>
      <x:c r="I243" s="6" t="str">
        <x:v>Применимость источников и эталона к 1С:УНФ 8. Полиграфия 2, релиз 3.0.14.140, подтверждена консультантом со слов пользователя.</x:v>
      </x:c>
      <x:c r="J243" s="13" t="str">
        <x:v>0</x:v>
      </x:c>
      <x:c r="K243" s="13" t="str">
        <x:v>5</x:v>
      </x:c>
      <x:c r="L243" s="7" t="b">
        <x:v>0</x:v>
      </x:c>
      <x:c r="M243" s="6" t="str">
        <x:v>not_applicable</x:v>
      </x:c>
      <x:c r="N243" s="6" t="str">
        <x:v>[]</x:v>
      </x:c>
      <x:c r="O243" s="7" t="b">
        <x:v>1</x:v>
      </x:c>
      <x:c r="P243" s="6" t="str">
        <x:v>K2</x:v>
      </x:c>
      <x:c r="Q243" s="6" t="str">
        <x:v>На заданном первом ходе данных достаточно; утверждённые источники дают применимый ответ для 3.0.14.140. Ожидается ответ по существу с источником.</x:v>
      </x:c>
      <x:c r="R243" s="6" t="str">
        <x:v>["omnidesk","real_anonymized","integration"]</x:v>
      </x:c>
      <x:c r="S243" s="6" t="str">
        <x:v>answer</x:v>
      </x:c>
      <x:c r="T24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Вопрос/проблема - возникает обычно по правам пользователя к каталогу обмена (может быть недостаточно) или если прямое подключение, то опять настройки com соединения и прав пользователя.","Вежливый деловой русский и понятный следующий шаг; без обвинений и необоснованных обещаний."]</x:v>
      </x:c>
      <x:c r="U24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43" s="6" t="str">
        <x:v>[{"source_file":"/Users/maria/chatbot_rag/knowledge base/omnidesk_cases.jsonl","source_case_id":"78857124","source_jsonl_line":820,"target_message_index":1,"evidence_type":"historical_support_consultant_approved","support_message_indices":[2],"source_answer":"[Поддержка, сообщение №2]\nВсе должно работать. Инструкция во вложении. Вопрос/проблема - возникает обычно по правам пользователя к каталогу обмена (может быть недостаточно) или если прямое подключение, то опять настройки com соединения и прав пользователя.","corpus_check":"confirmed_by_consultant_per_user","release_applicability":"confirmed_by_consultant","required_facts":["Вопрос/проблема - возникает обычно по правам пользователя к каталогу обмена (может быть недостаточно) или если прямое подключение, то опять настройки com соединения и прав пользователя."],"approval_basis":"user_confirmed_consultant_approval"}]</x:v>
      </x:c>
      <x:c r="W24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43" s="6" t="str">
        <x:v>approved</x:v>
      </x:c>
      <x:c r="Y243" s="6" t="str">
        <x:v>Карточка и применимость источников согласованы консультантом; утверждение подтверждено пользователем 25.10.2026.</x:v>
      </x:c>
      <x:c r="Z243" s="6" t="str">
        <x:v>G-eda099bf6328b9</x:v>
      </x:c>
      <x:c r="AA243" s="6" t="str">
        <x:v>dev</x:v>
      </x:c>
      <x:c r="AB243" s="6" t="str">
        <x:v>real_anonymized_candidate</x:v>
      </x:c>
    </x:row>
    <x:row r="244" ht="115" customHeight="1">
      <x:c r="A244" s="6" t="str">
        <x:v>OMNI-138831711-M001</x:v>
      </x:c>
      <x:c r="B244" s="6" t="str">
        <x:v>real_anonymized_candidate:omnidesk:138831711:message:1</x:v>
      </x:c>
      <x:c r="C244" s="6" t="str">
        <x:v>{"history":[],"user_message":"Еще одна серьезная проблема с широкоформатными заказами -- это последовательность операций :((\nПример: требуется заламинировать баннер, а потом по периметру поставить люверсы.\nОчевидно, что в обратном порядке это делать никак нельзя.\nНо если использовать штатную операцию установки люверсов на штатной вкладке, то в таком случае установка люверсов в порядке операций будет идти ДО постпресса, то есть ДО ламинирования :((\nА это недопустимо.\nПеремещение операций вверх или вниз на вкладке \"Операции\" -- действует до первого перерасчета заказа, то есть такой прием тоже не даст никакого результата :(\nКак быть в таком случае?\nКак поменять операции местами?\nЗаранее спасибо!"}</x:v>
      </x:c>
      <x:c r="D244" s="6" t="str">
        <x:v>{"product":"1С:УНФ 8. Полиграфия 2","version":"3.0.14.140","retrieval_state":"available","handoff_consent":false,"source_case_id":"138831711","group_id":"omnidesk_138831711","target_message_index":1,"history_status":"approved_case_first_turn","reported_release":"not_reported","approval_basis":"user_confirmed_consultant_approval"}</x:v>
      </x:c>
      <x:c r="E244" s="6" t="str">
        <x:v>1С:УНФ 8. Полиграфия 2</x:v>
      </x:c>
      <x:c r="F244" s="6" t="str">
        <x:v>3.0.14.140</x:v>
      </x:c>
      <x:c r="G244" s="6" t="str">
        <x:v>not_reported</x:v>
      </x:c>
      <x:c r="H244" s="6" t="str">
        <x:v>default</x:v>
      </x:c>
      <x:c r="I244" s="6" t="str">
        <x:v>Применимость источников и эталона к 1С:УНФ 8. Полиграфия 2, релиз 3.0.14.140, подтверждена консультантом со слов пользователя.</x:v>
      </x:c>
      <x:c r="J244" s="13" t="str">
        <x:v>0</x:v>
      </x:c>
      <x:c r="K244" s="13" t="str">
        <x:v>5</x:v>
      </x:c>
      <x:c r="L244" s="7" t="b">
        <x:v>0</x:v>
      </x:c>
      <x:c r="M244" s="6" t="str">
        <x:v>not_applicable</x:v>
      </x:c>
      <x:c r="N244" s="6" t="str">
        <x:v>[]</x:v>
      </x:c>
      <x:c r="O244" s="7" t="b">
        <x:v>1</x:v>
      </x:c>
      <x:c r="P244" s="6" t="str">
        <x:v>K2</x:v>
      </x:c>
      <x:c r="Q244" s="6" t="str">
        <x:v>На заданном первом ходе данных достаточно; утверждённые источники дают применимый ответ для 3.0.14.140. Ожидается ответ по существу с источником.</x:v>
      </x:c>
      <x:c r="R244" s="6" t="str">
        <x:v>["omnidesk","real_anonymized","product_function"]</x:v>
      </x:c>
      <x:c r="S244" s="6" t="str">
        <x:v>answer</x:v>
      </x:c>
      <x:c r="T24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Программа передает все на вкладку Операции в той последовательности, которая соответствует расположением наших вкладок.","Подтверждённый факт из поддержки: Программа обновляет таблицу операции, так как операции клиент может удалит, изменить и прочее.","Подтверждённый факт из поддержки: поэтому если клиент хочет менять последовательность операций и использовать стандартную вкладку Люверсы- то нужно после каждого расчета заказа изменять последовательность (стрелками).","Вежливый деловой русский и понятный следующий шаг; без обвинений и необоснованных обещаний."]</x:v>
      </x:c>
      <x:c r="U24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44" s="6" t="str">
        <x:v>[{"source_file":"/Users/maria/chatbot_rag/knowledge base/omnidesk_cases.jsonl","source_case_id":"138831711","source_jsonl_line":745,"target_message_index":1,"evidence_type":"historical_support_consultant_approved","support_message_indices":[2,3],"source_answer":"[Поддержка, сообщение №3]\nПрограмма передает все на вкладку Операции в той последовательности, которая соответствует расположением наших вкладок. Программа обновляет таблицу операции, так как операции клиент может удалит, изменить и прочее. поэтому если клиент хочет менять последовательность операций и использовать стандартную вкладку Люверсы- то нужно после каждого расчета заказа изменять последовательность (стрелками). Иначе не использовать вкладку Люверсы, а ввести операцию люверсы в таблице Постпресс в той последовательности , которая нужна .","corpus_check":"confirmed_by_consultant_per_user","release_applicability":"confirmed_by_consultant","required_facts":["Программа передает все на вкладку Операции в той последовательности, которая соответствует расположением наших вкладок.","Программа обновляет таблицу операции, так как операции клиент может удалит, изменить и прочее.","поэтому если клиент хочет менять последовательность операций и использовать стандартную вкладку Люверсы- то нужно после каждого расчета заказа изменять последовательность (стрелками)."],"approval_basis":"user_confirmed_consultant_approval"}]</x:v>
      </x:c>
      <x:c r="W24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44" s="6" t="str">
        <x:v>approved</x:v>
      </x:c>
      <x:c r="Y244" s="6" t="str">
        <x:v>Карточка и применимость источников согласованы консультантом; утверждение подтверждено пользователем 25.10.2026.</x:v>
      </x:c>
      <x:c r="Z244" s="6" t="str">
        <x:v>G-dd7bbfdd1f1ea4</x:v>
      </x:c>
      <x:c r="AA244" s="6" t="str">
        <x:v>dev</x:v>
      </x:c>
      <x:c r="AB244" s="6" t="str">
        <x:v>real_anonymized_candidate</x:v>
      </x:c>
    </x:row>
    <x:row r="245" ht="115" customHeight="1">
      <x:c r="A245" s="6" t="str">
        <x:v>OMNI-72899377-M001</x:v>
      </x:c>
      <x:c r="B245" s="6" t="str">
        <x:v>real_anonymized_candidate:omnidesk:72899377:message:1</x:v>
      </x:c>
      <x:c r="C245" s="6" t="str">
        <x:v>{"history":[],"user_message":"Как можно изменить форму при заблокированной кнопке \"изменить форму\"?"}</x:v>
      </x:c>
      <x:c r="D245" s="6" t="str">
        <x:v>{"product":"1С:УНФ 8. Полиграфия 2","version":"3.0.14.140","retrieval_state":"available","handoff_consent":false,"source_case_id":"72899377","group_id":"omnidesk_72899377","target_message_index":1,"history_status":"approved_case_first_turn","reported_release":"not_reported","approval_basis":"user_confirmed_consultant_approval"}</x:v>
      </x:c>
      <x:c r="E245" s="6" t="str">
        <x:v>1С:УНФ 8. Полиграфия 2</x:v>
      </x:c>
      <x:c r="F245" s="6" t="str">
        <x:v>3.0.14.140</x:v>
      </x:c>
      <x:c r="G245" s="6" t="str">
        <x:v>not_reported</x:v>
      </x:c>
      <x:c r="H245" s="6" t="str">
        <x:v>default</x:v>
      </x:c>
      <x:c r="I245" s="6" t="str">
        <x:v>Применимость источников и эталона к 1С:УНФ 8. Полиграфия 2, релиз 3.0.14.140, подтверждена консультантом со слов пользователя.</x:v>
      </x:c>
      <x:c r="J245" s="13" t="str">
        <x:v>0</x:v>
      </x:c>
      <x:c r="K245" s="13" t="str">
        <x:v>5</x:v>
      </x:c>
      <x:c r="L245" s="7" t="b">
        <x:v>0</x:v>
      </x:c>
      <x:c r="M245" s="6" t="str">
        <x:v>not_applicable</x:v>
      </x:c>
      <x:c r="N245" s="6" t="str">
        <x:v>[]</x:v>
      </x:c>
      <x:c r="O245" s="7" t="b">
        <x:v>1</x:v>
      </x:c>
      <x:c r="P245" s="6" t="str">
        <x:v>K2</x:v>
      </x:c>
      <x:c r="Q245" s="6" t="str">
        <x:v>На заданном первом ходе данных достаточно; утверждённые источники дают применимый ответ для 3.0.14.140. Ожидается ответ по существу с источником.</x:v>
      </x:c>
      <x:c r="R245" s="6" t="str">
        <x:v>["omnidesk","real_anonymized","product_function"]</x:v>
      </x:c>
      <x:c r="S245" s="6" t="str">
        <x:v>answer</x:v>
      </x:c>
      <x:c r="T24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За это отвечает настройка Ролей пользователей полиграфии.","Вежливый деловой русский и понятный следующий шаг; без обвинений и необоснованных обещаний."]</x:v>
      </x:c>
      <x:c r="U24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45" s="6" t="str">
        <x:v>[{"source_file":"/Users/maria/chatbot_rag/knowledge base/omnidesk_cases.jsonl","source_case_id":"72899377","source_jsonl_line":854,"target_message_index":1,"evidence_type":"historical_support_consultant_approved","support_message_indices":[2],"source_answer":"[Поддержка, сообщение №2]\nНикак. Разблокировать. За это отвечает настройка Ролей пользователей полиграфии.","corpus_check":"confirmed_by_consultant_per_user","release_applicability":"confirmed_by_consultant","required_facts":["За это отвечает настройка Ролей пользователей полиграфии."],"approval_basis":"user_confirmed_consultant_approval"}]</x:v>
      </x:c>
      <x:c r="W24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45" s="6" t="str">
        <x:v>approved</x:v>
      </x:c>
      <x:c r="Y245" s="6" t="str">
        <x:v>Карточка и применимость источников согласованы консультантом; утверждение подтверждено пользователем 25.10.2026.</x:v>
      </x:c>
      <x:c r="Z245" s="6" t="str">
        <x:v>G-273fc4d6748feb</x:v>
      </x:c>
      <x:c r="AA245" s="6" t="str">
        <x:v>dev</x:v>
      </x:c>
      <x:c r="AB245" s="6" t="str">
        <x:v>real_anonymized_candidate</x:v>
      </x:c>
    </x:row>
    <x:row r="246" ht="115" customHeight="1">
      <x:c r="A246" s="6" t="str">
        <x:v>OMNI-21655760-M004</x:v>
      </x:c>
      <x:c r="B246" s="6" t="str">
        <x:v>real_anonymized_candidate:omnidesk:21655760:message:4</x:v>
      </x:c>
      <x:c r="C246" s="6" t="str">
        <x:v>{"history":[],"user_message":"Алгоритмы рулонной струйной печати и флексопечати одинаковы для настройки и расчетов в программе?\nПовторю вопрос: у нас не рассчитывается расход краски для рулонной струйной печати на машинах типа HP DesignJet 1100."}</x:v>
      </x:c>
      <x:c r="D246" s="6" t="str">
        <x:v>{"product":"1С:УНФ 8. Полиграфия 2","version":"3.0.14.140","retrieval_state":"available","handoff_consent":false,"source_case_id":"21655760","group_id":"omnidesk_21655760","target_message_index":4,"history_status":"approved_case_first_turn","reported_release":"not_reported","approval_basis":"user_confirmed_consultant_approval"}</x:v>
      </x:c>
      <x:c r="E246" s="6" t="str">
        <x:v>1С:УНФ 8. Полиграфия 2</x:v>
      </x:c>
      <x:c r="F246" s="6" t="str">
        <x:v>3.0.14.140</x:v>
      </x:c>
      <x:c r="G246" s="6" t="str">
        <x:v>not_reported</x:v>
      </x:c>
      <x:c r="H246" s="6" t="str">
        <x:v>default</x:v>
      </x:c>
      <x:c r="I246" s="6" t="str">
        <x:v>Применимость источников и эталона к 1С:УНФ 8. Полиграфия 2, релиз 3.0.14.140, подтверждена консультантом со слов пользователя.</x:v>
      </x:c>
      <x:c r="J246" s="13" t="str">
        <x:v>0</x:v>
      </x:c>
      <x:c r="K246" s="13" t="str">
        <x:v>5</x:v>
      </x:c>
      <x:c r="L246" s="7" t="b">
        <x:v>0</x:v>
      </x:c>
      <x:c r="M246" s="6" t="str">
        <x:v>not_applicable</x:v>
      </x:c>
      <x:c r="N246" s="6" t="str">
        <x:v>[]</x:v>
      </x:c>
      <x:c r="O246" s="7" t="b">
        <x:v>1</x:v>
      </x:c>
      <x:c r="P246" s="6" t="str">
        <x:v>K2</x:v>
      </x:c>
      <x:c r="Q246" s="6" t="str">
        <x:v>На заданном первом ходе данных достаточно; утверждённые источники дают применимый ответ для 3.0.14.140. Ожидается ответ по существу с источником.</x:v>
      </x:c>
      <x:c r="R246" s="6" t="str">
        <x:v>["omnidesk","real_anonymized","materials"]</x:v>
      </x:c>
      <x:c r="S246" s="6" t="str">
        <x:v>answer</x:v>
      </x:c>
      <x:c r="T24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Также проверьте карточки номенклатуры с используемой краской.","Подтверждённый факт из поддержки: Закладку \"Свойства\" формы элемента.","Подтверждённый факт из поддержки: Для расчета краски при Флексопечати нужно использовать \"Технологическую карту флексопечати\" Справочник «Технологическая карта флексопечать» предназначен для хранения сведений об используемых красках и пантонов при производстве продукции по технологии флексопечати.","Вежливый деловой русский и понятный следующий шаг; без обвинений и необоснованных обещаний."]</x:v>
      </x:c>
      <x:c r="U24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46" s="6" t="str">
        <x:v>[{"source_file":"/Users/maria/chatbot_rag/knowledge base/omnidesk_cases.jsonl","source_case_id":"21655760","source_jsonl_line":1122,"target_message_index":4,"evidence_type":"historical_support_consultant_approved","support_message_indices":[1,3,5],"source_answer":"[Поддержка, сообщение №1]\nТакже проверьте карточки номенклатуры с используемой краской. Закладку \"Свойства\" формы элемента. Что вы там указали? Тоже скрины.\n\n[Поддержка, сообщение №3]\nДля расчета краски при Флексопечати нужно использовать \"Технологическую карту флексопечати\" Справочник «Технологическая карта флексопечать» предназначен для хранения сведений об используемых красках и пантонов при производстве продукции по технологии флексопечати. Справочник вызывается из меню Справочники-&gt; 1С: Полиграфия 8 -&gt; Флексопечать -&gt; Технологическая карта флексопечать . Справочник имеет две формы представления информации: форму списка и форму элемента. Форма списка имеет иерархическую структуру и позволяет создавать неограниченное число вложенных каталогов. Непосредственное заполнение технологических карт осуществляется в форме элемента справочника. В поле «Вид изделия» вносится вид изделия, к которому составляется техкарта (выбирается элемент справочника «Вид изделия»). Поле «Оборудование» является информационным и может быть заполнено печатным оборудованиме для которого будет использоваться данная техкарта, также пользователь может указать \"Скорость для данного оборудования (погон. м./час)\". Реквизит «Наименование» служит для условного обозначения данной техкарты. Табличная часть имеет следующие реквизиты: Краска – краска (элемент справочника «Номенклатура») или пантон (элемент справочника «Пантоны»), которые используются при производстве данной продукции. Характеристика -характеристика краски. Анилокс/Сетка – характеристика растрового вала, использующегося при флексопечати данной продукции и применяемая для выбранной краски. Процент запечатки -процент запечатки краски для выбранной краски. Оптическая плотность – характеристика краски (мера непрозрачности краски для световых лучей). Коэффициент растискивания – степень увеличения площади печатных элементов в процессе печати. Сведения из технологической карты используются для расчета расхода краски в флексографических документах и включаются в печатную форму «Тех. карта» при формировании документа «Расчет заказа флексопечати» . Посмотрите пример в демо на \"Расчете флексопечати\" №1 По второму. Нужно поставить V - не пересчитывать и уже (не добавлять характеристику, заполнять поля заменяемой номенклатуры.\n\n[Поддержка, сообщение №5]\n1. Алгоритмы разные. Повторю вопрос: у нас не рассчитывается расход краски для рулонной струйной печати на машинах типа HP DesignJet 1100. К сожалению, для того, чтобы смоделировать пример на демобазе этой информации не достаточно. Пришлите скрины этого \"Оборудования\", \"Операции\", \"Нормирования\", \"Расчета заказа\", со всеми закладками объектов. Рекомендую посмотреть примеры в демо базе.","corpus_check":"confirmed_by_consultant_per_user","release_applicability":"confirmed_by_consultant","required_facts":["Также проверьте карточки номенклатуры с используемой краской.","Закладку \"Свойства\" формы элемента.","Для расчета краски при Флексопечати нужно использовать \"Технологическую карту флексопечати\" Справочник «Технологическая карта флексопечать» предназначен для хранения сведений об используемых красках и пантонов при производстве продукции по технологии флексопечати."],"approval_basis":"user_confirmed_consultant_approval"}]</x:v>
      </x:c>
      <x:c r="W24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46" s="6" t="str">
        <x:v>approved</x:v>
      </x:c>
      <x:c r="Y246" s="6" t="str">
        <x:v>Карточка и применимость источников согласованы консультантом; утверждение подтверждено пользователем 25.10.2026.</x:v>
      </x:c>
      <x:c r="Z246" s="6" t="str">
        <x:v>G-77484375f74538</x:v>
      </x:c>
      <x:c r="AA246" s="6" t="str">
        <x:v>dev</x:v>
      </x:c>
      <x:c r="AB246" s="6" t="str">
        <x:v>real_anonymized_candidate</x:v>
      </x:c>
    </x:row>
    <x:row r="247" ht="115" customHeight="1">
      <x:c r="A247" s="6" t="str">
        <x:v>OMNI-141374399-M008</x:v>
      </x:c>
      <x:c r="B247" s="6" t="str">
        <x:v>real_anonymized_candidate:omnidesk:141374399:message:8</x:v>
      </x:c>
      <x:c r="C247" s="6" t="str">
        <x:v>{"history":[],"user_message":"Есть задача: сделать печатную форму бирки продукции, для вывода на принтере этикеток специальных бирок для наклеивания на упакованную продукцию.\nВ числе прочего на бирке должен присутствовать штрихкод с ID расчета заказа, точно такой же который выводится на печатной форме \"Технологическая карта\" или \"Технологическая карта расширенная\".\nПодскажите пожалуйста, как нам проще всего сделать такую печатную форму или шаблон печатной формы офисных документов?\nЗаранее спасибо!"}</x:v>
      </x:c>
      <x:c r="D247" s="6" t="str">
        <x:v>{"product":"1С:УНФ 8. Полиграфия 2","version":"3.0.14.140","retrieval_state":"available","handoff_consent":false,"source_case_id":"141374399","group_id":"omnidesk_141374399","target_message_index":8,"history_status":"approved_case_first_turn","reported_release":"not_reported","approval_basis":"user_confirmed_consultant_approval"}</x:v>
      </x:c>
      <x:c r="E247" s="6" t="str">
        <x:v>1С:УНФ 8. Полиграфия 2</x:v>
      </x:c>
      <x:c r="F247" s="6" t="str">
        <x:v>3.0.14.140</x:v>
      </x:c>
      <x:c r="G247" s="6" t="str">
        <x:v>not_reported</x:v>
      </x:c>
      <x:c r="H247" s="6" t="str">
        <x:v>default</x:v>
      </x:c>
      <x:c r="I247" s="6" t="str">
        <x:v>Применимость источников и эталона к 1С:УНФ 8. Полиграфия 2, релиз 3.0.14.140, подтверждена консультантом со слов пользователя.</x:v>
      </x:c>
      <x:c r="J247" s="13" t="str">
        <x:v>0</x:v>
      </x:c>
      <x:c r="K247" s="13" t="str">
        <x:v>5</x:v>
      </x:c>
      <x:c r="L247" s="7" t="b">
        <x:v>0</x:v>
      </x:c>
      <x:c r="M247" s="6" t="str">
        <x:v>not_applicable</x:v>
      </x:c>
      <x:c r="N247" s="6" t="str">
        <x:v>[]</x:v>
      </x:c>
      <x:c r="O247" s="7" t="b">
        <x:v>1</x:v>
      </x:c>
      <x:c r="P247" s="6" t="str">
        <x:v>K2</x:v>
      </x:c>
      <x:c r="Q247" s="6" t="str">
        <x:v>На заданном первом ходе данных достаточно; утверждённые источники дают применимый ответ для 3.0.14.140. Ожидается ответ по существу с источником.</x:v>
      </x:c>
      <x:c r="R247" s="6" t="str">
        <x:v>["omnidesk","real_anonymized","printing_forms"]</x:v>
      </x:c>
      <x:c r="S247" s="6" t="str">
        <x:v>answer</x:v>
      </x:c>
      <x:c r="T24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типовом функционале для номенклатуры используется ШК EAN 13 Печатные формы техподдержка не делает.","Подтверждённый факт из поддержки: Как проще\\сложнее сделать я не знаю.","Подтверждённый факт из поддержки: Со своей стороны я лишь могу информировать о вашем запросе на эту разработку.","Вежливый деловой русский и понятный следующий шаг; без обвинений и необоснованных обещаний."]</x:v>
      </x:c>
      <x:c r="U24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47" s="6" t="str">
        <x:v>[{"source_file":"/Users/maria/chatbot_rag/knowledge base/omnidesk_cases.jsonl","source_case_id":"141374399","source_jsonl_line":735,"target_message_index":8,"evidence_type":"historical_support_consultant_approved","support_message_indices":[1,3,6],"source_answer":"[Поддержка, сообщение №1]\nПродукция - это номенклатура. В типовом функционале для номенклатуры используется ШК EAN 13 Печатные формы техподдержка не делает. Как проще\\сложнее сделать я не знаю. В вашем случае нужно вопрос этой разработки согласовывать с программистами через менеджеров. Со своей стороны я лишь могу информировать о вашем запросе на эту разработку.\n\n[Поддержка, сообщение №3]\nНикита Юрьевич, ( как в конфигураторе сделать копию печатной формы \"Технологическая карта\" в документе \"Расчет заказа\", и вынести эту печатную форму в расширение, чтобы не затрагивать конфигурацию?) Как это правильно сделать - это тоже программисты знают. Что, где, как (правильно) я не знаю. Наверное где-то здесь. Но конфигурацию или объект нужно снимать с замка (Влючать возможность внесения изменений), и она уже не будет типовой.\n\n[Поддержка, сообщение №6]\nЧто решаем с этим обращением? Закрываем?","corpus_check":"confirmed_by_consultant_per_user","release_applicability":"confirmed_by_consultant","required_facts":["В типовом функционале для номенклатуры используется ШК EAN 13 Печатные формы техподдержка не делает.","Как проще\\сложнее сделать я не знаю.","Со своей стороны я лишь могу информировать о вашем запросе на эту разработку."],"approval_basis":"user_confirmed_consultant_approval"}]</x:v>
      </x:c>
      <x:c r="W24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47" s="6" t="str">
        <x:v>approved</x:v>
      </x:c>
      <x:c r="Y247" s="6" t="str">
        <x:v>Карточка и применимость источников согласованы консультантом; утверждение подтверждено пользователем 25.10.2026.</x:v>
      </x:c>
      <x:c r="Z247" s="6" t="str">
        <x:v>G-3996231246a1cb</x:v>
      </x:c>
      <x:c r="AA247" s="6" t="str">
        <x:v>dev</x:v>
      </x:c>
      <x:c r="AB247" s="6" t="str">
        <x:v>real_anonymized_candidate</x:v>
      </x:c>
    </x:row>
    <x:row r="248" ht="115" customHeight="1">
      <x:c r="A248" s="6" t="str">
        <x:v>OMNI-261207847-M001</x:v>
      </x:c>
      <x:c r="B248" s="6" t="str">
        <x:v>real_anonymized_candidate:omnidesk:261207847:message:1</x:v>
      </x:c>
      <x:c r="C248" s="6" t="str">
        <x:v>{"history":[],"user_message":"Посыпался системный жесткий диск, доживает последние дни.\nМеняем на новый -- слетают лицензии 1С:Полиграфии..\nЧто с этим можно сделать?\nЗаранее спасибо!"}</x:v>
      </x:c>
      <x:c r="D248" s="6" t="str">
        <x:v>{"product":"1С:УНФ 8. Полиграфия 2","version":"3.0.14.140","retrieval_state":"available","handoff_consent":false,"source_case_id":"261207847","group_id":"omnidesk_261207847","target_message_index":1,"history_status":"approved_case_first_turn","reported_release":"not_reported","approval_basis":"user_confirmed_consultant_approval"}</x:v>
      </x:c>
      <x:c r="E248" s="6" t="str">
        <x:v>1С:УНФ 8. Полиграфия 2</x:v>
      </x:c>
      <x:c r="F248" s="6" t="str">
        <x:v>3.0.14.140</x:v>
      </x:c>
      <x:c r="G248" s="6" t="str">
        <x:v>not_reported</x:v>
      </x:c>
      <x:c r="H248" s="6" t="str">
        <x:v>default</x:v>
      </x:c>
      <x:c r="I248" s="6" t="str">
        <x:v>Применимость источников и эталона к 1С:УНФ 8. Полиграфия 2, релиз 3.0.14.140, подтверждена консультантом со слов пользователя.</x:v>
      </x:c>
      <x:c r="J248" s="13" t="str">
        <x:v>0</x:v>
      </x:c>
      <x:c r="K248" s="13" t="str">
        <x:v>5</x:v>
      </x:c>
      <x:c r="L248" s="7" t="b">
        <x:v>0</x:v>
      </x:c>
      <x:c r="M248" s="6" t="str">
        <x:v>not_applicable</x:v>
      </x:c>
      <x:c r="N248" s="6" t="str">
        <x:v>[]</x:v>
      </x:c>
      <x:c r="O248" s="7" t="b">
        <x:v>1</x:v>
      </x:c>
      <x:c r="P248" s="6" t="str">
        <x:v>K2</x:v>
      </x:c>
      <x:c r="Q248" s="6" t="str">
        <x:v>На заданном первом ходе данных достаточно; утверждённые источники дают применимый ответ для 3.0.14.140. Ожидается ответ по существу с источником.</x:v>
      </x:c>
      <x:c r="R248" s="6" t="str">
        <x:v>["omnidesk","real_anonymized","licensing"]</x:v>
      </x:c>
      <x:c r="S248" s="6" t="str">
        <x:v>answer</x:v>
      </x:c>
      <x:c r="T24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Прикреплена инструкция по получению резервного кода активации лицензий.","Подтверждённый факт из поддержки: В крайнем случае, пишется запрос на получение резервных кодов по (указывается рег N пп и ИНН, КПП) высылают (до 1ч) в 10-17) или на следующий день.","Вежливый деловой русский и понятный следующий шаг; без обвинений и необоснованных обещаний."]</x:v>
      </x:c>
      <x:c r="U24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48" s="6" t="str">
        <x:v>[{"source_file":"/Users/maria/chatbot_rag/knowledge base/omnidesk_cases.jsonl","source_case_id":"261207847","source_jsonl_line":386,"target_message_index":1,"evidence_type":"historical_support_consultant_approved","support_message_indices":[2],"source_answer":"[Поддержка, сообщение №2]\nПрикреплена инструкция по получению резервного кода активации лицензий. В крайнем случае, пишется запрос на получение резервных кодов по (указывается рег N пп и ИНН, КПП) высылают (до 1ч) в 10-17) или на следующий день.","corpus_check":"confirmed_by_consultant_per_user","release_applicability":"confirmed_by_consultant","required_facts":["Прикреплена инструкция по получению резервного кода активации лицензий.","В крайнем случае, пишется запрос на получение резервных кодов по (указывается рег N пп и ИНН, КПП) высылают (до 1ч) в 10-17) или на следующий день."],"approval_basis":"user_confirmed_consultant_approval"}]</x:v>
      </x:c>
      <x:c r="W24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48" s="6" t="str">
        <x:v>approved</x:v>
      </x:c>
      <x:c r="Y248" s="6" t="str">
        <x:v>Карточка и применимость источников согласованы консультантом; утверждение подтверждено пользователем 25.10.2026.</x:v>
      </x:c>
      <x:c r="Z248" s="6" t="str">
        <x:v>G-d2e381043c4574</x:v>
      </x:c>
      <x:c r="AA248" s="6" t="str">
        <x:v>dev</x:v>
      </x:c>
      <x:c r="AB248" s="6" t="str">
        <x:v>real_anonymized_candidate</x:v>
      </x:c>
    </x:row>
    <x:row r="249" ht="115" customHeight="1">
      <x:c r="A249" s="6" t="str">
        <x:v>OMNI-48704697-M001</x:v>
      </x:c>
      <x:c r="B249" s="6" t="str">
        <x:v>real_anonymized_candidate:omnidesk:48704697:message:1</x:v>
      </x:c>
      <x:c r="C249" s="6" t="str">
        <x:v>{"history":[],"user_message":"подскажите синхронизируется ли ваше отраслевое решение с Битрикс 24. Можете ли помочь в настройке синхронизации."}</x:v>
      </x:c>
      <x:c r="D249" s="6" t="str">
        <x:v>{"product":"1С:УНФ 8. Полиграфия 2","version":"3.0.14.140","retrieval_state":"available","handoff_consent":false,"source_case_id":"48704697","group_id":"omnidesk_48704697","target_message_index":1,"history_status":"approved_case_first_turn","reported_release":"not_reported","approval_basis":"user_confirmed_consultant_approval"}</x:v>
      </x:c>
      <x:c r="E249" s="6" t="str">
        <x:v>1С:УНФ 8. Полиграфия 2</x:v>
      </x:c>
      <x:c r="F249" s="6" t="str">
        <x:v>3.0.14.140</x:v>
      </x:c>
      <x:c r="G249" s="6" t="str">
        <x:v>not_reported</x:v>
      </x:c>
      <x:c r="H249" s="6" t="str">
        <x:v>default</x:v>
      </x:c>
      <x:c r="I249" s="6" t="str">
        <x:v>Применимость источников и эталона к 1С:УНФ 8. Полиграфия 2, релиз 3.0.14.140, подтверждена консультантом со слов пользователя.</x:v>
      </x:c>
      <x:c r="J249" s="13" t="str">
        <x:v>0</x:v>
      </x:c>
      <x:c r="K249" s="13" t="str">
        <x:v>5</x:v>
      </x:c>
      <x:c r="L249" s="7" t="b">
        <x:v>0</x:v>
      </x:c>
      <x:c r="M249" s="6" t="str">
        <x:v>not_applicable</x:v>
      </x:c>
      <x:c r="N249" s="6" t="str">
        <x:v>[]</x:v>
      </x:c>
      <x:c r="O249" s="7" t="b">
        <x:v>1</x:v>
      </x:c>
      <x:c r="P249" s="6" t="str">
        <x:v>K2</x:v>
      </x:c>
      <x:c r="Q249" s="6" t="str">
        <x:v>На заданном первом ходе данных достаточно; утверждённые источники дают применимый ответ для 3.0.14.140. Ожидается ответ по существу с источником.</x:v>
      </x:c>
      <x:c r="R249" s="6" t="str">
        <x:v>["omnidesk","real_anonymized","integration"]</x:v>
      </x:c>
      <x:c r="S249" s="6" t="str">
        <x:v>answer</x:v>
      </x:c>
      <x:c r="T24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Пока отвечу сразу, если что изменилось уточню у разработчиков и напишу дополнительно.","Подтверждённый факт из поддержки: Для синхронизации с Битрикс 24 нужно добавлять модули Битрикса в конфигурацию, т.е.","Подтверждённый факт из поддержки: она уже не \"Типовая\", поэтому синхронизировать можно, соответственно сложности с обновлением.","Вежливый деловой русский и понятный следующий шаг; без обвинений и необоснованных обещаний."]</x:v>
      </x:c>
      <x:c r="U24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49" s="6" t="str">
        <x:v>[{"source_file":"/Users/maria/chatbot_rag/knowledge base/omnidesk_cases.jsonl","source_case_id":"48704697","source_jsonl_line":1008,"target_message_index":1,"evidence_type":"historical_support_consultant_approved","support_message_indices":[2,4,5],"source_answer":"[Поддержка, сообщение №2]\nПока отвечу сразу, если что изменилось уточню у разработчиков и напишу дополнительно. Для синхронизации с Битрикс 24 нужно добавлять модули Битрикса в конфигурацию, т.е. она уже не \"Типовая\", поэтому синхронизировать можно, соответственно сложности с обновлением.\n\n[Поддержка, сообщение №4]\nУНФ и наша конфигурация поддерживает синхронизацию. Открываете Все функции-Стандартные-Управление расширениями конфигурации, добавляете synchronizationB24.cfe И можно приступать к настройке.\n\n[Поддержка, сообщение №5]\nво вложении cfe","corpus_check":"confirmed_by_consultant_per_user","release_applicability":"confirmed_by_consultant","required_facts":["Пока отвечу сразу, если что изменилось уточню у разработчиков и напишу дополнительно.","Для синхронизации с Битрикс 24 нужно добавлять модули Битрикса в конфигурацию, т.е.","она уже не \"Типовая\", поэтому синхронизировать можно, соответственно сложности с обновлением."],"approval_basis":"user_confirmed_consultant_approval"}]</x:v>
      </x:c>
      <x:c r="W24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49" s="6" t="str">
        <x:v>approved</x:v>
      </x:c>
      <x:c r="Y249" s="6" t="str">
        <x:v>Карточка и применимость источников согласованы консультантом; утверждение подтверждено пользователем 25.10.2026.</x:v>
      </x:c>
      <x:c r="Z249" s="6" t="str">
        <x:v>G-71033a01f1a69e</x:v>
      </x:c>
      <x:c r="AA249" s="6" t="str">
        <x:v>dev</x:v>
      </x:c>
      <x:c r="AB249" s="6" t="str">
        <x:v>real_anonymized_candidate</x:v>
      </x:c>
    </x:row>
    <x:row r="250" ht="115" customHeight="1">
      <x:c r="A250" s="6" t="str">
        <x:v>OMNI-380411413-M002</x:v>
      </x:c>
      <x:c r="B250" s="6" t="str">
        <x:v>real_anonymized_candidate:omnidesk:380411413:message:2</x:v>
      </x:c>
      <x:c r="C250" s="6" t="str">
        <x:v>{"history":[],"user_message":"Программа: 1с УНФ Полиграфия 2 Номер лицензии: [LONG_NUMBER] Куплена: ИП Языкова Е.С. Пытаемся заполнять сдельные наряды по сотруднику, после отработанного дня. Заполняется все крайне не корректно. Если в операции нет разницы между временем В работу и Отработан, то она вообще не отображается в Сдельном наряде сотрудника. При этом если через журнал Отражение план/факта по операциям заказов поправить время хотя бы на 2 секунды то часть операций появляются в сдельном наряде, но часть операций появляются только если изменить дату или сделать разницу в несколько часов. Как вообще работает этот механизм? почему операции отображаются выборочно? Александр Богачев / Руководитель подразделения [EMAIL] / +[LONG_NUMBER] Типография Линк Принт Офис: +[LONG_NUMBER] Екатеринбург. ул. Красноармейская, д. 92а, оф. 204 [URL] Мы в соц. сетях Отдел продаж Нижний Тагил +[LONG_NUMBER]"}</x:v>
      </x:c>
      <x:c r="D250" s="6" t="str">
        <x:v>{"product":"1С:УНФ 8. Полиграфия 2","version":"3.0.14.140","retrieval_state":"available","handoff_consent":false,"source_case_id":"380411413","group_id":"omnidesk_380411413","target_message_index":2,"history_status":"approved_case_first_turn","reported_release":"not_reported","approval_basis":"user_confirmed_consultant_approval"}</x:v>
      </x:c>
      <x:c r="E250" s="6" t="str">
        <x:v>1С:УНФ 8. Полиграфия 2</x:v>
      </x:c>
      <x:c r="F250" s="6" t="str">
        <x:v>3.0.14.140</x:v>
      </x:c>
      <x:c r="G250" s="6" t="str">
        <x:v>not_reported</x:v>
      </x:c>
      <x:c r="H250" s="6" t="str">
        <x:v>default</x:v>
      </x:c>
      <x:c r="I250" s="6" t="str">
        <x:v>Применимость источников и эталона к 1С:УНФ 8. Полиграфия 2, релиз 3.0.14.140, подтверждена консультантом со слов пользователя.</x:v>
      </x:c>
      <x:c r="J250" s="13" t="str">
        <x:v>0</x:v>
      </x:c>
      <x:c r="K250" s="13" t="str">
        <x:v>5</x:v>
      </x:c>
      <x:c r="L250" s="7" t="b">
        <x:v>0</x:v>
      </x:c>
      <x:c r="M250" s="6" t="str">
        <x:v>not_applicable</x:v>
      </x:c>
      <x:c r="N250" s="6" t="str">
        <x:v>[]</x:v>
      </x:c>
      <x:c r="O250" s="7" t="b">
        <x:v>1</x:v>
      </x:c>
      <x:c r="P250" s="6" t="str">
        <x:v>K2</x:v>
      </x:c>
      <x:c r="Q250" s="6" t="str">
        <x:v>На заданном первом ходе данных достаточно; утверждённые источники дают применимый ответ для 3.0.14.140. Ожидается ответ по существу с источником.</x:v>
      </x:c>
      <x:c r="R250" s="6" t="str">
        <x:v>["omnidesk","real_anonymized","licensing","planning"]</x:v>
      </x:c>
      <x:c r="S250" s="6" t="str">
        <x:v>answer</x:v>
      </x:c>
      <x:c r="T25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Ообратите внимание как у вас настройки в по ЗП в операции.","Подтверждённый факт из поддержки: Рассмотрим на примере Создаю расчет, устанавливаю в операции печати 500 руб на тираж.","Подтверждённый факт из поддержки: Расчитываю Расчет заказа -Статус в работу, перехожу в Журнал оператора и выполняю (отметки) На основании Расчета делаю сдельный наряд Ниже последовательность В вашем вопросе дело в настройках, проверьте еще раз зависимости.","Вежливый деловой русский и понятный следующий шаг; без обвинений и необоснованных обещаний."]</x:v>
      </x:c>
      <x:c r="U25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50" s="6" t="str">
        <x:v>[{"source_file":"/Users/maria/chatbot_rag/knowledge base/omnidesk_cases.jsonl","source_case_id":"380411413","source_jsonl_line":101,"target_message_index":2,"evidence_type":"historical_support_consultant_approved","support_message_indices":[1,3,4,6],"source_answer":"[Поддержка, сообщение №1]\nЭто так и работает. Ообратите внимание как у вас настройки в по ЗП в операции. Актуальная Демобаза. Рассмотрим на примере Создаю расчет, устанавливаю в операции печати 500 руб на тираж. Расчитываю Расчет заказа -Статус в работу, перехожу в Журнал оператора и выполняю (отметки) На основании Расчета делаю сдельный наряд Ниже последовательность В вашем вопросе дело в настройках, проверьте еще раз зависимости. Рекомендуем вам организовать работу с консультантом\n\n[Поддержка, сообщение №4]\nПо этому вопросу вы можете посмотреть здесь [URL]\n\n[Поддержка, сообщение №6]\nДокумент предназначен для планирования и указания факта выполнения операций бригадой или сотрудником. Увеличение себестоимости изделий/работ сдельным нарядом возможно только после включения раздела \"Зарплата\" в настройках программы. В документе необходимо заполнить следующие реквизиты: Организация, от лица которой оформляется документ. Выбирается из справочника \"Организации\". Реквизит отображается на форме, если в настройках параметров учета включено ведение учета по нескольким организациям. Подразделение, в котором оформляется документ. Выбирается из справочника \"Структурные единицы\". Есть возможность переключения режима отображения, при котором подразделение будет задаваться для каждой операции отдельно. Исполнитель, по которому оформляется документ. Выбирается из справочника \"Сотрудники\" или \"Бригады\". Если исполнителем выбрана бригада, то для начисления можно указать состав бригады и КТУ на закладке \"Состав бригады\". Есть возможность переключения режима отображения, при котором исполнитель будет задаваться для каждой операции отдельно. В таком режиме состав бригады и КТУ также индивидуальны для каждой операции. Заказ на производство , по которому выполнена операция. Выбирается из списка документов \"Заказы на производство\". Валюта документа - валюта, в которой указывается стоимость работ. Выбирается из справочника \"Валюты\". Закрыт, Дата закрытия - при установленном флаге Закрыт документ начисляет зарплату сотрудникам на Дату закрытия . Комментарий. Указывается любая дополнительная информация к документу. Операции. В табличной части указывается запланированная и выполненная операция с возможностью детализации до заказа покупателя и продукции. Реквизиты табличной части: Дата. Дата выполнения операции, на нее будет начислена сумма зарплаты. Этап. При использовании поэтапного производства указывается этап производства, к которому относится выполняемая операция. При отключенной опции колонка не отображается. Заказ покупателя , по которому выполнена операция. Выбирается из списка документов \"Заказы покупателей\". Заказ на производство см. такое же поле в шапке документа. Отображается при переключении режима расположения заказа на производство через пункт \"Шапка / табличная часть\" подменю \"Еще\" или контекстного меню таблицы операций. Номенклатура, для изготовления которой выполнена операция. Выбирается из справочника \"Номенклатура\". Характеристика номенклатуры, для изготовления которой выполнена операция. Выбирается из справочника \"Характеристики номенклатуры\". Партия номенклатуры, для изготовления которой выполнена операция. Выбирается из справочника \"Партии номенклатуры\". Единица измерения операции. Выбирается из справочника \"Единицы измерения\" или \"Классификатор единиц измерения\". Операция . Выбирается из справочника \"Номенклатура\". Количество (план) - количество операций, запланированных к выполнению. Количество (факт) - фактическое количество выполненных операций. Норма - норма времени для изготовления единицы продукции. Расценка - стоимость выполнения операции для изготовления единицы продукции. Нормочасы - количество нормочасов. Стоимость выполненных операций. Исполнитель см. такое же поле в шапке документа. Отображается при переключении режима расположения исполнителя через пункт \"Шапка / табличная часть\" подменю \"Еще\" или контекстного меню таблицы операций. Подразделение см. такое же поле в шапке документа. Отображается при переключении режима расположения подразделения через пункт \"Шапка / табличная часть\" подменю \"Еще\" или контекстного меню таблицы операций. Завершающее подразделение нужно указывать при использовании поэтапного производства с возможностью выполнять этапы разными подразделениями. Содержит структурную единицу, на которой будет храниться остаток незавершенного производства. Состав бригады. В табличной части указывается фактический состав бригады, выполняющей операции. В командной панели предусмотрен механизм автозаполнения списком сотрудников по умолчанию. Реквизиты табличной части: Сотрудник, входящий в состав бригады. Выбирается из справочника \"Сотрудники\". КТУ - коэффициент трудового участия, пропорционально которому делится стоимость работ. Указывается доля, а не процент. В командной панели на закладке \"Операции\" расположена кнопка (\"Остатки план/факт\"). Данная кнопка активирует режит отображения, показывающий количество операций запланированные документом основанием, а также запланирование и выполненные опеарации другими сдельными нарядами. План по заказу / всего - Количество операций запланированных документом \"Заказ покупателя\", \"Заказ на производство\" или \"Производство\" / Общее количество операций запланированных к выполнению документами \"Сдельный наряд\". Всего факт - Общее количество выполненных операций документами \"Сдельный наряд\". Документ \"Сдельный наряд\" может быть введен на основании документов: \"Заказ покупателя\"; \"Заказ на производство\"; \"Производство\".","corpus_check":"confirmed_by_consultant_per_user","release_applicability":"confirmed_by_consultant","required_facts":["Ообратите внимание как у вас настройки в по ЗП в операции.","Рассмотрим на примере Создаю расчет, устанавливаю в операции печати 500 руб на тираж.","Расчитываю Расчет заказа -Статус в работу, перехожу в Журнал оператора и выполняю (отметки) На основании Расчета делаю сдельный наряд Ниже последовательность В вашем вопросе дело в настройках, проверьте еще раз зависимости."],"approval_basis":"user_confirmed_consultant_approval"}]</x:v>
      </x:c>
      <x:c r="W25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50" s="6" t="str">
        <x:v>approved</x:v>
      </x:c>
      <x:c r="Y250" s="6" t="str">
        <x:v>Карточка и применимость источников согласованы консультантом; утверждение подтверждено пользователем 25.10.2026.</x:v>
      </x:c>
      <x:c r="Z250" s="6" t="str">
        <x:v>G-c82dd4db330b21</x:v>
      </x:c>
      <x:c r="AA250" s="6" t="str">
        <x:v>dev</x:v>
      </x:c>
      <x:c r="AB250" s="6" t="str">
        <x:v>real_anonymized_candidate</x:v>
      </x:c>
    </x:row>
    <x:row r="251" ht="115" customHeight="1">
      <x:c r="A251" s="6" t="str">
        <x:v>OMNI-226314771-M001</x:v>
      </x:c>
      <x:c r="B251" s="6" t="str">
        <x:v>real_anonymized_candidate:omnidesk:226314771:message:1</x:v>
      </x:c>
      <x:c r="C251" s="6" t="str">
        <x:v>{"history":[],"user_message":"Решили вести складской учет еще в разбивках по Ячейкам. Постепенно прописываем ячейки в номенклатуре, но столкнулись со следующими проблемами:\n1. что у номенклатуры с прописанными ячейками при создании документа Производства из Расчета заказа ячейка в табличную часть не подтягивается и документ не проводится, ругается не достаточное количество. И приходятся выбирать эту номенклатуру из справочника вручную, тогда ячейка подтягивается и документ проводится.\n2. иногда имеет место замена материала (например, фактически израсходовали материал другой ширины) и при создании документа Производства из Расчета заказа ячейка в табличную часть не подтягивается и документ не проводится, ругается не достаточное количество. И приходятся выбирать эту номенклатуру из справочника вручную, тогда ячейка подтягивается НО ДОКУМЕНТ ВСЕ РАВНО НЕ ПРОВОДИТСЯ.\nПомогите разобраться. Что мы делаем не так? Есть ли подробные инструкции по работе с этим параметром?"}</x:v>
      </x:c>
      <x:c r="D251" s="6" t="str">
        <x:v>{"product":"1С:УНФ 8. Полиграфия 2","version":"3.0.14.140","retrieval_state":"available","handoff_consent":false,"source_case_id":"226314771","group_id":"omnidesk_226314771","target_message_index":1,"history_status":"approved_case_first_turn","reported_release":"not_reported","approval_basis":"user_confirmed_consultant_approval"}</x:v>
      </x:c>
      <x:c r="E251" s="6" t="str">
        <x:v>1С:УНФ 8. Полиграфия 2</x:v>
      </x:c>
      <x:c r="F251" s="6" t="str">
        <x:v>3.0.14.140</x:v>
      </x:c>
      <x:c r="G251" s="6" t="str">
        <x:v>not_reported</x:v>
      </x:c>
      <x:c r="H251" s="6" t="str">
        <x:v>default</x:v>
      </x:c>
      <x:c r="I251" s="6" t="str">
        <x:v>Применимость источников и эталона к 1С:УНФ 8. Полиграфия 2, релиз 3.0.14.140, подтверждена консультантом со слов пользователя.</x:v>
      </x:c>
      <x:c r="J251" s="13" t="str">
        <x:v>0</x:v>
      </x:c>
      <x:c r="K251" s="13" t="str">
        <x:v>5</x:v>
      </x:c>
      <x:c r="L251" s="7" t="b">
        <x:v>0</x:v>
      </x:c>
      <x:c r="M251" s="6" t="str">
        <x:v>not_applicable</x:v>
      </x:c>
      <x:c r="N251" s="6" t="str">
        <x:v>[]</x:v>
      </x:c>
      <x:c r="O251" s="7" t="b">
        <x:v>1</x:v>
      </x:c>
      <x:c r="P251" s="6" t="str">
        <x:v>K2</x:v>
      </x:c>
      <x:c r="Q251" s="6" t="str">
        <x:v>На заданном первом ходе данных достаточно; утверждённые источники дают применимый ответ для 3.0.14.140. Ожидается ответ по существу с источником.</x:v>
      </x:c>
      <x:c r="R251" s="6" t="str">
        <x:v>["omnidesk","real_anonymized","materials"]</x:v>
      </x:c>
      <x:c r="S251" s="6" t="str">
        <x:v>answer</x:v>
      </x:c>
      <x:c r="T25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Весь типовой блок [URL] [dbnick]=&amp;attributes[conf][]=%D0%A3%D0%9D%D0%A4&amp;attribute=conf + в справочной информации к скаладским документам и документам отражающих движение номенклатуры.","Подтверждённый факт из поддержки: С И приходятся выбирать эту номенклатуру из справочника вручную, тогда ячейка подтягивается НО ДОКУМЕНТ ВСЕ РАВНО НЕ ПРОВОДИТСЯ.","Подтверждённый факт из поддержки: не могу согласится у меня в демо провелось.","Вежливый деловой русский и понятный следующий шаг; без обвинений и необоснованных обещаний."]</x:v>
      </x:c>
      <x:c r="U25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51" s="6" t="str">
        <x:v>[{"source_file":"/Users/maria/chatbot_rag/knowledge base/omnidesk_cases.jsonl","source_case_id":"226314771","source_jsonl_line":458,"target_message_index":1,"evidence_type":"historical_support_consultant_approved","support_message_indices":[2,3,4,5],"source_answer":"[Поддержка, сообщение №3]\n1. Весь типовой блок [URL] [dbnick]=&amp;attributes[conf][]=%D0%A3%D0%9D%D0%A4&amp;attribute=conf + в справочной информации к скаладским документам и документам отражающих движение номенклатуры. С И приходятся выбирать эту номенклатуру из справочника вручную, тогда ячейка подтягивается НО ДОКУМЕНТ ВСЕ РАВНО НЕ ПРОВОДИТСЯ. не могу согласится у меня в демо провелось.\n\n[Поддержка, сообщение №4]\nОднако, о том что в наших формах нет функционала как в типовых - варианта указания склада/ячеек в таб части или шапке я написал разработчикам. Пока в процессе рассмотрения. О результате этого аспекта сообщим дополнительно.\n\n[Поддержка, сообщение №5]\nПока нет конкретного решения. Поскольку при указании номенклатуры в блоке производство в этом случае все списывается.","corpus_check":"confirmed_by_consultant_per_user","release_applicability":"confirmed_by_consultant","required_facts":["Весь типовой блок [URL] [dbnick]=&amp;attributes[conf][]=%D0%A3%D0%9D%D0%A4&amp;attribute=conf + в справочной информации к скаладским документам и документам отражающих движение номенклатуры.","С И приходятся выбирать эту номенклатуру из справочника вручную, тогда ячейка подтягивается НО ДОКУМЕНТ ВСЕ РАВНО НЕ ПРОВОДИТСЯ.","не могу согласится у меня в демо провелось."],"approval_basis":"user_confirmed_consultant_approval"}]</x:v>
      </x:c>
      <x:c r="W25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51" s="6" t="str">
        <x:v>approved</x:v>
      </x:c>
      <x:c r="Y251" s="6" t="str">
        <x:v>Карточка и применимость источников согласованы консультантом; утверждение подтверждено пользователем 25.10.2026.</x:v>
      </x:c>
      <x:c r="Z251" s="6" t="str">
        <x:v>G-60f6ec944f7209</x:v>
      </x:c>
      <x:c r="AA251" s="6" t="str">
        <x:v>dev</x:v>
      </x:c>
      <x:c r="AB251" s="6" t="str">
        <x:v>real_anonymized_candidate</x:v>
      </x:c>
    </x:row>
    <x:row r="252" ht="115" customHeight="1">
      <x:c r="A252" s="6" t="str">
        <x:v>OMNI-145073959-M001</x:v>
      </x:c>
      <x:c r="B252" s="6" t="str">
        <x:v>real_anonymized_candidate:omnidesk:145073959:message:1</x:v>
      </x:c>
      <x:c r="C252" s="6" t="str">
        <x:v>{"history":[],"user_message":"Центр.\nПропал доступ к странице [URL]\nЭто только у нас, или в принципе пропал?\n===============\nПроизводим настоящие флаги, одинаково яркие с обеих сторон: [URL]\nПластиковые карты, широкоформатная печать, фотообои и многое другое: [URL]\nПолиграфия любой сложности, от визитки до баннера: [URL]"}</x:v>
      </x:c>
      <x:c r="D252" s="6" t="str">
        <x:v>{"product":"1С:УНФ 8. Полиграфия 2","version":"3.0.14.140","retrieval_state":"available","handoff_consent":false,"source_case_id":"145073959","group_id":"omnidesk_145073959","target_message_index":1,"history_status":"approved_case_first_turn","reported_release":"not_reported","approval_basis":"user_confirmed_consultant_approval"}</x:v>
      </x:c>
      <x:c r="E252" s="6" t="str">
        <x:v>1С:УНФ 8. Полиграфия 2</x:v>
      </x:c>
      <x:c r="F252" s="6" t="str">
        <x:v>3.0.14.140</x:v>
      </x:c>
      <x:c r="G252" s="6" t="str">
        <x:v>not_reported</x:v>
      </x:c>
      <x:c r="H252" s="6" t="str">
        <x:v>default</x:v>
      </x:c>
      <x:c r="I252" s="6" t="str">
        <x:v>Применимость источников и эталона к 1С:УНФ 8. Полиграфия 2, релиз 3.0.14.140, подтверждена консультантом со слов пользователя.</x:v>
      </x:c>
      <x:c r="J252" s="13" t="str">
        <x:v>0</x:v>
      </x:c>
      <x:c r="K252" s="13" t="str">
        <x:v>5</x:v>
      </x:c>
      <x:c r="L252" s="7" t="b">
        <x:v>0</x:v>
      </x:c>
      <x:c r="M252" s="6" t="str">
        <x:v>not_applicable</x:v>
      </x:c>
      <x:c r="N252" s="6" t="str">
        <x:v>[]</x:v>
      </x:c>
      <x:c r="O252" s="7" t="b">
        <x:v>1</x:v>
      </x:c>
      <x:c r="P252" s="6" t="str">
        <x:v>K2</x:v>
      </x:c>
      <x:c r="Q252" s="6" t="str">
        <x:v>На заданном первом ходе данных достаточно; утверждённые источники дают применимый ответ для 3.0.14.140. Ожидается ответ по существу с источником.</x:v>
      </x:c>
      <x:c r="R252" s="6" t="str">
        <x:v>["omnidesk","real_anonymized","access_rights"]</x:v>
      </x:c>
      <x:c r="S252" s="6" t="str">
        <x:v>answer</x:v>
      </x:c>
      <x:c r="T25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Были непредвиденные технические неполадки.","Вежливый деловой русский и понятный следующий шаг; без обвинений и необоснованных обещаний."]</x:v>
      </x:c>
      <x:c r="U25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52" s="6" t="str">
        <x:v>[{"source_file":"/Users/maria/chatbot_rag/knowledge base/omnidesk_cases.jsonl","source_case_id":"145073959","source_jsonl_line":706,"target_message_index":1,"evidence_type":"historical_support_consultant_approved","support_message_indices":[2],"source_answer":"[Поддержка, сообщение №2]\nБыли непредвиденные технические неполадки. Они устранены, попробуйте еще раз.","corpus_check":"confirmed_by_consultant_per_user","release_applicability":"confirmed_by_consultant","required_facts":["Были непредвиденные технические неполадки."],"approval_basis":"user_confirmed_consultant_approval"}]</x:v>
      </x:c>
      <x:c r="W25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52" s="6" t="str">
        <x:v>approved</x:v>
      </x:c>
      <x:c r="Y252" s="6" t="str">
        <x:v>Карточка и применимость источников согласованы консультантом; утверждение подтверждено пользователем 25.10.2026.</x:v>
      </x:c>
      <x:c r="Z252" s="6" t="str">
        <x:v>G-fb39cd37a56ec7</x:v>
      </x:c>
      <x:c r="AA252" s="6" t="str">
        <x:v>dev</x:v>
      </x:c>
      <x:c r="AB252" s="6" t="str">
        <x:v>real_anonymized_candidate</x:v>
      </x:c>
    </x:row>
    <x:row r="253" ht="115" customHeight="1">
      <x:c r="A253" s="6" t="str">
        <x:v>OMNI-28461177-M001</x:v>
      </x:c>
      <x:c r="B253" s="6" t="str">
        <x:v>real_anonymized_candidate:omnidesk:28461177:message:1</x:v>
      </x:c>
      <x:c r="C253" s="6" t="str">
        <x:v>{"history":[],"user_message":"Мы являемся пользователями конфигурации 1С:Предприятие 8. Оперативная\nпечать (рег.номер [LONG_NUMBER]) и хотели бы попросить у вас электронную\nкопию руководства пользователя в связи с утерей физической копии. Есть\nли возможность прислать его на этот электронный адрес?\nЗаранее спасибо,"}</x:v>
      </x:c>
      <x:c r="D253" s="6" t="str">
        <x:v>{"product":"1С:УНФ 8. Полиграфия 2","version":"3.0.14.140","retrieval_state":"available","handoff_consent":false,"source_case_id":"28461177","group_id":"omnidesk_28461177","target_message_index":1,"history_status":"approved_case_first_turn","reported_release":"not_reported","approval_basis":"user_confirmed_consultant_approval"}</x:v>
      </x:c>
      <x:c r="E253" s="6" t="str">
        <x:v>1С:УНФ 8. Полиграфия 2</x:v>
      </x:c>
      <x:c r="F253" s="6" t="str">
        <x:v>3.0.14.140</x:v>
      </x:c>
      <x:c r="G253" s="6" t="str">
        <x:v>not_reported</x:v>
      </x:c>
      <x:c r="H253" s="6" t="str">
        <x:v>default</x:v>
      </x:c>
      <x:c r="I253" s="6" t="str">
        <x:v>Применимость источников и эталона к 1С:УНФ 8. Полиграфия 2, релиз 3.0.14.140, подтверждена консультантом со слов пользователя.</x:v>
      </x:c>
      <x:c r="J253" s="13" t="str">
        <x:v>0</x:v>
      </x:c>
      <x:c r="K253" s="13" t="str">
        <x:v>5</x:v>
      </x:c>
      <x:c r="L253" s="7" t="b">
        <x:v>0</x:v>
      </x:c>
      <x:c r="M253" s="6" t="str">
        <x:v>not_applicable</x:v>
      </x:c>
      <x:c r="N253" s="6" t="str">
        <x:v>[]</x:v>
      </x:c>
      <x:c r="O253" s="7" t="b">
        <x:v>1</x:v>
      </x:c>
      <x:c r="P253" s="6" t="str">
        <x:v>K2</x:v>
      </x:c>
      <x:c r="Q253" s="6" t="str">
        <x:v>На заданном первом ходе данных достаточно; утверждённые источники дают применимый ответ для 3.0.14.140. Ожидается ответ по существу с источником.</x:v>
      </x:c>
      <x:c r="R253" s="6" t="str">
        <x:v>["omnidesk","real_anonymized","access_rights"]</x:v>
      </x:c>
      <x:c r="S253" s="6" t="str">
        <x:v>answer</x:v>
      </x:c>
      <x:c r="T253" s="6" t="str">
        <x:v>["Дать содержательный ответ на вопрос пользователя по подтверждённому источнику нужной версии.","Указать источник и подходящий следующий шаг.","Вежливый деловой русский и понятный следующий шаг; без обвинений и необоснованных обещаний."]</x:v>
      </x:c>
      <x:c r="U25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53" s="6" t="str">
        <x:v>[{"source_file":"/Users/maria/chatbot_rag/knowledge base/omnidesk_cases.jsonl","source_case_id":"28461177","source_jsonl_line":1095,"target_message_index":1,"evidence_type":"historical_support_consultant_approved","support_message_indices":[2],"source_answer":"[Поддержка, сообщение №2]\nПо этому вопросу вам следует обратиться к менеджерам. Я им перешлю ваше обращение.","corpus_check":"confirmed_by_consultant_per_user","release_applicability":"confirmed_by_consultant","approval_basis":"user_confirmed_consultant_approval"}]</x:v>
      </x:c>
      <x:c r="W25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53" s="6" t="str">
        <x:v>approved</x:v>
      </x:c>
      <x:c r="Y253" s="6" t="str">
        <x:v>Карточка и применимость источников согласованы консультантом; утверждение подтверждено пользователем 25.10.2026.</x:v>
      </x:c>
      <x:c r="Z253" s="6" t="str">
        <x:v>G-1662994cd70839</x:v>
      </x:c>
      <x:c r="AA253" s="6" t="str">
        <x:v>dev</x:v>
      </x:c>
      <x:c r="AB253" s="6" t="str">
        <x:v>real_anonymized_candidate</x:v>
      </x:c>
    </x:row>
    <x:row r="254" ht="115" customHeight="1">
      <x:c r="A254" s="6" t="str">
        <x:v>OMNI-174204824-M001</x:v>
      </x:c>
      <x:c r="B254" s="6" t="str">
        <x:v>real_anonymized_candidate:omnidesk:174204824:message:1</x:v>
      </x:c>
      <x:c r="C254" s="6" t="str">
        <x:v>{"history":[],"user_message":"Есть ли возможность интегрировать в конфигурацию 1С:УНФ 8. Полиграфия 2 решение 1С СРМ ( [URL] ) ?"}</x:v>
      </x:c>
      <x:c r="D254" s="6" t="str">
        <x:v>{"product":"1С:УНФ 8. Полиграфия 2","version":"3.0.14.140","retrieval_state":"available","handoff_consent":false,"source_case_id":"174204824","group_id":"omnidesk_174204824","target_message_index":1,"history_status":"approved_case_first_turn","reported_release":"not_reported","approval_basis":"user_confirmed_consultant_approval"}</x:v>
      </x:c>
      <x:c r="E254" s="6" t="str">
        <x:v>1С:УНФ 8. Полиграфия 2</x:v>
      </x:c>
      <x:c r="F254" s="6" t="str">
        <x:v>3.0.14.140</x:v>
      </x:c>
      <x:c r="G254" s="6" t="str">
        <x:v>not_reported</x:v>
      </x:c>
      <x:c r="H254" s="6" t="str">
        <x:v>default</x:v>
      </x:c>
      <x:c r="I254" s="6" t="str">
        <x:v>Применимость источников и эталона к 1С:УНФ 8. Полиграфия 2, релиз 3.0.14.140, подтверждена консультантом со слов пользователя.</x:v>
      </x:c>
      <x:c r="J254" s="13" t="str">
        <x:v>0</x:v>
      </x:c>
      <x:c r="K254" s="13" t="str">
        <x:v>5</x:v>
      </x:c>
      <x:c r="L254" s="7" t="b">
        <x:v>0</x:v>
      </x:c>
      <x:c r="M254" s="6" t="str">
        <x:v>not_applicable</x:v>
      </x:c>
      <x:c r="N254" s="6" t="str">
        <x:v>[]</x:v>
      </x:c>
      <x:c r="O254" s="7" t="b">
        <x:v>1</x:v>
      </x:c>
      <x:c r="P254" s="6" t="str">
        <x:v>K2</x:v>
      </x:c>
      <x:c r="Q254" s="6" t="str">
        <x:v>На заданном первом ходе данных достаточно; утверждённые источники дают применимый ответ для 3.0.14.140. Ожидается ответ по существу с источником.</x:v>
      </x:c>
      <x:c r="R254" s="6" t="str">
        <x:v>["omnidesk","real_anonymized","product_function"]</x:v>
      </x:c>
      <x:c r="S254" s="6" t="str">
        <x:v>answer</x:v>
      </x:c>
      <x:c r="T25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Это ресуос для поддержки зарегистрированных пользователей наших отраслевых продуктов.","Подтверждённый факт из поддержки: Полиграфия 2 , Укажите, пожалуйста ваш NFR на 1С:УНФ 8.","Вежливый деловой русский и понятный следующий шаг; без обвинений и необоснованных обещаний."]</x:v>
      </x:c>
      <x:c r="U25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54" s="6" t="str">
        <x:v>[{"source_file":"/Users/maria/chatbot_rag/knowledge base/omnidesk_cases.jsonl","source_case_id":"174204824","source_jsonl_line":553,"target_message_index":1,"evidence_type":"historical_support_consultant_approved","support_message_indices":[2,4],"source_answer":"[Поддержка, сообщение №2]\nЭто ресуос для поддержки зарегистрированных пользователей наших отраслевых продуктов. В частности для 1С:УНФ 8. Полиграфия 2 , Укажите, пожалуйста ваш NFR на 1С:УНФ 8. Полиграфия 2 , желательно скан.\n\n[Поддержка, сообщение №4]\nТогда Рег N клиента","corpus_check":"confirmed_by_consultant_per_user","release_applicability":"confirmed_by_consultant","required_facts":["Это ресуос для поддержки зарегистрированных пользователей наших отраслевых продуктов.","Полиграфия 2 , Укажите, пожалуйста ваш NFR на 1С:УНФ 8."],"approval_basis":"user_confirmed_consultant_approval"}]</x:v>
      </x:c>
      <x:c r="W25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54" s="6" t="str">
        <x:v>approved</x:v>
      </x:c>
      <x:c r="Y254" s="6" t="str">
        <x:v>Карточка и применимость источников согласованы консультантом; утверждение подтверждено пользователем 25.10.2026.</x:v>
      </x:c>
      <x:c r="Z254" s="6" t="str">
        <x:v>G-6367741a782481</x:v>
      </x:c>
      <x:c r="AA254" s="6" t="str">
        <x:v>dev</x:v>
      </x:c>
      <x:c r="AB254" s="6" t="str">
        <x:v>real_anonymized_candidate</x:v>
      </x:c>
    </x:row>
    <x:row r="255" ht="115" customHeight="1">
      <x:c r="A255" s="6" t="str">
        <x:v>OMNI-422984575-M001</x:v>
      </x:c>
      <x:c r="B255" s="6" t="str">
        <x:v>real_anonymized_candidate:omnidesk:422984575:message:1</x:v>
      </x:c>
      <x:c r="C255" s="6" t="str">
        <x:v>{"history":[],"user_message":"Добрый день Почему в расчете не загружаются технические поля печатного оборудования: Клапан, Поля под кресты, Хвост"}</x:v>
      </x:c>
      <x:c r="D255" s="6" t="str">
        <x:v>{"product":"1С:УНФ 8. Полиграфия 2","version":"3.0.14.140","retrieval_state":"available","handoff_consent":false,"source_case_id":"422984575","group_id":"omnidesk_422984575","target_message_index":1,"history_status":"approved_case_first_turn","reported_release":"not_reported","approval_basis":"user_confirmed_consultant_approval"}</x:v>
      </x:c>
      <x:c r="E255" s="6" t="str">
        <x:v>1С:УНФ 8. Полиграфия 2</x:v>
      </x:c>
      <x:c r="F255" s="6" t="str">
        <x:v>3.0.14.140</x:v>
      </x:c>
      <x:c r="G255" s="6" t="str">
        <x:v>not_reported</x:v>
      </x:c>
      <x:c r="H255" s="6" t="str">
        <x:v>default</x:v>
      </x:c>
      <x:c r="I255" s="6" t="str">
        <x:v>Применимость источников и эталона к 1С:УНФ 8. Полиграфия 2, релиз 3.0.14.140, подтверждена консультантом со слов пользователя.</x:v>
      </x:c>
      <x:c r="J255" s="13" t="str">
        <x:v>0</x:v>
      </x:c>
      <x:c r="K255" s="13" t="str">
        <x:v>5</x:v>
      </x:c>
      <x:c r="L255" s="7" t="b">
        <x:v>1</x:v>
      </x:c>
      <x:c r="M255" s="6" t="str">
        <x:v>not_applicable</x:v>
      </x:c>
      <x:c r="N255" s="6" t="str">
        <x:v>["При каких действиях выбирается или меняется оборудование на вкладке «Пресс»","Заполнены ли Клапан, Поля под кресты и Хвост в карточке выбранного оборудования"]</x:v>
      </x:c>
      <x:c r="O255" s="7" t="b">
        <x:v>0</x:v>
      </x:c>
      <x:c r="P255" s="6" t="str">
        <x:v>K3</x:v>
      </x:c>
      <x:c r="Q255"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255" s="6" t="str">
        <x:v>["omnidesk","real_anonymized","product_function"]</x:v>
      </x:c>
      <x:c r="S255" s="6" t="str">
        <x:v>clarify</x:v>
      </x:c>
      <x:c r="T255" s="6" t="str">
        <x:v>["Запросить следующие существенные сведения: При каких действиях выбирается или меняется оборудование на вкладке «Пресс»; Заполнены ли Клапан, Поля под кресты и Хвост в карточке выбранного оборудования.","Уточнение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255"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255" s="6" t="str">
        <x:v>[{"source_file":"/Users/maria/chatbot_rag/knowledge base/omnidesk_cases.jsonl","source_case_id":"422984575","source_jsonl_line":10,"target_message_index":1,"evidence_type":"historical_support_consultant_approved","support_message_indices":[2,3],"source_answer":"[Поддержка, сообщение №3]\nВасилий! В типовом решении при заполненных полях в Оборудовании и при смене Оборудования на закладке Пресс, поля заполняются автоматически.","corpus_check":"confirmed_by_consultant_per_user","release_applicability":"confirmed_by_consultant","approval_basis":"user_confirmed_consultant_approval"}]</x:v>
      </x:c>
      <x:c r="W255" s="6" t="str">
        <x:v>["Есть конкретный полезный вопрос о недостающих сведениях: При каких действиях выбирается или меняется оборудование на вкладке «Пресс»; Заполнены ли Клапан, Поля под кресты и Хвост в карточке выбранного оборудования.","Нет произвольного решения и необоснованного отказа. Соблюдены доступная история и лимит пяти уточнений."]</x:v>
      </x:c>
      <x:c r="X255" s="6" t="str">
        <x:v>approved</x:v>
      </x:c>
      <x:c r="Y255" s="6" t="str">
        <x:v>Карточка и применимость источников согласованы консультантом; утверждение подтверждено пользователем 25.10.2026.</x:v>
      </x:c>
      <x:c r="Z255" s="6" t="str">
        <x:v>G-3353a8b0fac884</x:v>
      </x:c>
      <x:c r="AA255" s="6" t="str">
        <x:v>dev</x:v>
      </x:c>
      <x:c r="AB255" s="6" t="str">
        <x:v>real_anonymized_candidate</x:v>
      </x:c>
    </x:row>
    <x:row r="256" ht="115" customHeight="1">
      <x:c r="A256" s="6" t="str">
        <x:v>OMNI-423005762-M001</x:v>
      </x:c>
      <x:c r="B256" s="6" t="str">
        <x:v>real_anonymized_candidate:omnidesk:423005762:message:1</x:v>
      </x:c>
      <x:c r="C256" s="6" t="str">
        <x:v>{"history":[],"user_message":"Добрый день Возможно ли вставить столбец «Содержание\" в таблицу «Расчет заказа», чтобы можно было внести произвольное описание заказа"}</x:v>
      </x:c>
      <x:c r="D256" s="6" t="str">
        <x:v>{"product":"1С:УНФ 8. Полиграфия 2","version":"3.0.14.140","retrieval_state":"available","handoff_consent":false,"source_case_id":"423005762","group_id":"omnidesk_423005762","target_message_index":1,"history_status":"approved_case_first_turn","reported_release":"not_reported","approval_basis":"user_confirmed_consultant_approval"}</x:v>
      </x:c>
      <x:c r="E256" s="6" t="str">
        <x:v>1С:УНФ 8. Полиграфия 2</x:v>
      </x:c>
      <x:c r="F256" s="6" t="str">
        <x:v>3.0.14.140</x:v>
      </x:c>
      <x:c r="G256" s="6" t="str">
        <x:v>not_reported</x:v>
      </x:c>
      <x:c r="H256" s="6" t="str">
        <x:v>default</x:v>
      </x:c>
      <x:c r="I256" s="6" t="str">
        <x:v>Применимость источников и эталона к 1С:УНФ 8. Полиграфия 2, релиз 3.0.14.140, подтверждена консультантом со слов пользователя.</x:v>
      </x:c>
      <x:c r="J256" s="13" t="str">
        <x:v>0</x:v>
      </x:c>
      <x:c r="K256" s="13" t="str">
        <x:v>5</x:v>
      </x:c>
      <x:c r="L256" s="7" t="b">
        <x:v>1</x:v>
      </x:c>
      <x:c r="M256" s="6" t="str">
        <x:v>not_applicable</x:v>
      </x:c>
      <x:c r="N256" s="6" t="str">
        <x:v>["Столбец нужен в форме списка расчётов заказа или в таблице внутри документа"]</x:v>
      </x:c>
      <x:c r="O256" s="7" t="b">
        <x:v>0</x:v>
      </x:c>
      <x:c r="P256" s="6" t="str">
        <x:v>K3</x:v>
      </x:c>
      <x:c r="Q256"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256" s="6" t="str">
        <x:v>["omnidesk","real_anonymized","product_function"]</x:v>
      </x:c>
      <x:c r="S256" s="6" t="str">
        <x:v>clarify</x:v>
      </x:c>
      <x:c r="T256" s="6" t="str">
        <x:v>["Запросить следующие существенные сведения: Столбец нужен в форме списка расчётов заказа или в таблице внутри документа.","Уточнение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256"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256" s="6" t="str">
        <x:v>[{"source_file":"/Users/maria/chatbot_rag/knowledge base/omnidesk_cases.jsonl","source_case_id":"423005762","source_jsonl_line":11,"target_message_index":1,"evidence_type":"historical_support_consultant_approved","support_message_indices":[2,4],"source_answer":"[Поддержка, сообщение №2]\nУточните о какой таблице идет речь? На скрине Экранная \"Форма списка\" \"Расчет полиграфического заказа\". О какой таблице идет речь?\n\n[Поддержка, сообщение №4]\nВасилий! В типовой версии такого нет. Только через доработку можно придумать правила вывода в доп. окно текст \"содержания\", автоматическое заполнение столбика \"Содержание\" в ЗП и выводить столбик в журнале заказов.","corpus_check":"confirmed_by_consultant_per_user","release_applicability":"confirmed_by_consultant","approval_basis":"user_confirmed_consultant_approval"}]</x:v>
      </x:c>
      <x:c r="W256" s="6" t="str">
        <x:v>["Есть конкретный полезный вопрос о недостающих сведениях: Столбец нужен в форме списка расчётов заказа или в таблице внутри документа.","Нет произвольного решения и необоснованного отказа. Соблюдены доступная история и лимит пяти уточнений."]</x:v>
      </x:c>
      <x:c r="X256" s="6" t="str">
        <x:v>approved</x:v>
      </x:c>
      <x:c r="Y256" s="6" t="str">
        <x:v>Карточка и применимость источников согласованы консультантом; утверждение подтверждено пользователем 25.10.2026.</x:v>
      </x:c>
      <x:c r="Z256" s="6" t="str">
        <x:v>G-ad56296df6f2dd</x:v>
      </x:c>
      <x:c r="AA256" s="6" t="str">
        <x:v>dev</x:v>
      </x:c>
      <x:c r="AB256" s="6" t="str">
        <x:v>real_anonymized_candidate</x:v>
      </x:c>
    </x:row>
    <x:row r="257" ht="115" customHeight="1">
      <x:c r="A257" s="6" t="str">
        <x:v>OMNI-137930480-M004</x:v>
      </x:c>
      <x:c r="B257" s="6" t="str">
        <x:v>real_anonymized_candidate:omnidesk:137930480:message:4</x:v>
      </x:c>
      <x:c r="C257" s="6" t="str">
        <x:v>{"history":[],"user_message":"Чтобы заказы в пользовательских статусах подсвечивались в Журнале Заказов разными цветами -- надо вручную настраивать вид списка?\nПочему-то у вновь создаваемых (кастомных) статусов отображение заданными цветами работает только в Журнале Оператора :(\nА в Журнале Заказов -- фигушки, все заказы в нестандартных статусах отображаются белым, как и расчетные, что очень сильно затрудняет навигацию по заказам :((("}</x:v>
      </x:c>
      <x:c r="D257" s="6" t="str">
        <x:v>{"product":"1С:УНФ 8. Полиграфия 2","version":"3.0.14.140","retrieval_state":"available","handoff_consent":false,"source_case_id":"137930480","group_id":"omnidesk_137930480","target_message_index":4,"history_status":"approved_case_first_turn","reported_release":"not_reported","approval_basis":"user_confirmed_consultant_approval"}</x:v>
      </x:c>
      <x:c r="E257" s="6" t="str">
        <x:v>1С:УНФ 8. Полиграфия 2</x:v>
      </x:c>
      <x:c r="F257" s="6" t="str">
        <x:v>3.0.14.140</x:v>
      </x:c>
      <x:c r="G257" s="6" t="str">
        <x:v>not_reported</x:v>
      </x:c>
      <x:c r="H257" s="6" t="str">
        <x:v>default</x:v>
      </x:c>
      <x:c r="I257" s="6" t="str">
        <x:v>Применимость источников и эталона к 1С:УНФ 8. Полиграфия 2, релиз 3.0.14.140, подтверждена консультантом со слов пользователя.</x:v>
      </x:c>
      <x:c r="J257" s="13" t="str">
        <x:v>0</x:v>
      </x:c>
      <x:c r="K257" s="13" t="str">
        <x:v>5</x:v>
      </x:c>
      <x:c r="L257" s="7" t="b">
        <x:v>0</x:v>
      </x:c>
      <x:c r="M257" s="6" t="str">
        <x:v>not_applicable</x:v>
      </x:c>
      <x:c r="N257" s="6" t="str">
        <x:v>[]</x:v>
      </x:c>
      <x:c r="O257" s="7" t="b">
        <x:v>1</x:v>
      </x:c>
      <x:c r="P257" s="6" t="str">
        <x:v>K2</x:v>
      </x:c>
      <x:c r="Q257" s="6" t="str">
        <x:v>На заданном первом ходе данных достаточно; утверждённые источники дают применимый ответ для 3.0.14.140. Ожидается ответ по существу с источником.</x:v>
      </x:c>
      <x:c r="R257" s="6" t="str">
        <x:v>["omnidesk","real_anonymized","access_rights"]</x:v>
      </x:c>
      <x:c r="S257" s="6" t="str">
        <x:v>answer</x:v>
      </x:c>
      <x:c r="T25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Да, каждому статусу устанавливаете цвет.","Подтверждённый факт из поддержки: Для отображения в в журнале -Устанавливайте стандартные настройки","Вежливый деловой русский и понятный следующий шаг; без обвинений и необоснованных обещаний."]</x:v>
      </x:c>
      <x:c r="U25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57" s="6" t="str">
        <x:v>[{"source_file":"/Users/maria/chatbot_rag/knowledge base/omnidesk_cases.jsonl","source_case_id":"137930480","source_jsonl_line":742,"target_message_index":4,"evidence_type":"historical_support_consultant_approved","support_message_indices":[1,2,3],"source_answer":"[Поддержка, сообщение №1]\nС этим как? Закрываем?\n\n[Поддержка, сообщение №3]\nЧтобы заказы в пользовательских статусах подсвечивались в Журнале Заказов разными цветами -- надо вручную настраивать вид списка? Да, каждому статусу устанавливаете цвет. Для отображения в в журнале -Устанавливайте стандартные настройки","corpus_check":"confirmed_by_consultant_per_user","release_applicability":"confirmed_by_consultant","required_facts":["Да, каждому статусу устанавливаете цвет.","Для отображения в в журнале -Устанавливайте стандартные настройки"],"approval_basis":"user_confirmed_consultant_approval"}]</x:v>
      </x:c>
      <x:c r="W25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57" s="6" t="str">
        <x:v>approved</x:v>
      </x:c>
      <x:c r="Y257" s="6" t="str">
        <x:v>Карточка и применимость источников согласованы консультантом; утверждение подтверждено пользователем 25.10.2026.</x:v>
      </x:c>
      <x:c r="Z257" s="6" t="str">
        <x:v>G-64fe83b92e22f0</x:v>
      </x:c>
      <x:c r="AA257" s="6" t="str">
        <x:v>dev</x:v>
      </x:c>
      <x:c r="AB257" s="6" t="str">
        <x:v>real_anonymized_candidate</x:v>
      </x:c>
    </x:row>
    <x:row r="258" ht="115" customHeight="1">
      <x:c r="A258" s="6" t="str">
        <x:v>OMNI-151990824-M001</x:v>
      </x:c>
      <x:c r="B258" s="6" t="str">
        <x:v>real_anonymized_candidate:omnidesk:151990824:message:1</x:v>
      </x:c>
      <x:c r="C258" s="6" t="str">
        <x:v>{"history":[],"user_message":"Чем отличается статус \"В очереди\" от статуса \"Ожидается\"?\nЯ был уверен что это то же самое что флаг \"Предыдущие операции выполнены\".\nНо оказывается это вовсе не так (((\nПрошу дать пояснения по этому вопросу.\nПотому что совершенно ничего не понятно (("}</x:v>
      </x:c>
      <x:c r="D258" s="6" t="str">
        <x:v>{"product":"1С:УНФ 8. Полиграфия 2","version":"3.0.14.140","retrieval_state":"available","handoff_consent":false,"source_case_id":"151990824","group_id":"omnidesk_151990824","target_message_index":1,"history_status":"approved_case_first_turn","reported_release":"not_reported","approval_basis":"user_confirmed_consultant_approval"}</x:v>
      </x:c>
      <x:c r="E258" s="6" t="str">
        <x:v>1С:УНФ 8. Полиграфия 2</x:v>
      </x:c>
      <x:c r="F258" s="6" t="str">
        <x:v>3.0.14.140</x:v>
      </x:c>
      <x:c r="G258" s="6" t="str">
        <x:v>not_reported</x:v>
      </x:c>
      <x:c r="H258" s="6" t="str">
        <x:v>default</x:v>
      </x:c>
      <x:c r="I258" s="6" t="str">
        <x:v>Применимость источников и эталона к 1С:УНФ 8. Полиграфия 2, релиз 3.0.14.140, подтверждена консультантом со слов пользователя.</x:v>
      </x:c>
      <x:c r="J258" s="13" t="str">
        <x:v>0</x:v>
      </x:c>
      <x:c r="K258" s="13" t="str">
        <x:v>5</x:v>
      </x:c>
      <x:c r="L258" s="7" t="b">
        <x:v>0</x:v>
      </x:c>
      <x:c r="M258" s="6" t="str">
        <x:v>not_applicable</x:v>
      </x:c>
      <x:c r="N258" s="6" t="str">
        <x:v>[]</x:v>
      </x:c>
      <x:c r="O258" s="7" t="b">
        <x:v>1</x:v>
      </x:c>
      <x:c r="P258" s="6" t="str">
        <x:v>K2</x:v>
      </x:c>
      <x:c r="Q258" s="6" t="str">
        <x:v>На заданном первом ходе данных достаточно; утверждённые источники дают применимый ответ для 3.0.14.140. Ожидается ответ по существу с источником.</x:v>
      </x:c>
      <x:c r="R258" s="6" t="str">
        <x:v>["omnidesk","real_anonymized","planning"]</x:v>
      </x:c>
      <x:c r="S258" s="6" t="str">
        <x:v>answer</x:v>
      </x:c>
      <x:c r="T25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Состояние \"В очереди\" устанавливается в момент проведения в статусе \"В работу\" а \"Ожидается\", это, когда операция по заказу ждет выполнения предыдущей.","Вежливый деловой русский и понятный следующий шаг; без обвинений и необоснованных обещаний."]</x:v>
      </x:c>
      <x:c r="U25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58" s="6" t="str">
        <x:v>[{"source_file":"/Users/maria/chatbot_rag/knowledge base/omnidesk_cases.jsonl","source_case_id":"151990824","source_jsonl_line":666,"target_message_index":1,"evidence_type":"historical_support_consultant_approved","support_message_indices":[2],"source_answer":"[Поддержка, сообщение №2]\nЭто не статус, а состояние заказа. Состояние \"В очереди\" устанавливается в момент проведения в статусе \"В работу\" а \"Ожидается\", это, когда операция по заказу ждет выполнения предыдущей.","corpus_check":"confirmed_by_consultant_per_user","release_applicability":"confirmed_by_consultant","required_facts":["Состояние \"В очереди\" устанавливается в момент проведения в статусе \"В работу\" а \"Ожидается\", это, когда операция по заказу ждет выполнения предыдущей."],"approval_basis":"user_confirmed_consultant_approval"}]</x:v>
      </x:c>
      <x:c r="W25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58" s="6" t="str">
        <x:v>approved</x:v>
      </x:c>
      <x:c r="Y258" s="6" t="str">
        <x:v>Карточка и применимость источников согласованы консультантом; утверждение подтверждено пользователем 25.10.2026.</x:v>
      </x:c>
      <x:c r="Z258" s="6" t="str">
        <x:v>G-06434a356cef80</x:v>
      </x:c>
      <x:c r="AA258" s="6" t="str">
        <x:v>dev</x:v>
      </x:c>
      <x:c r="AB258" s="6" t="str">
        <x:v>real_anonymized_candidate</x:v>
      </x:c>
    </x:row>
    <x:row r="259" ht="115" customHeight="1">
      <x:c r="A259" s="6" t="str">
        <x:v>OMNI-9647597-M003</x:v>
      </x:c>
      <x:c r="B259" s="6" t="str">
        <x:v>real_anonymized_candidate:omnidesk:9647597:message:3</x:v>
      </x:c>
      <x:c r="C259" s="6" t="str">
        <x:v>{"history":[],"user_message":"Как в этом случае мне тогда, взависимости от характеристик фотобумаги задать цену на готовую продукцию 18 авг. 2017 г. 21:00 пользователь \"Центр поддержки Армекс\" написал: Добрый день! 4 Т.е. для того, чтобы корректно задать цену на печать фотографий нам нужн о указать тип бумаги в характеристике к продукции , также в списании норм материалов мы можем указать нормы списания бумаги. Характеристики продукции - это определенный набор значений свойств. Характеристики фотобумаги - другой."}</x:v>
      </x:c>
      <x:c r="D259" s="6" t="str">
        <x:v>{"product":"1С:УНФ 8. Полиграфия 2","version":"3.0.14.140","retrieval_state":"available","handoff_consent":false,"source_case_id":"9647597","group_id":"omnidesk_9647597","target_message_index":3,"history_status":"approved_case_first_turn","reported_release":"not_reported","approval_basis":"user_confirmed_consultant_approval"}</x:v>
      </x:c>
      <x:c r="E259" s="6" t="str">
        <x:v>1С:УНФ 8. Полиграфия 2</x:v>
      </x:c>
      <x:c r="F259" s="6" t="str">
        <x:v>3.0.14.140</x:v>
      </x:c>
      <x:c r="G259" s="6" t="str">
        <x:v>not_reported</x:v>
      </x:c>
      <x:c r="H259" s="6" t="str">
        <x:v>default</x:v>
      </x:c>
      <x:c r="I259" s="6" t="str">
        <x:v>Применимость источников и эталона к 1С:УНФ 8. Полиграфия 2, релиз 3.0.14.140, подтверждена консультантом со слов пользователя.</x:v>
      </x:c>
      <x:c r="J259" s="13" t="str">
        <x:v>0</x:v>
      </x:c>
      <x:c r="K259" s="13" t="str">
        <x:v>5</x:v>
      </x:c>
      <x:c r="L259" s="7" t="b">
        <x:v>0</x:v>
      </x:c>
      <x:c r="M259" s="6" t="str">
        <x:v>not_applicable</x:v>
      </x:c>
      <x:c r="N259" s="6" t="str">
        <x:v>[]</x:v>
      </x:c>
      <x:c r="O259" s="7" t="b">
        <x:v>1</x:v>
      </x:c>
      <x:c r="P259" s="6" t="str">
        <x:v>K2</x:v>
      </x:c>
      <x:c r="Q259" s="6" t="str">
        <x:v>На заданном первом ходе данных достаточно; утверждённые источники дают применимый ответ для 3.0.14.140. Ожидается ответ по существу с источником.</x:v>
      </x:c>
      <x:c r="R259" s="6" t="str">
        <x:v>["omnidesk","real_anonymized","materials","access_rights","support"]</x:v>
      </x:c>
      <x:c r="S259" s="6" t="str">
        <x:v>answer</x:v>
      </x:c>
      <x:c r="T25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для того, чтобы корректно задать цену на печать фотографий нам нужн о указать тип бумаги в характеристике к продукции , также в списании норм материалов мы можем указать нормы списания бумаги.","Подтверждённый факт из поддержки: Характеристики продукции - это определенный набор значений свойств.","Подтверждённый факт из поддержки: Характеристики фотобумаги - другой.","Вежливый деловой русский и понятный следующий шаг; без обвинений и необоснованных обещаний."]</x:v>
      </x:c>
      <x:c r="U25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59" s="6" t="str">
        <x:v>[{"source_file":"/Users/maria/chatbot_rag/knowledge base/omnidesk_cases.jsonl","source_case_id":"9647597","source_jsonl_line":1273,"target_message_index":3,"evidence_type":"historical_support_consultant_approved","support_message_indices":[2,4,5,6],"source_answer":"[Поддержка, сообщение №2]\n4 Т.е. для того, чтобы корректно задать цену на печать фотографий нам нужн о указать тип бумаги в характеристике к продукции , также в списании норм материалов мы можем указать нормы списания бумаги. Характеристики продукции - это определенный набор значений свойств. Характеристики фотобумаги - другой.\n\n[Поддержка, сообщение №4]\nИ все таки что такое тип бумаги в характеристики продукции ? 1. Т.е. для того, чтобы корректно задать цену на печать фотографий нам нужно указать тип бумаги в характеристике к продукции, также в списании норм материалов мы можем указать нормы списания бумаги. НЕТ. Продукция - Фото (10х15 матовая бум 120гр/м2) Бумага - матовая (120гр/м2) В скобках характеристики. Для каждого типа цен (оптовая, розничная и т.д.) необходимо ввести документ Установка цен на печать фотографий, с помощью которого задать цену на услугу – печать фотографий (элемент справочника Номенклатура вида Фотопродукция, подвида Печать фотографий). Стоимость печати зависит от тиража, поэтому цена печати одной фотографии указывается для тиражной вилки (от… до…). Документы данного вида создаются, редактируются и хранятся в соответствующем списке документов. Переход к списку документов осуществляется из раздела \"Фотоуслуги\" / Панель навигации / Нормы и расценки / \"Установка цен на печать фотографий\" . Для каждой типа цен необходимо ввести отдельный документ. В форме документа указывается его номер, дата оформления и тип цен. В табличной части вводится стоимость печати одной фотографии в зависимости от тиража заказа. Например, цена печати одной фотографии на маленьких тиражах (до 10 штук) устанавливается равной 6 руб, а цена при печати от 10 до 100 штук равна 4,9 руб. Посмотрите демо базу. Обратите внимание на характеристики. (это свойства и значения) Добавьте определенное свойство и несколько значений) Таким образом характеристика Номенклатуры \"Печать фотографий\" в том числе будет иметь и значение добавленного свойства. Но указывать бумагу и ее характеристику вам все равно нужно.\n\n[Поддержка, сообщение №5]\nПопробую объяснить, что значит тип бумаги, в характеристике продукции.Попробую объяснить текущую задачу. А вы мне попробуйте найти для нее оптимальное решение. У нас используется примерно 8 типов бумаги. Стоимость фото зависит не только от тиража, но и от типа бумаги. Допустим, есть 3 типа бумаги: глянцевая, шелк, матовая. Печать фото 10*15 на глянцевой бумаге стоит 11 руб, печать фото на матовой бумаге стоит 11 рублей, а вот печать фото на шелке стоит 16 рублей. Как задать цены взависимости от тиража, понятно. Но для того, чтобы задать цены взависимости от типа бумаги мне нужно указать характеристики к продукции следующие: 10*15, матовая 10*15 глянцевая 10*15, шелк Далее, для продукции Печать фотографий, каждой её характеристике ( для всех трёх), для каждого тиража я указывают цены. Правильно? Если да, то теперь вопрос, зачем мне указывать фотобумагу при оформлении заказа, бумага у меня уже определена в характеристике продукции. Нет, не правильно. Если Вы берете материал с какими-либо характеристиками, то совсем необязательно, что продукция будет с такими же характеристиками. Это возможно (как в Вашем примере, печатаете на глянцевой бумаге, получаете глянцевую фотографию), но необязательно. К сожалению в рамках технической поддержки не оказываются консультации по методическим вопросам.\n\n[Поддержка, сообщение №6]\nя прекрасно понимаю, что вы хотите до меня донести. У меня большой стаж работы с продуктами фирмы 1С. И я понимаю, что такое характеристика продукции и материала. Также понимаю, что набор характеристик продукции и материала могут быть разными. Так сложилось, что в нашем случае удобнее не выбирать бумагу. Удобнее списывать ее, учитывая нормативы списания материалов. Нельзя ли сделать так, чтобы в том случае, если фотобумага не выбрана в РМ менеджера, при оформлении заказа на фотопродукцию она не вставала пустой строкой.. Вот и все, изначально вопрос был именно в этом. Нет, к сожалению - нельзя.","corpus_check":"confirmed_by_consultant_per_user","release_applicability":"confirmed_by_consultant","required_facts":["для того, чтобы корректно задать цену на печать фотографий нам нужн о указать тип бумаги в характеристике к продукции , также в списании норм материалов мы можем указать нормы списания бумаги.","Характеристики продукции - это определенный набор значений свойств.","Характеристики фотобумаги - другой."],"approval_basis":"user_confirmed_consultant_approval"}]</x:v>
      </x:c>
      <x:c r="W25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59" s="6" t="str">
        <x:v>approved</x:v>
      </x:c>
      <x:c r="Y259" s="6" t="str">
        <x:v>Карточка и применимость источников согласованы консультантом; утверждение подтверждено пользователем 25.10.2026.</x:v>
      </x:c>
      <x:c r="Z259" s="6" t="str">
        <x:v>G-9b3fd64cc83045</x:v>
      </x:c>
      <x:c r="AA259" s="6" t="str">
        <x:v>dev</x:v>
      </x:c>
      <x:c r="AB259" s="6" t="str">
        <x:v>real_anonymized_candidate</x:v>
      </x:c>
    </x:row>
    <x:row r="260" ht="115" customHeight="1">
      <x:c r="A260" s="6" t="str">
        <x:v>OMNI-85320677-M001</x:v>
      </x:c>
      <x:c r="B260" s="6" t="str">
        <x:v>real_anonymized_candidate:omnidesk:85320677:message:1</x:v>
      </x:c>
      <x:c r="C260" s="6" t="str">
        <x:v>{"history":[],"user_message":"При создании копии расчета заказа по кнопке F9 -- поле \"Ответственный\" остается старым :(\nТо есть например хочу я себе скопировать чужой расчет заказа и внести в него изменения.\nКопирую.\nА поле \"Ответственный\" остается старым, а не меняется на меня.\nЭто так и должно быть?"}</x:v>
      </x:c>
      <x:c r="D260" s="6" t="str">
        <x:v>{"product":"1С:УНФ 8. Полиграфия 2","version":"3.0.14.140","retrieval_state":"available","handoff_consent":false,"source_case_id":"85320677","group_id":"omnidesk_85320677","target_message_index":1,"history_status":"approved_case_first_turn","reported_release":"not_reported","approval_basis":"user_confirmed_consultant_approval"}</x:v>
      </x:c>
      <x:c r="E260" s="6" t="str">
        <x:v>1С:УНФ 8. Полиграфия 2</x:v>
      </x:c>
      <x:c r="F260" s="6" t="str">
        <x:v>3.0.14.140</x:v>
      </x:c>
      <x:c r="G260" s="6" t="str">
        <x:v>not_reported</x:v>
      </x:c>
      <x:c r="H260" s="6" t="str">
        <x:v>default</x:v>
      </x:c>
      <x:c r="I260" s="6" t="str">
        <x:v>Применимость источников и эталона к 1С:УНФ 8. Полиграфия 2, релиз 3.0.14.140, подтверждена консультантом со слов пользователя.</x:v>
      </x:c>
      <x:c r="J260" s="13" t="str">
        <x:v>0</x:v>
      </x:c>
      <x:c r="K260" s="13" t="str">
        <x:v>5</x:v>
      </x:c>
      <x:c r="L260" s="7" t="b">
        <x:v>0</x:v>
      </x:c>
      <x:c r="M260" s="6" t="str">
        <x:v>not_applicable</x:v>
      </x:c>
      <x:c r="N260" s="6" t="str">
        <x:v>[]</x:v>
      </x:c>
      <x:c r="O260" s="7" t="b">
        <x:v>1</x:v>
      </x:c>
      <x:c r="P260" s="6" t="str">
        <x:v>K2</x:v>
      </x:c>
      <x:c r="Q260" s="6" t="str">
        <x:v>На заданном первом ходе данных достаточно; утверждённые источники дают применимый ответ для 3.0.14.140. Ожидается ответ по существу с источником.</x:v>
      </x:c>
      <x:c r="R260" s="6" t="str">
        <x:v>["omnidesk","real_anonymized","product_function"]</x:v>
      </x:c>
      <x:c r="S260" s="6" t="str">
        <x:v>answer</x:v>
      </x:c>
      <x:c r="T260" s="6" t="str">
        <x:v>["Дать содержательный ответ на вопрос пользователя по подтверждённому источнику нужной версии.","Указать источник и подходящий следующий шаг.","Вежливый деловой русский и понятный следующий шаг; без обвинений и необоснованных обещаний."]</x:v>
      </x:c>
      <x:c r="U26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60" s="6" t="str">
        <x:v>[{"source_file":"/Users/maria/chatbot_rag/knowledge base/omnidesk_cases.jsonl","source_case_id":"85320677","source_jsonl_line":805,"target_message_index":1,"evidence_type":"historical_support_consultant_approved","support_message_indices":[2,3],"source_answer":"[Поддержка, сообщение №2]\nВопрос на рассмотрении.\n\n[Поддержка, сообщение №3]\nДа это так и должно быть. Типовой функционал 1с.","corpus_check":"confirmed_by_consultant_per_user","release_applicability":"confirmed_by_consultant","approval_basis":"user_confirmed_consultant_approval"}]</x:v>
      </x:c>
      <x:c r="W26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60" s="6" t="str">
        <x:v>approved</x:v>
      </x:c>
      <x:c r="Y260" s="6" t="str">
        <x:v>Карточка и применимость источников согласованы консультантом; утверждение подтверждено пользователем 25.10.2026.</x:v>
      </x:c>
      <x:c r="Z260" s="6" t="str">
        <x:v>G-4541dc4ddd930d</x:v>
      </x:c>
      <x:c r="AA260" s="6" t="str">
        <x:v>dev</x:v>
      </x:c>
      <x:c r="AB260" s="6" t="str">
        <x:v>real_anonymized_candidate</x:v>
      </x:c>
    </x:row>
    <x:row r="261" ht="115" customHeight="1">
      <x:c r="A261" s="6" t="str">
        <x:v>OMNI-225914587-M002</x:v>
      </x:c>
      <x:c r="B261" s="6" t="str">
        <x:v>real_anonymized_candidate:omnidesk:225914587:message:2</x:v>
      </x:c>
      <x:c r="C261" s="6" t="str">
        <x:v>{"history":[],"user_message":"При работе с Расчетами заказов столкнулись с проблемой связанной со списанием материалов, а именно если менеджер на вкладке «Материалы» прописал материал, но не выбрал операцию, то в последствии материал не будет списан документом «Производство». Можно ли выдавать предупреждение когда менеджер запускать расчет в работу, если какой-либо материал из расчета не прикреплен к конкретной операции. Или как эту проблему можно решить другим образом.\nТакже столкнулись с проблемой, связанной с запуском Расчетов заказов в работу, по которым не хватает материалов для исполнения. Можно ли также предупреждать при запуске в работу, что каких-то материалов нет на складе в достаточном количестве для выполнения заказа."}</x:v>
      </x:c>
      <x:c r="D261" s="6" t="str">
        <x:v>{"product":"1С:УНФ 8. Полиграфия 2","version":"3.0.14.140","retrieval_state":"available","handoff_consent":false,"source_case_id":"225914587","group_id":"omnidesk_225914587","target_message_index":2,"history_status":"approved_case_first_turn","reported_release":"not_reported","approval_basis":"user_confirmed_consultant_approval"}</x:v>
      </x:c>
      <x:c r="E261" s="6" t="str">
        <x:v>1С:УНФ 8. Полиграфия 2</x:v>
      </x:c>
      <x:c r="F261" s="6" t="str">
        <x:v>3.0.14.140</x:v>
      </x:c>
      <x:c r="G261" s="6" t="str">
        <x:v>not_reported</x:v>
      </x:c>
      <x:c r="H261" s="6" t="str">
        <x:v>default</x:v>
      </x:c>
      <x:c r="I261" s="6" t="str">
        <x:v>Применимость источников и эталона к 1С:УНФ 8. Полиграфия 2, релиз 3.0.14.140, подтверждена консультантом со слов пользователя.</x:v>
      </x:c>
      <x:c r="J261" s="13" t="str">
        <x:v>0</x:v>
      </x:c>
      <x:c r="K261" s="13" t="str">
        <x:v>5</x:v>
      </x:c>
      <x:c r="L261" s="7" t="b">
        <x:v>0</x:v>
      </x:c>
      <x:c r="M261" s="6" t="str">
        <x:v>not_applicable</x:v>
      </x:c>
      <x:c r="N261" s="6" t="str">
        <x:v>[]</x:v>
      </x:c>
      <x:c r="O261" s="7" t="b">
        <x:v>1</x:v>
      </x:c>
      <x:c r="P261" s="6" t="str">
        <x:v>K2</x:v>
      </x:c>
      <x:c r="Q261" s="6" t="str">
        <x:v>На заданном первом ходе данных достаточно; утверждённые источники дают применимый ответ для 3.0.14.140. Ожидается ответ по существу с источником.</x:v>
      </x:c>
      <x:c r="R261" s="6" t="str">
        <x:v>["omnidesk","real_anonymized","materials","support"]</x:v>
      </x:c>
      <x:c r="S261" s="6" t="str">
        <x:v>answer</x:v>
      </x:c>
      <x:c r="T26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Видимо у вас в не во всех документах движения этого товара были отражены ячейки.","Подтверждённый факт из поддержки: Я просто делал новый приход с заранее установленными ячейками в таб части.","Подтверждённый факт из поддержки: Есть же специальный функционал Анализ остатков.","Вежливый деловой русский и понятный следующий шаг; без обвинений и необоснованных обещаний."]</x:v>
      </x:c>
      <x:c r="U26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61" s="6" t="str">
        <x:v>[{"source_file":"/Users/maria/chatbot_rag/knowledge base/omnidesk_cases.jsonl","source_case_id":"225914587","source_jsonl_line":461,"target_message_index":2,"evidence_type":"historical_support_consultant_approved","support_message_indices":[1,3],"source_answer":"[Поддержка, сообщение №1]\nВидимо у вас в не во всех документах движения этого товара были отражены ячейки. Я просто делал новый приход с заранее установленными ячейками в таб части.\n\n[Поддержка, сообщение №3]\nПо первому вопросу. Не могу подтвердить. Тестирую на демо. Добавлена позиция. Операция не заполнена. По второму. Есть же специальный функционал Анализ остатков.","corpus_check":"confirmed_by_consultant_per_user","release_applicability":"confirmed_by_consultant","required_facts":["Видимо у вас в не во всех документах движения этого товара были отражены ячейки.","Я просто делал новый приход с заранее установленными ячейками в таб части.","Есть же специальный функционал Анализ остатков."],"approval_basis":"user_confirmed_consultant_approval"}]</x:v>
      </x:c>
      <x:c r="W26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61" s="6" t="str">
        <x:v>approved</x:v>
      </x:c>
      <x:c r="Y261" s="6" t="str">
        <x:v>Карточка и применимость источников согласованы консультантом; утверждение подтверждено пользователем 25.10.2026.</x:v>
      </x:c>
      <x:c r="Z261" s="6" t="str">
        <x:v>G-f77e35de45dab1</x:v>
      </x:c>
      <x:c r="AA261" s="6" t="str">
        <x:v>dev</x:v>
      </x:c>
      <x:c r="AB261" s="6" t="str">
        <x:v>real_anonymized_candidate</x:v>
      </x:c>
    </x:row>
    <x:row r="262" ht="115" customHeight="1">
      <x:c r="A262" s="6" t="str">
        <x:v>OMNI-15912714-M002</x:v>
      </x:c>
      <x:c r="B262" s="6" t="str">
        <x:v>real_anonymized_candidate:omnidesk:15912714:message:2</x:v>
      </x:c>
      <x:c r="C262" s="6" t="str">
        <x:v>{"history":[],"user_message":"Доброе время суток! У нас не получается нормальная работа с номенклатурными позициями с характеристикой набор/комплект. При использовании такой позиции в расчёте, в создаваемый из него заказ покупателя или производство попадает именно эта номенклатурная позиция, а не её составные части. В результате Производства на склад попадает также эта номенклатура (в смысле набор/комплект), что является в корне неправильным, т. к. это виртуальный товар в логике 1С. Можно ли реализовать корректную работу с такой номенклатурой? Мы видим работу в таком ключе: 1. Создаётся номенклатура на каждую единицу продукции, изготавливаемой для заказчика. 2. Если несколько единиц продукции располагаются на 1 печатном листе и рассчитываются в одном документе расчёта, то создаётся позиция номенклатуры с категорией набор/комплект и в его состав включаются эти единицы продукции. 3. В расчёте выбирается позиция «комплект». 4. При создании из этого расчёта заказа покупателя, заказа на производство или производства нужно чтобы комплект в них мог раскрываться и сумма расчёта должна была распределяться по составляющим (по правилам, заданным в номенклатуре), также, как происходит, если вручную создать заказ покупателя и вставить туда номенклатуру с характеристикой «набор/комплект». Спасибо,"}</x:v>
      </x:c>
      <x:c r="D262" s="6" t="str">
        <x:v>{"product":"1С:УНФ 8. Полиграфия 2","version":"3.0.14.140","retrieval_state":"available","handoff_consent":false,"source_case_id":"15912714","group_id":"omnidesk_15912714","target_message_index":2,"history_status":"approved_case_first_turn","reported_release":"not_reported","approval_basis":"user_confirmed_consultant_approval"}</x:v>
      </x:c>
      <x:c r="E262" s="6" t="str">
        <x:v>1С:УНФ 8. Полиграфия 2</x:v>
      </x:c>
      <x:c r="F262" s="6" t="str">
        <x:v>3.0.14.140</x:v>
      </x:c>
      <x:c r="G262" s="6" t="str">
        <x:v>not_reported</x:v>
      </x:c>
      <x:c r="H262" s="6" t="str">
        <x:v>default</x:v>
      </x:c>
      <x:c r="I262" s="6" t="str">
        <x:v>Применимость источников и эталона к 1С:УНФ 8. Полиграфия 2, релиз 3.0.14.140, подтверждена консультантом со слов пользователя.</x:v>
      </x:c>
      <x:c r="J262" s="13" t="str">
        <x:v>0</x:v>
      </x:c>
      <x:c r="K262" s="13" t="str">
        <x:v>5</x:v>
      </x:c>
      <x:c r="L262" s="7" t="b">
        <x:v>0</x:v>
      </x:c>
      <x:c r="M262" s="6" t="str">
        <x:v>not_applicable</x:v>
      </x:c>
      <x:c r="N262" s="6" t="str">
        <x:v>[]</x:v>
      </x:c>
      <x:c r="O262" s="7" t="b">
        <x:v>1</x:v>
      </x:c>
      <x:c r="P262" s="6" t="str">
        <x:v>K2</x:v>
      </x:c>
      <x:c r="Q262" s="6" t="str">
        <x:v>На заданном первом ходе данных достаточно; утверждённые источники дают применимый ответ для 3.0.14.140. Ожидается ответ по существу с источником.</x:v>
      </x:c>
      <x:c r="R262" s="6" t="str">
        <x:v>["omnidesk","real_anonymized","materials"]</x:v>
      </x:c>
      <x:c r="S262" s="6" t="str">
        <x:v>answer</x:v>
      </x:c>
      <x:c r="T26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Написал про это разработчикам, думаю будет реализовано.","Подтверждённый факт из поддержки: Просто при добавлении комплекта все разбилось на составляющие.","Вежливый деловой русский и понятный следующий шаг; без обвинений и необоснованных обещаний."]</x:v>
      </x:c>
      <x:c r="U26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62" s="6" t="str">
        <x:v>[{"source_file":"/Users/maria/chatbot_rag/knowledge base/omnidesk_cases.jsonl","source_case_id":"15912714","source_jsonl_line":1177,"target_message_index":2,"evidence_type":"historical_support_consultant_approved","support_message_indices":[1],"source_answer":"[Поддержка, сообщение №1]\nНаписал про это разработчикам, думаю будет реализовано. В ближайшее время вам отпишусь. На унф у меня все получилось. Просто при добавлении комплекта все разбилось на составляющие.","corpus_check":"confirmed_by_consultant_per_user","release_applicability":"confirmed_by_consultant","required_facts":["Написал про это разработчикам, думаю будет реализовано.","Просто при добавлении комплекта все разбилось на составляющие."],"approval_basis":"user_confirmed_consultant_approval"}]</x:v>
      </x:c>
      <x:c r="W26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62" s="6" t="str">
        <x:v>approved</x:v>
      </x:c>
      <x:c r="Y262" s="6" t="str">
        <x:v>Карточка и применимость источников согласованы консультантом; утверждение подтверждено пользователем 25.10.2026.</x:v>
      </x:c>
      <x:c r="Z262" s="6" t="str">
        <x:v>G-049533c7001052</x:v>
      </x:c>
      <x:c r="AA262" s="6" t="str">
        <x:v>dev</x:v>
      </x:c>
      <x:c r="AB262" s="6" t="str">
        <x:v>real_anonymized_candidate</x:v>
      </x:c>
    </x:row>
    <x:row r="263" ht="115" customHeight="1">
      <x:c r="A263" s="6" t="str">
        <x:v>OMNI-11494456-M002</x:v>
      </x:c>
      <x:c r="B263" s="6" t="str">
        <x:v>real_anonymized_candidate:omnidesk:11494456:message:2</x:v>
      </x:c>
      <x:c r="C263" s="6" t="str">
        <x:v>{"history":[],"user_message":"Столкнулись с интересной ситуацией, связанной со справочником ТЕХНОЛОГИЧЕСКАЯ КАРТА ФЛЕКСОПЕЧАТЬ (1С: Полиграфия [IP_ADDRESS]). С какого то момента времени при создании очередного элемента в этом справочнике (новый или новый методом копирования) автоматически перестал присваиваться новый уникальный код (в поле стоит \"99_____\"). В результате пользователям приходится каждый раз определять вручную этот самый уникальный номер и вносить в предложенное поле ввода. Как то можно справиться с данной проблемой?"}</x:v>
      </x:c>
      <x:c r="D263" s="6" t="str">
        <x:v>{"product":"1С:УНФ 8. Полиграфия 2","version":"3.0.14.140","retrieval_state":"available","handoff_consent":false,"source_case_id":"11494456","group_id":"omnidesk_11494456","target_message_index":2,"history_status":"approved_case_first_turn","reported_release":"not_reported","approval_basis":"user_confirmed_consultant_approval"}</x:v>
      </x:c>
      <x:c r="E263" s="6" t="str">
        <x:v>1С:УНФ 8. Полиграфия 2</x:v>
      </x:c>
      <x:c r="F263" s="6" t="str">
        <x:v>3.0.14.140</x:v>
      </x:c>
      <x:c r="G263" s="6" t="str">
        <x:v>not_reported</x:v>
      </x:c>
      <x:c r="H263" s="6" t="str">
        <x:v>default</x:v>
      </x:c>
      <x:c r="I263" s="6" t="str">
        <x:v>Применимость источников и эталона к 1С:УНФ 8. Полиграфия 2, релиз 3.0.14.140, подтверждена консультантом со слов пользователя.</x:v>
      </x:c>
      <x:c r="J263" s="13" t="str">
        <x:v>0</x:v>
      </x:c>
      <x:c r="K263" s="13" t="str">
        <x:v>5</x:v>
      </x:c>
      <x:c r="L263" s="7" t="b">
        <x:v>0</x:v>
      </x:c>
      <x:c r="M263" s="6" t="str">
        <x:v>not_applicable</x:v>
      </x:c>
      <x:c r="N263" s="6" t="str">
        <x:v>[]</x:v>
      </x:c>
      <x:c r="O263" s="7" t="b">
        <x:v>1</x:v>
      </x:c>
      <x:c r="P263" s="6" t="str">
        <x:v>K2</x:v>
      </x:c>
      <x:c r="Q263" s="6" t="str">
        <x:v>На заданном первом ходе данных достаточно; утверждённые источники дают применимый ответ для 3.0.14.140. Ожидается ответ по существу с источником.</x:v>
      </x:c>
      <x:c r="R263" s="6" t="str">
        <x:v>["omnidesk","real_anonymized","planning","access_rights"]</x:v>
      </x:c>
      <x:c r="S263" s="6" t="str">
        <x:v>answer</x:v>
      </x:c>
      <x:c r="T26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Откройте справочник ТЕХНОЛОГИЧЕСКАЯ КАРТА ФЛЕКСОПЕЧАТЬ.","Подтверждённый факт из поддержки: Найдите 98 и отредактируйте код по нужной нумерации.","Вежливый деловой русский и понятный следующий шаг; без обвинений и необоснованных обещаний."]</x:v>
      </x:c>
      <x:c r="U26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63" s="6" t="str">
        <x:v>[{"source_file":"/Users/maria/chatbot_rag/knowledge base/omnidesk_cases.jsonl","source_case_id":"11494456","source_jsonl_line":1240,"target_message_index":2,"evidence_type":"historical_support_consultant_approved","support_message_indices":[1,3],"source_answer":"[Поддержка, сообщение №1]\nКак вариант подойдет.\n\n[Поддержка, сообщение №3]\nОткройте справочник ТЕХНОЛОГИЧЕСКАЯ КАРТА ФЛЕКСОПЕЧАТЬ. Отсортируйте по коду. Найдите 98 и отредактируйте код по нужной нумерации.","corpus_check":"confirmed_by_consultant_per_user","release_applicability":"confirmed_by_consultant","required_facts":["Откройте справочник ТЕХНОЛОГИЧЕСКАЯ КАРТА ФЛЕКСОПЕЧАТЬ.","Найдите 98 и отредактируйте код по нужной нумерации."],"approval_basis":"user_confirmed_consultant_approval"}]</x:v>
      </x:c>
      <x:c r="W26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63" s="6" t="str">
        <x:v>approved</x:v>
      </x:c>
      <x:c r="Y263" s="6" t="str">
        <x:v>Карточка и применимость источников согласованы консультантом; утверждение подтверждено пользователем 25.10.2026.</x:v>
      </x:c>
      <x:c r="Z263" s="6" t="str">
        <x:v>G-1a8d465c9f24e0</x:v>
      </x:c>
      <x:c r="AA263" s="6" t="str">
        <x:v>dev</x:v>
      </x:c>
      <x:c r="AB263" s="6" t="str">
        <x:v>real_anonymized_candidate</x:v>
      </x:c>
    </x:row>
    <x:row r="264" ht="115" customHeight="1">
      <x:c r="A264" s="6" t="str">
        <x:v>OMNI-175240607-M004</x:v>
      </x:c>
      <x:c r="B264" s="6" t="str">
        <x:v>real_anonymized_candidate:omnidesk:175240607:message:4</x:v>
      </x:c>
      <x:c r="C264" s="6" t="str">
        <x:v>{"history":[],"user_message":"Как сделать тираж составляющей отличным от тиража Сложного заказа и равным всегда 1 ?\nСитуация: делаем расчет печати шелкографией на пакетах.\nТираж заказа ожидаемо = тираж пакетов. Например 100 штук.\nНо в Сложном расчете есть такая деталь как \"Вывод пленки (фотовывод)\", в ней заложен фотовывод одной пленки для засветки формы.\nКак бы мы ни пытались -- никак не получается сделать ТиражОперации = 1.\nУже и включали галочку \"использовать сложный расчет тиража операции\" -- бесполезно, не работает ((\nПодскажите пожалуйста, каким способом возможно решить эту проблему?\nЗаранее спасибо!"}</x:v>
      </x:c>
      <x:c r="D264" s="6" t="str">
        <x:v>{"product":"1С:УНФ 8. Полиграфия 2","version":"3.0.14.140","retrieval_state":"available","handoff_consent":false,"source_case_id":"175240607","group_id":"omnidesk_175240607","target_message_index":4,"history_status":"approved_case_first_turn","reported_release":"not_reported","approval_basis":"user_confirmed_consultant_approval"}</x:v>
      </x:c>
      <x:c r="E264" s="6" t="str">
        <x:v>1С:УНФ 8. Полиграфия 2</x:v>
      </x:c>
      <x:c r="F264" s="6" t="str">
        <x:v>3.0.14.140</x:v>
      </x:c>
      <x:c r="G264" s="6" t="str">
        <x:v>not_reported</x:v>
      </x:c>
      <x:c r="H264" s="6" t="str">
        <x:v>default</x:v>
      </x:c>
      <x:c r="I264" s="6" t="str">
        <x:v>Применимость источников и эталона к 1С:УНФ 8. Полиграфия 2, релиз 3.0.14.140, подтверждена консультантом со слов пользователя.</x:v>
      </x:c>
      <x:c r="J264" s="13" t="str">
        <x:v>0</x:v>
      </x:c>
      <x:c r="K264" s="13" t="str">
        <x:v>5</x:v>
      </x:c>
      <x:c r="L264" s="7" t="b">
        <x:v>0</x:v>
      </x:c>
      <x:c r="M264" s="6" t="str">
        <x:v>not_applicable</x:v>
      </x:c>
      <x:c r="N264" s="6" t="str">
        <x:v>[]</x:v>
      </x:c>
      <x:c r="O264" s="7" t="b">
        <x:v>1</x:v>
      </x:c>
      <x:c r="P264" s="6" t="str">
        <x:v>K2</x:v>
      </x:c>
      <x:c r="Q264" s="6" t="str">
        <x:v>На заданном первом ходе данных достаточно; утверждённые источники дают применимый ответ для 3.0.14.140. Ожидается ответ по существу с источником.</x:v>
      </x:c>
      <x:c r="R264" s="6" t="str">
        <x:v>["omnidesk","real_anonymized","product_function"]</x:v>
      </x:c>
      <x:c r="S264" s="6" t="str">
        <x:v>answer</x:v>
      </x:c>
      <x:c r="T26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Напишите о результате , пожалуйста.","Подтверждённый факт из поддержки: ТИРАЖ операции и ТИРАЖ НА прессе -это разные вещи.","Подтверждённый факт из поддержки: Тираж на прессе, автоматом перезаписывается согласно данным из сложного заказа.","Вежливый деловой русский и понятный следующий шаг; без обвинений и необоснованных обещаний."]</x:v>
      </x:c>
      <x:c r="U26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264" s="6" t="str">
        <x:v>[{"source_file":"/Users/maria/chatbot_rag/knowledge base/omnidesk_cases.jsonl","source_case_id":"175240607","source_jsonl_line":544,"target_message_index":4,"evidence_type":"historical_support_consultant_approved","support_message_indices":[1,2,5,6],"source_answer":"[Поддержка, сообщение №1]\nНапишите о результате , пожалуйста.\n\n[Поддержка, сообщение №2]\nТИРАЖ операции и ТИРАЖ НА прессе -это разные вещи. Тираж на прессе, автоматом перезаписывается согласно данным из сложного заказа. Как клиент формирует операцию \"ВЫвод пленки\", какой тип у нее ? Если препресс, то что мешает создать составляющую с видом препресс и выбрать там эту операцию, указав у нее любой тираж, зачем менять именно тираж на прессе?\n\n[Поддержка, сообщение №5]\nПолучается?","corpus_check":"confirmed_by_consultant_per_user","release_applicability":"confirmed_by_consultant","required_facts":["Напишите о результате , пожалуйста.","ТИРАЖ операции и ТИРАЖ НА прессе -это разные вещи.","Тираж на прессе, автоматом перезаписывается согласно данным из сложного заказа."],"approval_basis":"user_confirmed_consultant_approval"}]</x:v>
      </x:c>
      <x:c r="W26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264" s="6" t="str">
        <x:v>approved</x:v>
      </x:c>
      <x:c r="Y264" s="6" t="str">
        <x:v>Карточка и применимость источников согласованы консультантом; утверждение подтверждено пользователем 25.10.2026.</x:v>
      </x:c>
      <x:c r="Z264" s="6" t="str">
        <x:v>G-d05f63641fc1d2</x:v>
      </x:c>
      <x:c r="AA264" s="6" t="str">
        <x:v>dev</x:v>
      </x:c>
      <x:c r="AB264" s="6" t="str">
        <x:v>real_anonymized_candidate</x:v>
      </x:c>
    </x:row>
    <x:row r="265" ht="115" customHeight="1">
      <x:c r="A265" s="6" t="str">
        <x:v>OMNI-418935760-M001</x:v>
      </x:c>
      <x:c r="B265" s="6" t="str">
        <x:v>real_anonymized_candidate:omnidesk:418935760:message:1</x:v>
      </x:c>
      <x:c r="C265" s="6" t="str">
        <x:v>{"history":[],"user_message":"При обновлении УНФ Полиграфия с версии [IP_ADDRESS] до версии [IP_ADDRESS] на дополнительных процедурах обработки вышла ошибка:\n------------------------------------------------------------------------------------------------------------------------------------------------\n{(238, 2)}: Синтаксическая ошибка \"СервисСверкиРасчетовРеестрДокументов.Организация\"\n&gt;СервисСверкиРасчетовРеестрДокументов.Организация КАК Организация,\n[ОшибкаВоВремяВыполненияВстроенногоЯзыка, ИсключениеВызванноеИзВстроенногоЯзыка, ОшибкаКонфигурации]\nпо причине:\nОшибка при вызове метода контекста (Выполнить)\n[ОшибкаВоВремяВыполненияВстроенногоЯзыка]\nпо причине:\n{(238, 2)}: Синтаксическая ошибка \"СервисСверкиРасчетовРеестрДокументов.Организация\""}</x:v>
      </x:c>
      <x:c r="D265" s="6" t="str">
        <x:v>{"product":"1С:УНФ 8. Полиграфия 2","version":"3.0.14.140","retrieval_state":"available","handoff_consent":false,"source_case_id":"418935760","group_id":"omnidesk_418935760","target_message_index":1,"history_status":"approved_case_first_turn","reported_release":"redacted_in_source","approval_basis":"user_confirmed_consultant_approval"}</x:v>
      </x:c>
      <x:c r="E265" s="6" t="str">
        <x:v>1С:УНФ 8. Полиграфия 2</x:v>
      </x:c>
      <x:c r="F265" s="6" t="str">
        <x:v>3.0.14.140</x:v>
      </x:c>
      <x:c r="G265" s="6" t="str">
        <x:v>redacted_in_source</x:v>
      </x:c>
      <x:c r="H265" s="6" t="str">
        <x:v>explicit</x:v>
      </x:c>
      <x:c r="I265" s="6" t="str">
        <x:v>Применимость источников и эталона к 1С:УНФ 8. Полиграфия 2, релиз 3.0.14.140, подтверждена консультантом со слов пользователя.</x:v>
      </x:c>
      <x:c r="J265" s="13" t="str">
        <x:v>0</x:v>
      </x:c>
      <x:c r="K265" s="13" t="str">
        <x:v>5</x:v>
      </x:c>
      <x:c r="L265" s="7" t="b">
        <x:v>1</x:v>
      </x:c>
      <x:c r="M265" s="6" t="str">
        <x:v>not_applicable</x:v>
      </x:c>
      <x:c r="N265" s="6" t="str">
        <x:v>["Способ установки обновления и последовательность действий","Есть ли активные расширения и повторяется ли ошибка без них в тестовой копии"]</x:v>
      </x:c>
      <x:c r="O265" s="7" t="b">
        <x:v>0</x:v>
      </x:c>
      <x:c r="P265" s="6" t="str">
        <x:v>K3</x:v>
      </x:c>
      <x:c r="Q265"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265" s="6" t="str">
        <x:v>["omnidesk","real_anonymized","update"]</x:v>
      </x:c>
      <x:c r="S265" s="6" t="str">
        <x:v>clarify</x:v>
      </x:c>
      <x:c r="T265" s="6" t="str">
        <x:v>["Запросить следующие существенные сведения: Способ установки обновления и последовательность действий; Есть ли активные расширения и повторяется ли ошибка без них в тестовой копии.","Уточнение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265"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265" s="6" t="str">
        <x:v>[{"source_file":"/Users/maria/chatbot_rag/knowledge base/omnidesk_cases.jsonl","source_case_id":"418935760","source_jsonl_line":25,"target_message_index":1,"evidence_type":"historical_support_consultant_approved","support_message_indices":[2],"source_answer":"[Поддержка, сообщение №2]\nОбновляли и в файловм и кл серверном варианте, ошибок не было. Как обновляете? Рекомендуем удалить все расширения перед обновлением и уже затем обновить.","corpus_check":"confirmed_by_consultant_per_user","release_applicability":"confirmed_by_consultant","approval_basis":"user_confirmed_consultant_approval"}]</x:v>
      </x:c>
      <x:c r="W265" s="6" t="str">
        <x:v>["Есть конкретный полезный вопрос о недостающих сведениях: Способ установки обновления и последовательность действий; Есть ли активные расширения и повторяется ли ошибка без них в тестовой копии.","Нет произвольного решения и необоснованного отказа. Соблюдены доступная история и лимит пяти уточнений."]</x:v>
      </x:c>
      <x:c r="X265" s="6" t="str">
        <x:v>approved</x:v>
      </x:c>
      <x:c r="Y265" s="6" t="str">
        <x:v>Карточка и применимость источников согласованы консультантом; утверждение подтверждено пользователем 25.10.2026.</x:v>
      </x:c>
      <x:c r="Z265" s="6" t="str">
        <x:v>G-340af03ed4d7a4</x:v>
      </x:c>
      <x:c r="AA265" s="6" t="str">
        <x:v>dev</x:v>
      </x:c>
      <x:c r="AB265" s="6" t="str">
        <x:v>real_anonymized_candidate</x:v>
      </x:c>
    </x:row>
    <x:row r="266" ht="115" customHeight="1">
      <x:c r="A266" s="6" t="str">
        <x:v>OMNI-254681795-M001</x:v>
      </x:c>
      <x:c r="B266" s="6" t="str">
        <x:v>real_anonymized_candidate:omnidesk:254681795:message:1</x:v>
      </x:c>
      <x:c r="C266" s="6" t="str">
        <x:v>{"history":[],"user_message":"обращается к вам организация [ИНН] Вопрос по программе 1С:УНФ 8. Полиграфия 2 ([IP_ADDRESS]) рег номер [LONG_NUMBER] Версия платформы 1С:Предприятие [PHONE]) клиент серверный вариант СУБД PostgreSQL После последнего обновления стали создаваться платежки с номером НФНФ-НФНФ-1 хотя должны быть НФНФ-000453 например. Номера у предыдущих проверяли, проблем нет с неправильными номерами, это ошибка конфигруации или что-то у нас ?"}</x:v>
      </x:c>
      <x:c r="D266" s="6" t="str">
        <x:v>{"product":"1С:УНФ 8. Полиграфия 2","version":"3.0.14.140","retrieval_state":"available","handoff_consent":false,"source_case_id":"254681795","group_id":"omnidesk_254681795","target_message_index":1,"history_status":"approved_case_first_turn","reported_release":"not_reported","approval_basis":"user_confirmed_consultant_approval"}</x:v>
      </x:c>
      <x:c r="E266" s="6" t="str">
        <x:v>1С:УНФ 8. Полиграфия 2</x:v>
      </x:c>
      <x:c r="F266" s="6" t="str">
        <x:v>3.0.14.140</x:v>
      </x:c>
      <x:c r="G266" s="6" t="str">
        <x:v>not_reported</x:v>
      </x:c>
      <x:c r="H266" s="6" t="str">
        <x:v>default</x:v>
      </x:c>
      <x:c r="I266" s="6" t="str">
        <x:v>Применимость источников и эталона к 1С:УНФ 8. Полиграфия 2, релиз 3.0.14.140, подтверждена консультантом со слов пользователя.</x:v>
      </x:c>
      <x:c r="J266" s="13" t="str">
        <x:v>0</x:v>
      </x:c>
      <x:c r="K266" s="13" t="str">
        <x:v>5</x:v>
      </x:c>
      <x:c r="L266" s="7" t="b">
        <x:v>0</x:v>
      </x:c>
      <x:c r="M266" s="6" t="str">
        <x:v>diagnosis_required</x:v>
      </x:c>
      <x:c r="N266" s="6" t="str">
        <x:v>[]</x:v>
      </x:c>
      <x:c r="O266" s="7" t="b">
        <x:v>0</x:v>
      </x:c>
      <x:c r="P266" s="6" t="str">
        <x:v>K4</x:v>
      </x:c>
      <x:c r="Q266"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266" s="6" t="str">
        <x:v>["omnidesk","real_anonymized","update","handoff"]</x:v>
      </x:c>
      <x:c r="S266" s="6" t="str">
        <x:v>offer_handoff</x:v>
      </x:c>
      <x:c r="T266" s="6" t="str">
        <x:v>["Явно обозначить, что бот не может самостоятельно выполнить этот запрос или дать подтверждённое решение.","Предложить передачу оператору по вопросу: обращается к вам организация [ИНН] Вопрос по программе 1С:УНФ 8. Полиграфия 2 ([IP_ADDRESS]) рег номер [LONG_NUMBER] Версия платформы 1С:Предприятие [PHONE]) клиент серверный вариант СУБД PostgreSQL После последнего обновления стали создаваться платежки с номером НФНФ-НФНФ-1 хотя должны быть НФНФ-00.","Запросить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66"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66" s="6" t="str">
        <x:v>[{"source_file":"/Users/maria/chatbot_rag/knowledge base/omnidesk_cases.jsonl","source_case_id":"254681795","source_jsonl_line":391,"target_message_index":1,"evidence_type":"historical_support_consultant_approved","support_message_indices":[2,3],"source_answer":"[Поддержка, сообщение №3]\nЭта проблема типовой конфигурации УНФ. Она будет устранена в следующем релизе. Если срочно, то можно установить расширение. см Вложение.","corpus_check":"confirmed_by_consultant_per_user","release_applicability":"confirmed_by_consultant","approval_basis":"user_confirmed_consultant_approval"}]</x:v>
      </x:c>
      <x:c r="W266"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66" s="6" t="str">
        <x:v>approved</x:v>
      </x:c>
      <x:c r="Y266" s="6" t="str">
        <x:v>Карточка и применимость источников согласованы консультантом; утверждение подтверждено пользователем 25.10.2026.</x:v>
      </x:c>
      <x:c r="Z266" s="6" t="str">
        <x:v>G-f7f6eb7139007d</x:v>
      </x:c>
      <x:c r="AA266" s="6" t="str">
        <x:v>dev</x:v>
      </x:c>
      <x:c r="AB266" s="6" t="str">
        <x:v>real_anonymized_candidate</x:v>
      </x:c>
    </x:row>
    <x:row r="267" ht="115" customHeight="1">
      <x:c r="A267" s="6" t="str">
        <x:v>OMNI-424190446-M004</x:v>
      </x:c>
      <x:c r="B267" s="6" t="str">
        <x:v>real_anonymized_candidate:omnidesk:424190446:message:4</x:v>
      </x:c>
      <x:c r="C267" s="6" t="str">
        <x:v>{"history":[],"user_message":"Добрый день Попытался создать сборный тираж. Добавляю заказа из «расчет заказа», а окно «не активно» (см. прикрепленный файл) Что не так делаю?"}</x:v>
      </x:c>
      <x:c r="D267" s="6" t="str">
        <x:v>{"product":"1С:УНФ 8. Полиграфия 2","version":"3.0.14.140","retrieval_state":"available","handoff_consent":false,"source_case_id":"424190446","group_id":"omnidesk_424190446","target_message_index":4,"history_status":"approved_case_first_turn","reported_release":"not_reported","approval_basis":"user_confirmed_consultant_approval"}</x:v>
      </x:c>
      <x:c r="E267" s="6" t="str">
        <x:v>1С:УНФ 8. Полиграфия 2</x:v>
      </x:c>
      <x:c r="F267" s="6" t="str">
        <x:v>3.0.14.140</x:v>
      </x:c>
      <x:c r="G267" s="6" t="str">
        <x:v>not_reported</x:v>
      </x:c>
      <x:c r="H267" s="6" t="str">
        <x:v>default</x:v>
      </x:c>
      <x:c r="I267" s="6" t="str">
        <x:v>Применимость источников и эталона к 1С:УНФ 8. Полиграфия 2, релиз 3.0.14.140, подтверждена консультантом со слов пользователя.</x:v>
      </x:c>
      <x:c r="J267" s="13" t="str">
        <x:v>0</x:v>
      </x:c>
      <x:c r="K267" s="13" t="str">
        <x:v>5</x:v>
      </x:c>
      <x:c r="L267" s="7" t="b">
        <x:v>1</x:v>
      </x:c>
      <x:c r="M267" s="6" t="str">
        <x:v>not_applicable</x:v>
      </x:c>
      <x:c r="N267" s="6" t="str">
        <x:v>["Какой вариант подбора выбран в сборном тираже","Создан ли расчёт заказа для выбранного заказчика и на каком действии окно становится неактивным"]</x:v>
      </x:c>
      <x:c r="O267" s="7" t="b">
        <x:v>0</x:v>
      </x:c>
      <x:c r="P267" s="6" t="str">
        <x:v>K3</x:v>
      </x:c>
      <x:c r="Q267"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267" s="6" t="str">
        <x:v>["omnidesk","real_anonymized","product_function"]</x:v>
      </x:c>
      <x:c r="S267" s="6" t="str">
        <x:v>clarify</x:v>
      </x:c>
      <x:c r="T267" s="6" t="str">
        <x:v>["Запросить следующие существенные сведения: Какой вариант подбора выбран в сборном тираже; Создан ли расчёт заказа для выбранного заказчика и на каком действии окно становится неактивным.","Уточнение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267"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267" s="6" t="str">
        <x:v>[{"source_file":"/Users/maria/chatbot_rag/knowledge base/omnidesk_cases.jsonl","source_case_id":"424190446","source_jsonl_line":2,"target_message_index":4,"evidence_type":"historical_support_consultant_approved","support_message_indices":[1],"source_answer":"[Поддержка, сообщение №1]\nВасилий! Вы выбрали вариант выбрать из документа Расчет заказа. А он у вас создан? Для этого заказчика. В Сборном тираже можно выбирать просто Продукцию, Расчеты заказов, Расчеты составляющих, Расчеты флексопечати. Подробнее смотрите в Руководстве пользователя: Глава Документ Сборный тираж, стр 244.","corpus_check":"confirmed_by_consultant_per_user","release_applicability":"confirmed_by_consultant","approval_basis":"user_confirmed_consultant_approval"}]</x:v>
      </x:c>
      <x:c r="W267" s="6" t="str">
        <x:v>["Есть конкретный полезный вопрос о недостающих сведениях: Какой вариант подбора выбран в сборном тираже; Создан ли расчёт заказа для выбранного заказчика и на каком действии окно становится неактивным.","Нет произвольного решения и необоснованного отказа. Соблюдены доступная история и лимит пяти уточнений."]</x:v>
      </x:c>
      <x:c r="X267" s="6" t="str">
        <x:v>approved</x:v>
      </x:c>
      <x:c r="Y267" s="6" t="str">
        <x:v>Карточка и применимость источников согласованы консультантом; утверждение подтверждено пользователем 25.10.2026.</x:v>
      </x:c>
      <x:c r="Z267" s="6" t="str">
        <x:v>G-9e975b6dc26b0a</x:v>
      </x:c>
      <x:c r="AA267" s="6" t="str">
        <x:v>dev</x:v>
      </x:c>
      <x:c r="AB267" s="6" t="str">
        <x:v>real_anonymized_candidate</x:v>
      </x:c>
    </x:row>
    <x:row r="268" ht="115" customHeight="1">
      <x:c r="A268" s="6" t="str">
        <x:v>OMNI-5911516-M001</x:v>
      </x:c>
      <x:c r="B268" s="6" t="str">
        <x:v>real_anonymized_candidate:omnidesk:5911516:message:1</x:v>
      </x:c>
      <x:c r="C268" s="6" t="str">
        <x:v>{"history":[],"user_message":"Это компания ФОБОС, мы звонили Вам вчера по поводу Оперативной печати и вопроса по ошибке с расчетом Сборного спуска. Мы написали письмо в тех поддержку, нам ответили что необходимо установить новую версию СЛК, мы ее установили, но ошибка не пропала. Может есть возможность подключиться к нам? Мой телефон - [PHONE]."}</x:v>
      </x:c>
      <x:c r="D268" s="6" t="str">
        <x:v>{"product":"1С:УНФ 8. Полиграфия 2","version":"3.0.14.140","retrieval_state":"available","handoff_consent":false,"source_case_id":"5911516","group_id":"omnidesk_5911516","target_message_index":1,"history_status":"approved_case_first_turn","reported_release":"not_reported","approval_basis":"user_confirmed_consultant_approval"}</x:v>
      </x:c>
      <x:c r="E268" s="6" t="str">
        <x:v>1С:УНФ 8. Полиграфия 2</x:v>
      </x:c>
      <x:c r="F268" s="6" t="str">
        <x:v>3.0.14.140</x:v>
      </x:c>
      <x:c r="G268" s="6" t="str">
        <x:v>not_reported</x:v>
      </x:c>
      <x:c r="H268" s="6" t="str">
        <x:v>default</x:v>
      </x:c>
      <x:c r="I268" s="6" t="str">
        <x:v>Применимость источников и эталона к 1С:УНФ 8. Полиграфия 2, релиз 3.0.14.140, подтверждена консультантом со слов пользователя.</x:v>
      </x:c>
      <x:c r="J268" s="13" t="str">
        <x:v>0</x:v>
      </x:c>
      <x:c r="K268" s="13" t="str">
        <x:v>5</x:v>
      </x:c>
      <x:c r="L268" s="7" t="b">
        <x:v>0</x:v>
      </x:c>
      <x:c r="M268" s="6" t="str">
        <x:v>diagnosis_required</x:v>
      </x:c>
      <x:c r="N268" s="6" t="str">
        <x:v>[]</x:v>
      </x:c>
      <x:c r="O268" s="7" t="b">
        <x:v>0</x:v>
      </x:c>
      <x:c r="P268" s="6" t="str">
        <x:v>K4</x:v>
      </x:c>
      <x:c r="Q268"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268" s="6" t="str">
        <x:v>["omnidesk","real_anonymized","licensing","support","handoff"]</x:v>
      </x:c>
      <x:c r="S268" s="6" t="str">
        <x:v>offer_handoff</x:v>
      </x:c>
      <x:c r="T268" s="6" t="str">
        <x:v>["Явно обозначить, что бот не может самостоятельно выполнить этот запрос или дать подтверждённое решение.","Предложить передачу оператору по вопросу: Это компания ФОБОС, мы звонили Вам вчера по поводу Оперативной печати и вопроса по ошибке с расчетом Сборного спуска. Мы написали письмо в тех поддержку, нам ответили что необходимо установить новую версию СЛК, мы ее установили, но ошибка не пропала. Может есть возможность подключиться к нам? Мой те.","Запросить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68"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68" s="6" t="str">
        <x:v>[{"source_file":"/Users/maria/chatbot_rag/knowledge base/omnidesk_cases.jsonl","source_case_id":"5911516","source_jsonl_line":1392,"target_message_index":1,"evidence_type":"historical_support_consultant_approved","support_message_indices":[2],"source_answer":"[Содержательный ответ поддержки в выгрузке отсутствует]","corpus_check":"confirmed_by_consultant_per_user","release_applicability":"confirmed_by_consultant","approval_basis":"user_confirmed_consultant_approval"}]</x:v>
      </x:c>
      <x:c r="W268"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68" s="6" t="str">
        <x:v>approved</x:v>
      </x:c>
      <x:c r="Y268" s="6" t="str">
        <x:v>Карточка и применимость источников согласованы консультантом; утверждение подтверждено пользователем 25.10.2026.</x:v>
      </x:c>
      <x:c r="Z268" s="6" t="str">
        <x:v>G-3ddd5c52402674</x:v>
      </x:c>
      <x:c r="AA268" s="6" t="str">
        <x:v>dev</x:v>
      </x:c>
      <x:c r="AB268" s="6" t="str">
        <x:v>real_anonymized_candidate</x:v>
      </x:c>
    </x:row>
    <x:row r="269" ht="115" customHeight="1">
      <x:c r="A269" s="6" t="str">
        <x:v>OMNI-341392162-M001</x:v>
      </x:c>
      <x:c r="B269" s="6" t="str">
        <x:v>real_anonymized_candidate:omnidesk:341392162:message:1</x:v>
      </x:c>
      <x:c r="C269" s="6" t="str">
        <x:v>{"history":[],"user_message":"После обновления конфигурации УНФ Полиграфия 2 до версии [IP_ADDRESS] перестал работать подбор материала при добавлении операции у которой в свойствах включен параметр \"Включить выбор материалов в свойствах операции в полиграфических документах\".\nВ процессе добавления такой операции, при попытке выбрать номенклатуру интерактивно (через \"три точки\"), открывается окно справочника номенклатуры со списком отнормированных материалов операции, но после выбора материала, поле \"Номенклатура\" остаётся пустым.\nЕсли это поле заполнять вручную с клавиатуры, то всё работает.\nОшибка воспроизводится на демонстрационной базе при добавлении операции \"Навинчивания колпачка на тубу\"."}</x:v>
      </x:c>
      <x:c r="D269" s="6" t="str">
        <x:v>{"product":"1С:УНФ 8. Полиграфия 2","version":"3.0.14.140","retrieval_state":"available","handoff_consent":false,"source_case_id":"341392162","group_id":"omnidesk_341392162","target_message_index":1,"history_status":"approved_case_first_turn","reported_release":"redacted_in_source","approval_basis":"user_confirmed_consultant_approval"}</x:v>
      </x:c>
      <x:c r="E269" s="6" t="str">
        <x:v>1С:УНФ 8. Полиграфия 2</x:v>
      </x:c>
      <x:c r="F269" s="6" t="str">
        <x:v>3.0.14.140</x:v>
      </x:c>
      <x:c r="G269" s="6" t="str">
        <x:v>redacted_in_source</x:v>
      </x:c>
      <x:c r="H269" s="6" t="str">
        <x:v>explicit</x:v>
      </x:c>
      <x:c r="I269" s="6" t="str">
        <x:v>Применимость источников и эталона к 1С:УНФ 8. Полиграфия 2, релиз 3.0.14.140, подтверждена консультантом со слов пользователя.</x:v>
      </x:c>
      <x:c r="J269" s="13" t="str">
        <x:v>0</x:v>
      </x:c>
      <x:c r="K269" s="13" t="str">
        <x:v>5</x:v>
      </x:c>
      <x:c r="L269" s="7" t="b">
        <x:v>0</x:v>
      </x:c>
      <x:c r="M269" s="6" t="str">
        <x:v>diagnosis_required</x:v>
      </x:c>
      <x:c r="N269" s="6" t="str">
        <x:v>[]</x:v>
      </x:c>
      <x:c r="O269" s="7" t="b">
        <x:v>0</x:v>
      </x:c>
      <x:c r="P269" s="6" t="str">
        <x:v>K4</x:v>
      </x:c>
      <x:c r="Q269"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269" s="6" t="str">
        <x:v>["omnidesk","real_anonymized","update","cost_calculation","materials","handoff"]</x:v>
      </x:c>
      <x:c r="S269" s="6" t="str">
        <x:v>offer_handoff</x:v>
      </x:c>
      <x:c r="T269" s="6" t="str">
        <x:v>["Явно обозначить, что бот не может самостоятельно выполнить этот запрос или дать подтверждённое решение.","Предложить передачу оператору по вопросу: После обновления конфигурации УНФ Полиграфия 2 до версии [IP_ADDRESS] перестал работать подбор материала при добавлении операции у которой в свойствах включен параметр \"Включить выбор материалов в свойствах операции в полиграфических документах\". В процессе добавления такой операции, при попытке выб.","Запросить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69"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69" s="6" t="str">
        <x:v>[{"source_file":"/Users/maria/chatbot_rag/knowledge base/omnidesk_cases.jsonl","source_case_id":"341392162","source_jsonl_line":212,"target_message_index":1,"evidence_type":"historical_support_consultant_approved","support_message_indices":[2],"source_answer":"[Поддержка, сообщение №2]\nУстановите расширение (во вложении)","corpus_check":"confirmed_by_consultant_per_user","release_applicability":"confirmed_by_consultant","approval_basis":"user_confirmed_consultant_approval"}]</x:v>
      </x:c>
      <x:c r="W269"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69" s="6" t="str">
        <x:v>approved</x:v>
      </x:c>
      <x:c r="Y269" s="6" t="str">
        <x:v>Карточка и применимость источников согласованы консультантом; утверждение подтверждено пользователем 25.10.2026.</x:v>
      </x:c>
      <x:c r="Z269" s="6" t="str">
        <x:v>G-2dffa6cd722e9d</x:v>
      </x:c>
      <x:c r="AA269" s="6" t="str">
        <x:v>dev</x:v>
      </x:c>
      <x:c r="AB269" s="6" t="str">
        <x:v>real_anonymized_candidate</x:v>
      </x:c>
    </x:row>
    <x:row r="270" ht="115" customHeight="1">
      <x:c r="A270" s="6" t="str">
        <x:v>OMNI-341409876-M001</x:v>
      </x:c>
      <x:c r="B270" s="6" t="str">
        <x:v>real_anonymized_candidate:omnidesk:341409876:message:1</x:v>
      </x:c>
      <x:c r="C270" s="6" t="str">
        <x:v>{"history":[],"user_message":"Подниму нашу давнюю проблему: расчет количества краски привязан к площади, группе красок и расходу краски, указанному в Полиграфических параметрах. При малых тиражах в расчетах заказов на вкладке Материалы раньше программа игнорировала количество краски и просто не подставляла никакого значения. Теперь в таких случаях количество округляется до 1 гр. Мы хотели перевести учет краски на граммы, но расчет упорно подставляет количество в кг. Вот для примера: Краска SAKURA Extra Cyan ед. хранения - г Запасы на складе в г. Вопрос: В коде расчета жестко зашита привязка к кг? Без дописок можно это победить?"}</x:v>
      </x:c>
      <x:c r="D270" s="6" t="str">
        <x:v>{"product":"1С:УНФ 8. Полиграфия 2","version":"3.0.14.140","retrieval_state":"available","handoff_consent":false,"source_case_id":"341409876","group_id":"omnidesk_341409876","target_message_index":1,"history_status":"approved_case_first_turn","reported_release":"not_reported","approval_basis":"user_confirmed_consultant_approval"}</x:v>
      </x:c>
      <x:c r="E270" s="6" t="str">
        <x:v>1С:УНФ 8. Полиграфия 2</x:v>
      </x:c>
      <x:c r="F270" s="6" t="str">
        <x:v>3.0.14.140</x:v>
      </x:c>
      <x:c r="G270" s="6" t="str">
        <x:v>not_reported</x:v>
      </x:c>
      <x:c r="H270" s="6" t="str">
        <x:v>default</x:v>
      </x:c>
      <x:c r="I270" s="6" t="str">
        <x:v>Применимость источников и эталона к 1С:УНФ 8. Полиграфия 2, релиз 3.0.14.140, подтверждена консультантом со слов пользователя.</x:v>
      </x:c>
      <x:c r="J270" s="13" t="str">
        <x:v>0</x:v>
      </x:c>
      <x:c r="K270" s="13" t="str">
        <x:v>5</x:v>
      </x:c>
      <x:c r="L270" s="7" t="b">
        <x:v>1</x:v>
      </x:c>
      <x:c r="M270" s="6" t="str">
        <x:v>not_applicable</x:v>
      </x:c>
      <x:c r="N270" s="6" t="str">
        <x:v>["Единица хранения остатков и единица расхода краски в номенклатуре","Конкретные значения расхода, площади и тиража в воспроизводимом примере"]</x:v>
      </x:c>
      <x:c r="O270" s="7" t="b">
        <x:v>0</x:v>
      </x:c>
      <x:c r="P270" s="6" t="str">
        <x:v>K3</x:v>
      </x:c>
      <x:c r="Q270"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270" s="6" t="str">
        <x:v>["omnidesk","real_anonymized","materials"]</x:v>
      </x:c>
      <x:c r="S270" s="6" t="str">
        <x:v>clarify</x:v>
      </x:c>
      <x:c r="T270" s="6" t="str">
        <x:v>["Запросить следующие существенные сведения: Единица хранения остатков и единица расхода краски в номенклатуре; Конкретные значения расхода, площади и тиража в воспроизводимом примере.","Уточнение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270"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270" s="6" t="str">
        <x:v>[{"source_file":"/Users/maria/chatbot_rag/knowledge base/omnidesk_cases.jsonl","source_case_id":"341409876","source_jsonl_line":213,"target_message_index":1,"evidence_type":"historical_support_consultant_approved","support_message_indices":[2,3,5],"source_answer":"[Поддержка, сообщение №3]\nМожете уточнить, что не устраивает в кг. Зачем переводить в граммы? В расчете вы изменили ед.изм. ( рассчиталось в кг) - понятно, ед.изм (наименование) изменилось. То есть вы хотите, чтобы, у вас например 5 кг - было 5000 гр. Цены вы тоже планируете в гр?\n\n[Поддержка, сообщение №5]\nЕсли ед. изм. краски=КГ, то Расход у нас задается в гр = 3г\\м2 Если ds хоттите сделать ед.изм краски = ГРАММ, то Расход задавайте как 3000 г\\м2. Программа считает Количество краски по формуле Расход*Площадь/1000","corpus_check":"confirmed_by_consultant_per_user","release_applicability":"confirmed_by_consultant","approval_basis":"user_confirmed_consultant_approval"}]</x:v>
      </x:c>
      <x:c r="W270" s="6" t="str">
        <x:v>["Есть конкретный полезный вопрос о недостающих сведениях: Единица хранения остатков и единица расхода краски в номенклатуре; Конкретные значения расхода, площади и тиража в воспроизводимом примере.","Нет произвольного решения и необоснованного отказа. Соблюдены доступная история и лимит пяти уточнений."]</x:v>
      </x:c>
      <x:c r="X270" s="6" t="str">
        <x:v>approved</x:v>
      </x:c>
      <x:c r="Y270" s="6" t="str">
        <x:v>Карточка и применимость источников согласованы консультантом; утверждение подтверждено пользователем 25.10.2026.</x:v>
      </x:c>
      <x:c r="Z270" s="6" t="str">
        <x:v>G-b6dff0b1783ece</x:v>
      </x:c>
      <x:c r="AA270" s="6" t="str">
        <x:v>dev</x:v>
      </x:c>
      <x:c r="AB270" s="6" t="str">
        <x:v>real_anonymized_candidate</x:v>
      </x:c>
    </x:row>
    <x:row r="271" ht="115" customHeight="1">
      <x:c r="A271" s="6" t="str">
        <x:v>OMNI-357129770-M001</x:v>
      </x:c>
      <x:c r="B271" s="6" t="str">
        <x:v>real_anonymized_candidate:omnidesk:357129770:message:1</x:v>
      </x:c>
      <x:c r="C271" s="6" t="str">
        <x:v>{"history":[],"user_message":"Нам нужно 10 шт. лицензий СЛК 2.0 Полиграфия (у нас первая). Сейчас у нас такая ситуация. Можно у вас приобрести? В прайсе 1С есть только программные лицензии СЛК 3.0 для Полиграфия 2.0."}</x:v>
      </x:c>
      <x:c r="D271" s="6" t="str">
        <x:v>{"product":"1С:УНФ 8. Полиграфия 2","version":"3.0.14.140","retrieval_state":"available","handoff_consent":false,"source_case_id":"357129770","group_id":"omnidesk_357129770","target_message_index":1,"history_status":"approved_case_first_turn","reported_release":"not_reported","approval_basis":"user_confirmed_consultant_approval"}</x:v>
      </x:c>
      <x:c r="E271" s="6" t="str">
        <x:v>1С:УНФ 8. Полиграфия 2</x:v>
      </x:c>
      <x:c r="F271" s="6" t="str">
        <x:v>3.0.14.140</x:v>
      </x:c>
      <x:c r="G271" s="6" t="str">
        <x:v>not_reported</x:v>
      </x:c>
      <x:c r="H271" s="6" t="str">
        <x:v>default</x:v>
      </x:c>
      <x:c r="I271" s="6" t="str">
        <x:v>Применимость источников и эталона к 1С:УНФ 8. Полиграфия 2, релиз 3.0.14.140, подтверждена консультантом со слов пользователя.</x:v>
      </x:c>
      <x:c r="J271" s="13" t="str">
        <x:v>0</x:v>
      </x:c>
      <x:c r="K271" s="13" t="str">
        <x:v>5</x:v>
      </x:c>
      <x:c r="L271" s="7" t="b">
        <x:v>0</x:v>
      </x:c>
      <x:c r="M271" s="6" t="str">
        <x:v>no_useful_question</x:v>
      </x:c>
      <x:c r="N271" s="6" t="str">
        <x:v>[]</x:v>
      </x:c>
      <x:c r="O271" s="7" t="b">
        <x:v>0</x:v>
      </x:c>
      <x:c r="P271" s="6" t="str">
        <x:v>K4</x:v>
      </x:c>
      <x:c r="Q271"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71" s="6" t="str">
        <x:v>["omnidesk","real_anonymized","licensing","handoff"]</x:v>
      </x:c>
      <x:c r="S271" s="6" t="str">
        <x:v>offer_handoff</x:v>
      </x:c>
      <x:c r="T271" s="6" t="str">
        <x:v>["Явно обозначить, что бот не может самостоятельно выполнить этот запрос или дать подтверждённое решение.","Предложить передачу оператору по вопросу: Нам нужно 10 шт. лицензий СЛК 2.0 Полиграфия (у нас первая). Сейчас у нас такая ситуация. Можно у вас приобрести? В прайсе 1С есть только программные лицензии СЛК 3.0 для Полиграфия 2.0..","Запросить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71"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71" s="6" t="str">
        <x:v>[{"source_file":"/Users/maria/chatbot_rag/knowledge base/omnidesk_cases.jsonl","source_case_id":"357129770","source_jsonl_line":139,"target_message_index":1,"evidence_type":"historical_support_consultant_approved","support_message_indices":[2],"source_answer":"[Поддержка, сообщение №2]\nЭто вопрос к менеджерам. Запрос направлен менеджерам. Они с вами свяжутся по этому вопросу.","corpus_check":"confirmed_by_consultant_per_user","release_applicability":"confirmed_by_consultant","approval_basis":"user_confirmed_consultant_approval"}]</x:v>
      </x:c>
      <x:c r="W271"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71" s="6" t="str">
        <x:v>approved</x:v>
      </x:c>
      <x:c r="Y271" s="6" t="str">
        <x:v>Карточка и применимость источников согласованы консультантом; утверждение подтверждено пользователем 25.10.2026.</x:v>
      </x:c>
      <x:c r="Z271" s="6" t="str">
        <x:v>G-669f84a2e6b721</x:v>
      </x:c>
      <x:c r="AA271" s="6" t="str">
        <x:v>dev</x:v>
      </x:c>
      <x:c r="AB271" s="6" t="str">
        <x:v>real_anonymized_candidate</x:v>
      </x:c>
    </x:row>
    <x:row r="272" ht="115" customHeight="1">
      <x:c r="A272" s="6" t="str">
        <x:v>OMNI-334932018-M002</x:v>
      </x:c>
      <x:c r="B272" s="6" t="str">
        <x:v>real_anonymized_candidate:omnidesk:334932018:message:2</x:v>
      </x:c>
      <x:c r="C272" s="6" t="str">
        <x:v>{"history":[],"user_message":"подскажите, а программный продукт 1С:УНФ. Полиграфия 2 использует остраслевой ИТС?"}</x:v>
      </x:c>
      <x:c r="D272" s="6" t="str">
        <x:v>{"product":"1С:УНФ 8. Полиграфия 2","version":"3.0.14.140","retrieval_state":"available","handoff_consent":false,"source_case_id":"334932018","group_id":"omnidesk_334932018","target_message_index":2,"history_status":"approved_case_first_turn","reported_release":"not_reported","approval_basis":"user_confirmed_consultant_approval"}</x:v>
      </x:c>
      <x:c r="E272" s="6" t="str">
        <x:v>1С:УНФ 8. Полиграфия 2</x:v>
      </x:c>
      <x:c r="F272" s="6" t="str">
        <x:v>3.0.14.140</x:v>
      </x:c>
      <x:c r="G272" s="6" t="str">
        <x:v>not_reported</x:v>
      </x:c>
      <x:c r="H272" s="6" t="str">
        <x:v>default</x:v>
      </x:c>
      <x:c r="I272" s="6" t="str">
        <x:v>Применимость источников и эталона к 1С:УНФ 8. Полиграфия 2, релиз 3.0.14.140, подтверждена консультантом со слов пользователя.</x:v>
      </x:c>
      <x:c r="J272" s="13" t="str">
        <x:v>0</x:v>
      </x:c>
      <x:c r="K272" s="13" t="str">
        <x:v>5</x:v>
      </x:c>
      <x:c r="L272" s="7" t="b">
        <x:v>0</x:v>
      </x:c>
      <x:c r="M272" s="6" t="str">
        <x:v>no_useful_question</x:v>
      </x:c>
      <x:c r="N272" s="6" t="str">
        <x:v>[]</x:v>
      </x:c>
      <x:c r="O272" s="7" t="b">
        <x:v>0</x:v>
      </x:c>
      <x:c r="P272" s="6" t="str">
        <x:v>K4</x:v>
      </x:c>
      <x:c r="Q272"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72" s="6" t="str">
        <x:v>["omnidesk","real_anonymized","product_function","handoff"]</x:v>
      </x:c>
      <x:c r="S272" s="6" t="str">
        <x:v>offer_handoff</x:v>
      </x:c>
      <x:c r="T272" s="6" t="str">
        <x:v>["Явно обозначить, что бот не может самостоятельно выполнить этот запрос или дать подтверждённое решение.","Предложить передачу оператору по вопросу: подскажите, а программный продукт 1С:УНФ. Полиграфия 2 использует остраслевой ИТС?.","Запросить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72"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72" s="6" t="str">
        <x:v>[{"source_file":"/Users/maria/chatbot_rag/knowledge base/omnidesk_cases.jsonl","source_case_id":"334932018","source_jsonl_line":227,"target_message_index":2,"evidence_type":"historical_support_consultant_approved","support_message_indices":[1],"source_answer":"[Поддержка, сообщение №1]\nВаше обращение направлено менеджерам. Они с вами свяжутся в ближайшее время.","corpus_check":"confirmed_by_consultant_per_user","release_applicability":"confirmed_by_consultant","approval_basis":"user_confirmed_consultant_approval"}]</x:v>
      </x:c>
      <x:c r="W272"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72" s="6" t="str">
        <x:v>approved</x:v>
      </x:c>
      <x:c r="Y272" s="6" t="str">
        <x:v>Карточка и применимость источников согласованы консультантом; утверждение подтверждено пользователем 25.10.2026.</x:v>
      </x:c>
      <x:c r="Z272" s="6" t="str">
        <x:v>G-6c0cc987720af0</x:v>
      </x:c>
      <x:c r="AA272" s="6" t="str">
        <x:v>dev</x:v>
      </x:c>
      <x:c r="AB272" s="6" t="str">
        <x:v>real_anonymized_candidate</x:v>
      </x:c>
    </x:row>
    <x:row r="273" ht="115" customHeight="1">
      <x:c r="A273" s="6" t="str">
        <x:v>OMNI-291681698-M001</x:v>
      </x:c>
      <x:c r="B273" s="6" t="str">
        <x:v>real_anonymized_candidate:omnidesk:291681698:message:1</x:v>
      </x:c>
      <x:c r="C273" s="6" t="str">
        <x:v>{"history":[],"user_message":"Наше предприятие приобрело у Вас программу 1С Предприятие УНФ 8.Полиграфия 2 После просмотра сегодняшнего вебинара по данной программе возникли следующие вопросы: 1. Купленная нами программа представляет собой пустой шаблон, в котором отсутствуют формулы для расчета количества и стоимости материалов, времени и стоимости всех операций, операции допечатной и постпечатной подготовки. Нам приходится привлекать стороннего программиста для составления всех формул расчета. Есть какие-либо варианты программы с готовыми прописанными базовыми формулами или дополнительные обновления, помогающие оптимизировать эту работу? 2. Какие варианты сопровождения и помощи с Вашей стороны возможны для внедрения данной программы в производство?"}</x:v>
      </x:c>
      <x:c r="D273" s="6" t="str">
        <x:v>{"product":"1С:УНФ 8. Полиграфия 2","version":"3.0.14.140","retrieval_state":"available","handoff_consent":false,"source_case_id":"291681698","group_id":"omnidesk_291681698","target_message_index":1,"history_status":"approved_case_first_turn","reported_release":"not_reported","approval_basis":"user_confirmed_consultant_approval"}</x:v>
      </x:c>
      <x:c r="E273" s="6" t="str">
        <x:v>1С:УНФ 8. Полиграфия 2</x:v>
      </x:c>
      <x:c r="F273" s="6" t="str">
        <x:v>3.0.14.140</x:v>
      </x:c>
      <x:c r="G273" s="6" t="str">
        <x:v>not_reported</x:v>
      </x:c>
      <x:c r="H273" s="6" t="str">
        <x:v>default</x:v>
      </x:c>
      <x:c r="I273" s="6" t="str">
        <x:v>Применимость источников и эталона к 1С:УНФ 8. Полиграфия 2, релиз 3.0.14.140, подтверждена консультантом со слов пользователя.</x:v>
      </x:c>
      <x:c r="J273" s="13" t="str">
        <x:v>0</x:v>
      </x:c>
      <x:c r="K273" s="13" t="str">
        <x:v>5</x:v>
      </x:c>
      <x:c r="L273" s="7" t="b">
        <x:v>0</x:v>
      </x:c>
      <x:c r="M273" s="6" t="str">
        <x:v>no_useful_question</x:v>
      </x:c>
      <x:c r="N273" s="6" t="str">
        <x:v>[]</x:v>
      </x:c>
      <x:c r="O273" s="7" t="b">
        <x:v>0</x:v>
      </x:c>
      <x:c r="P273" s="6" t="str">
        <x:v>K4</x:v>
      </x:c>
      <x:c r="Q273"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73" s="6" t="str">
        <x:v>["omnidesk","real_anonymized","update","cost_calculation","materials","handoff"]</x:v>
      </x:c>
      <x:c r="S273" s="6" t="str">
        <x:v>offer_handoff</x:v>
      </x:c>
      <x:c r="T273" s="6" t="str">
        <x:v>["Явно обозначить, что бот не может самостоятельно выполнить этот запрос или дать подтверждённое решение.","Предложить передачу оператору по вопросу: Наше предприятие приобрело у Вас программу 1С Предприятие УНФ 8.Полиграфия 2 После просмотра сегодняшнего вебинара по данной программе возникли следующие вопросы: 1. Купленная нами программа представляет собой пустой шаблон, в котором отсутствуют формулы для расчета количества и стоимости материалов.","Запросить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73"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73" s="6" t="str">
        <x:v>[{"source_file":"/Users/maria/chatbot_rag/knowledge base/omnidesk_cases.jsonl","source_case_id":"291681698","source_jsonl_line":335,"target_message_index":1,"evidence_type":"historical_support_consultant_approved","support_message_indices":[2],"source_answer":"[Поддержка, сообщение №2]\nВаше обращение направлено менеджерам. Они с вами свяжутся в ближайшее время.","corpus_check":"confirmed_by_consultant_per_user","release_applicability":"confirmed_by_consultant","approval_basis":"user_confirmed_consultant_approval"}]</x:v>
      </x:c>
      <x:c r="W273"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73" s="6" t="str">
        <x:v>approved</x:v>
      </x:c>
      <x:c r="Y273" s="6" t="str">
        <x:v>Карточка и применимость источников согласованы консультантом; утверждение подтверждено пользователем 25.10.2026.</x:v>
      </x:c>
      <x:c r="Z273" s="6" t="str">
        <x:v>G-d439180cac282a</x:v>
      </x:c>
      <x:c r="AA273" s="6" t="str">
        <x:v>dev</x:v>
      </x:c>
      <x:c r="AB273" s="6" t="str">
        <x:v>real_anonymized_candidate</x:v>
      </x:c>
    </x:row>
    <x:row r="274" ht="115" customHeight="1">
      <x:c r="A274" s="6" t="str">
        <x:v>OMNI-231302569-M001</x:v>
      </x:c>
      <x:c r="B274" s="6" t="str">
        <x:v>real_anonymized_candidate:omnidesk:231302569:message:1</x:v>
      </x:c>
      <x:c r="C274" s="6" t="str">
        <x:v>{"history":[],"user_message":"не могли бы вы выслать руководство пользователя по полиграфии 2.0? Код партнера 12318-56"}</x:v>
      </x:c>
      <x:c r="D274" s="6" t="str">
        <x:v>{"product":"1С:УНФ 8. Полиграфия 2","version":"3.0.14.140","retrieval_state":"available","handoff_consent":false,"source_case_id":"231302569","group_id":"omnidesk_231302569","target_message_index":1,"history_status":"approved_case_first_turn","reported_release":"not_reported","approval_basis":"user_confirmed_consultant_approval"}</x:v>
      </x:c>
      <x:c r="E274" s="6" t="str">
        <x:v>1С:УНФ 8. Полиграфия 2</x:v>
      </x:c>
      <x:c r="F274" s="6" t="str">
        <x:v>3.0.14.140</x:v>
      </x:c>
      <x:c r="G274" s="6" t="str">
        <x:v>not_reported</x:v>
      </x:c>
      <x:c r="H274" s="6" t="str">
        <x:v>default</x:v>
      </x:c>
      <x:c r="I274" s="6" t="str">
        <x:v>Применимость источников и эталона к 1С:УНФ 8. Полиграфия 2, релиз 3.0.14.140, подтверждена консультантом со слов пользователя.</x:v>
      </x:c>
      <x:c r="J274" s="13" t="str">
        <x:v>0</x:v>
      </x:c>
      <x:c r="K274" s="13" t="str">
        <x:v>5</x:v>
      </x:c>
      <x:c r="L274" s="7" t="b">
        <x:v>0</x:v>
      </x:c>
      <x:c r="M274" s="6" t="str">
        <x:v>no_useful_question</x:v>
      </x:c>
      <x:c r="N274" s="6" t="str">
        <x:v>[]</x:v>
      </x:c>
      <x:c r="O274" s="7" t="b">
        <x:v>0</x:v>
      </x:c>
      <x:c r="P274" s="6" t="str">
        <x:v>K4</x:v>
      </x:c>
      <x:c r="Q274"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74" s="6" t="str">
        <x:v>["omnidesk","real_anonymized","access_rights","handoff"]</x:v>
      </x:c>
      <x:c r="S274" s="6" t="str">
        <x:v>offer_handoff</x:v>
      </x:c>
      <x:c r="T274" s="6" t="str">
        <x:v>["Явно обозначить, что бот не может самостоятельно выполнить этот запрос или дать подтверждённое решение.","Предложить передачу оператору по вопросу: не могли бы вы выслать руководство пользователя по полиграфии 2.0? Код партнера 12318-56.","Запросить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74"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74" s="6" t="str">
        <x:v>[{"source_file":"/Users/maria/chatbot_rag/knowledge base/omnidesk_cases.jsonl","source_case_id":"231302569","source_jsonl_line":446,"target_message_index":1,"evidence_type":"historical_support_consultant_approved","support_message_indices":[2],"source_answer":"[Поддержка, сообщение №2]\nВаш запрос направлен менеджерам. Они с вами свяжутся в ближайшее время.","corpus_check":"confirmed_by_consultant_per_user","release_applicability":"confirmed_by_consultant","approval_basis":"user_confirmed_consultant_approval"}]</x:v>
      </x:c>
      <x:c r="W274"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74" s="6" t="str">
        <x:v>approved</x:v>
      </x:c>
      <x:c r="Y274" s="6" t="str">
        <x:v>Карточка и применимость источников согласованы консультантом; утверждение подтверждено пользователем 25.10.2026.</x:v>
      </x:c>
      <x:c r="Z274" s="6" t="str">
        <x:v>G-3ccb15e2ee93d1</x:v>
      </x:c>
      <x:c r="AA274" s="6" t="str">
        <x:v>dev</x:v>
      </x:c>
      <x:c r="AB274" s="6" t="str">
        <x:v>real_anonymized_candidate</x:v>
      </x:c>
    </x:row>
    <x:row r="275" ht="115" customHeight="1">
      <x:c r="A275" s="6" t="str">
        <x:v>OMNI-35036856-M002</x:v>
      </x:c>
      <x:c r="B275" s="6" t="str">
        <x:v>real_anonymized_candidate:omnidesk:35036856:message:2</x:v>
      </x:c>
      <x:c r="C275" s="6" t="str">
        <x:v>{"history":[],"user_message":"у нас полиграфия на базе 1 С УПП 1,3, подписка ИТС оформлена у\nместной организации (г Краснодар).\nМы можем у Вас получать консультации? Сколько стоит час и каково минимальное\nколичество часов, подлежащее оплате."}</x:v>
      </x:c>
      <x:c r="D275" s="6" t="str">
        <x:v>{"product":"1С:УНФ 8. Полиграфия 2","version":"3.0.14.140","retrieval_state":"available","handoff_consent":false,"source_case_id":"35036856","group_id":"omnidesk_35036856","target_message_index":2,"history_status":"approved_case_first_turn","reported_release":"not_reported","approval_basis":"user_confirmed_consultant_approval"}</x:v>
      </x:c>
      <x:c r="E275" s="6" t="str">
        <x:v>1С:УНФ 8. Полиграфия 2</x:v>
      </x:c>
      <x:c r="F275" s="6" t="str">
        <x:v>3.0.14.140</x:v>
      </x:c>
      <x:c r="G275" s="6" t="str">
        <x:v>not_reported</x:v>
      </x:c>
      <x:c r="H275" s="6" t="str">
        <x:v>default</x:v>
      </x:c>
      <x:c r="I275" s="6" t="str">
        <x:v>Применимость источников и эталона к 1С:УНФ 8. Полиграфия 2, релиз 3.0.14.140, подтверждена консультантом со слов пользователя.</x:v>
      </x:c>
      <x:c r="J275" s="13" t="str">
        <x:v>0</x:v>
      </x:c>
      <x:c r="K275" s="13" t="str">
        <x:v>5</x:v>
      </x:c>
      <x:c r="L275" s="7" t="b">
        <x:v>0</x:v>
      </x:c>
      <x:c r="M275" s="6" t="str">
        <x:v>no_useful_question</x:v>
      </x:c>
      <x:c r="N275" s="6" t="str">
        <x:v>[]</x:v>
      </x:c>
      <x:c r="O275" s="7" t="b">
        <x:v>0</x:v>
      </x:c>
      <x:c r="P275" s="6" t="str">
        <x:v>K4</x:v>
      </x:c>
      <x:c r="Q275"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75" s="6" t="str">
        <x:v>["omnidesk","real_anonymized","support","handoff"]</x:v>
      </x:c>
      <x:c r="S275" s="6" t="str">
        <x:v>offer_handoff</x:v>
      </x:c>
      <x:c r="T275" s="6" t="str">
        <x:v>["Явно обозначить, что бот не может самостоятельно выполнить этот запрос или дать подтверждённое решение.","Предложить передачу оператору по вопросу: у нас полиграфия на базе 1 С УПП 1,3, подписка ИТС оформлена у местной организации (г Краснодар). Мы можем у Вас получать консультации? Сколько стоит час и каково минимальное количество часов, подлежащее оплате..","Запросить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75"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75" s="6" t="str">
        <x:v>[{"source_file":"/Users/maria/chatbot_rag/knowledge base/omnidesk_cases.jsonl","source_case_id":"35036856","source_jsonl_line":1064,"target_message_index":2,"evidence_type":"historical_support_consultant_approved","support_message_indices":[1],"source_answer":"[Поддержка, сообщение №1]\nВаш запрос отправлен менеджерам, они свяжутся с вами в течение часа.","corpus_check":"confirmed_by_consultant_per_user","release_applicability":"confirmed_by_consultant","approval_basis":"user_confirmed_consultant_approval"}]</x:v>
      </x:c>
      <x:c r="W275"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75" s="6" t="str">
        <x:v>approved</x:v>
      </x:c>
      <x:c r="Y275" s="6" t="str">
        <x:v>Карточка и применимость источников согласованы консультантом; утверждение подтверждено пользователем 25.10.2026.</x:v>
      </x:c>
      <x:c r="Z275" s="6" t="str">
        <x:v>G-321b2b544797ea</x:v>
      </x:c>
      <x:c r="AA275" s="6" t="str">
        <x:v>dev</x:v>
      </x:c>
      <x:c r="AB275" s="6" t="str">
        <x:v>real_anonymized_candidate</x:v>
      </x:c>
    </x:row>
    <x:row r="276" ht="115" customHeight="1">
      <x:c r="A276" s="6" t="str">
        <x:v>OMNI-359679363-M001</x:v>
      </x:c>
      <x:c r="B276" s="6" t="str">
        <x:v>real_anonymized_candidate:omnidesk:359679363:message:1</x:v>
      </x:c>
      <x:c r="C276" s="6" t="str">
        <x:v>{"history":[],"user_message":"мы в 2024 году приобрели коробочную версию «1С:Полиграфия» у вашей компании, но год её не использовали. Сейчас нужно восстановить доступ и понять, как её активировать. Есть ли у вас информация по нашему клиенту? Можем предоставить ИНН или номер договора. [ИНН] ЛИЦЕНЗИОННЫЙ ДОГОВОР № 4 635"}</x:v>
      </x:c>
      <x:c r="D276" s="6" t="str">
        <x:v>{"product":"1С:УНФ 8. Полиграфия 2","version":"3.0.14.140","retrieval_state":"available","handoff_consent":false,"source_case_id":"359679363","group_id":"omnidesk_359679363","target_message_index":1,"history_status":"approved_case_first_turn","reported_release":"not_reported","approval_basis":"user_confirmed_consultant_approval"}</x:v>
      </x:c>
      <x:c r="E276" s="6" t="str">
        <x:v>1С:УНФ 8. Полиграфия 2</x:v>
      </x:c>
      <x:c r="F276" s="6" t="str">
        <x:v>3.0.14.140</x:v>
      </x:c>
      <x:c r="G276" s="6" t="str">
        <x:v>not_reported</x:v>
      </x:c>
      <x:c r="H276" s="6" t="str">
        <x:v>default</x:v>
      </x:c>
      <x:c r="I276" s="6" t="str">
        <x:v>Применимость источников и эталона к 1С:УНФ 8. Полиграфия 2, релиз 3.0.14.140, подтверждена консультантом со слов пользователя.</x:v>
      </x:c>
      <x:c r="J276" s="13" t="str">
        <x:v>0</x:v>
      </x:c>
      <x:c r="K276" s="13" t="str">
        <x:v>5</x:v>
      </x:c>
      <x:c r="L276" s="7" t="b">
        <x:v>0</x:v>
      </x:c>
      <x:c r="M276" s="6" t="str">
        <x:v>no_useful_question</x:v>
      </x:c>
      <x:c r="N276" s="6" t="str">
        <x:v>[]</x:v>
      </x:c>
      <x:c r="O276" s="7" t="b">
        <x:v>0</x:v>
      </x:c>
      <x:c r="P276" s="6" t="str">
        <x:v>K4</x:v>
      </x:c>
      <x:c r="Q276"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76" s="6" t="str">
        <x:v>["omnidesk","real_anonymized","licensing","access_rights","handoff"]</x:v>
      </x:c>
      <x:c r="S276" s="6" t="str">
        <x:v>offer_handoff</x:v>
      </x:c>
      <x:c r="T276" s="6" t="str">
        <x:v>["Явно обозначить, что бот не может самостоятельно выполнить этот запрос или дать подтверждённое решение.","Предложить передачу оператору по вопросу: мы в 2024 году приобрели коробочную версию «1С:Полиграфия» у вашей компании, но год её не использовали. Сейчас нужно восстановить доступ и понять, как её активировать. Есть ли у вас информация по нашему клиенту? Можем предоставить ИНН или номер договора. [ИНН] ЛИЦЕНЗИОННЫЙ ДОГОВОР № 4 635.","Запросить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76"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76" s="6" t="str">
        <x:v>[{"source_file":"/Users/maria/chatbot_rag/knowledge base/omnidesk_cases.jsonl","source_case_id":"359679363","source_jsonl_line":135,"target_message_index":1,"evidence_type":"historical_support_consultant_approved","support_message_indices":[2],"source_answer":"[Поддержка, сообщение №2]\nВоше обращение направлено менеджерам. Они с вами свяжутся по этому вопросу в ближайшее время.","corpus_check":"confirmed_by_consultant_per_user","release_applicability":"confirmed_by_consultant","approval_basis":"user_confirmed_consultant_approval"}]</x:v>
      </x:c>
      <x:c r="W276"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76" s="6" t="str">
        <x:v>approved</x:v>
      </x:c>
      <x:c r="Y276" s="6" t="str">
        <x:v>Карточка и применимость источников согласованы консультантом; утверждение подтверждено пользователем 25.10.2026.</x:v>
      </x:c>
      <x:c r="Z276" s="6" t="str">
        <x:v>G-fe292e3a2f9575</x:v>
      </x:c>
      <x:c r="AA276" s="6" t="str">
        <x:v>dev</x:v>
      </x:c>
      <x:c r="AB276" s="6" t="str">
        <x:v>real_anonymized_candidate</x:v>
      </x:c>
    </x:row>
    <x:row r="277" ht="115" customHeight="1">
      <x:c r="A277" s="6" t="str">
        <x:v>OMNI-422831155-M002</x:v>
      </x:c>
      <x:c r="B277" s="6" t="str">
        <x:v>real_anonymized_candidate:omnidesk:422831155:message:2</x:v>
      </x:c>
      <x:c r="C277" s="6" t="str">
        <x:v>{"history":[],"user_message":"Коллеги Армекс , ВНИМАНИЕ ! Опять у вас ошибка в арифметике в отчете, Анализ Бизнеса при расчете в колонке средних данных за период ( месяц). Смотрите колонку, в которой я вручную по формуле рассчитал средне-месячно ( голубым выделена) И сравните с колонкой Среднемесячно из отчета из базы. Красным выделены расхождения. Вопрос с Армексу : Почему вы не проверяете ошибки в своей работе при написании отчетов перед выдачей Клиенту ? И при этом не забывает брать с клиентов деньги . Очень странное отношение к Клиентам. Прошу срочно исправить вашу ошибку в формулах. И надеюсь, что за это исправление вы не снимете с нас ни нормо-часы ни деньги из нашей предоплаты. Иначе это вообще будет уже беспредел, не так ли ? Ю .Кондратьев"}</x:v>
      </x:c>
      <x:c r="D277" s="6" t="str">
        <x:v>{"product":"1С:УНФ 8. Полиграфия 2","version":"3.0.14.140","retrieval_state":"available","handoff_consent":false,"source_case_id":"422831155","group_id":"omnidesk_422831155","target_message_index":2,"history_status":"approved_case_first_turn","reported_release":"not_reported","approval_basis":"user_confirmed_consultant_approval"}</x:v>
      </x:c>
      <x:c r="E277" s="6" t="str">
        <x:v>1С:УНФ 8. Полиграфия 2</x:v>
      </x:c>
      <x:c r="F277" s="6" t="str">
        <x:v>3.0.14.140</x:v>
      </x:c>
      <x:c r="G277" s="6" t="str">
        <x:v>not_reported</x:v>
      </x:c>
      <x:c r="H277" s="6" t="str">
        <x:v>default</x:v>
      </x:c>
      <x:c r="I277" s="6" t="str">
        <x:v>Применимость источников и эталона к 1С:УНФ 8. Полиграфия 2, релиз 3.0.14.140, подтверждена консультантом со слов пользователя.</x:v>
      </x:c>
      <x:c r="J277" s="13" t="str">
        <x:v>0</x:v>
      </x:c>
      <x:c r="K277" s="13" t="str">
        <x:v>5</x:v>
      </x:c>
      <x:c r="L277" s="7" t="b">
        <x:v>0</x:v>
      </x:c>
      <x:c r="M277" s="6" t="str">
        <x:v>diagnosis_required</x:v>
      </x:c>
      <x:c r="N277" s="6" t="str">
        <x:v>[]</x:v>
      </x:c>
      <x:c r="O277" s="7" t="b">
        <x:v>0</x:v>
      </x:c>
      <x:c r="P277" s="6" t="str">
        <x:v>K4</x:v>
      </x:c>
      <x:c r="Q277"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277" s="6" t="str">
        <x:v>["omnidesk","real_anonymized","cost_calculation","handoff"]</x:v>
      </x:c>
      <x:c r="S277" s="6" t="str">
        <x:v>offer_handoff</x:v>
      </x:c>
      <x:c r="T277" s="6" t="str">
        <x:v>["Явно обозначить, что бот не может самостоятельно выполнить этот запрос или дать подтверждённое решение.","Предложить передачу оператору по вопросу: Коллеги Армекс , ВНИМАНИЕ ! Опять у вас ошибка в арифметике в отчете, Анализ Бизнеса при расчете в колонке средних данных за период ( месяц). Смотрите колонку, в которой я вручную по формуле рассчитал средне-месячно ( голубым выделена) И сравните с колонкой Среднемесячно из отчета из базы. Красным в.","Запросить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77"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77" s="6" t="str">
        <x:v>[{"source_file":"/Users/maria/chatbot_rag/knowledge base/omnidesk_cases.jsonl","source_case_id":"422831155","source_jsonl_line":13,"target_message_index":2,"evidence_type":"historical_support_consultant_approved","support_message_indices":[1,3],"source_answer":"[Поддержка, сообщение №3]\nВам ответили напрямую на почту.","corpus_check":"confirmed_by_consultant_per_user","release_applicability":"confirmed_by_consultant","approval_basis":"user_confirmed_consultant_approval"}]</x:v>
      </x:c>
      <x:c r="W277"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77" s="6" t="str">
        <x:v>approved</x:v>
      </x:c>
      <x:c r="Y277" s="6" t="str">
        <x:v>Карточка и применимость источников согласованы консультантом; утверждение подтверждено пользователем 25.10.2026.</x:v>
      </x:c>
      <x:c r="Z277" s="6" t="str">
        <x:v>G-0467fbb8ce4ea6</x:v>
      </x:c>
      <x:c r="AA277" s="6" t="str">
        <x:v>dev</x:v>
      </x:c>
      <x:c r="AB277" s="6" t="str">
        <x:v>real_anonymized_candidate</x:v>
      </x:c>
    </x:row>
    <x:row r="278" ht="115" customHeight="1">
      <x:c r="A278" s="6" t="str">
        <x:v>OMNI-345819169-M001</x:v>
      </x:c>
      <x:c r="B278" s="6" t="str">
        <x:v>real_anonymized_candidate:omnidesk:345819169:message:1</x:v>
      </x:c>
      <x:c r="C278" s="6" t="str">
        <x:v>{"history":[],"user_message":"я оставлял заявку через сайт на демонстрацию 1С:УНФ Полиграфия 2, но так и не прислали, можно ли предоставить для демонстрации клиенту"}</x:v>
      </x:c>
      <x:c r="D278" s="6" t="str">
        <x:v>{"product":"1С:УНФ 8. Полиграфия 2","version":"3.0.14.140","retrieval_state":"available","handoff_consent":false,"source_case_id":"345819169","group_id":"omnidesk_345819169","target_message_index":1,"history_status":"approved_case_first_turn","reported_release":"not_reported","approval_basis":"user_confirmed_consultant_approval"}</x:v>
      </x:c>
      <x:c r="E278" s="6" t="str">
        <x:v>1С:УНФ 8. Полиграфия 2</x:v>
      </x:c>
      <x:c r="F278" s="6" t="str">
        <x:v>3.0.14.140</x:v>
      </x:c>
      <x:c r="G278" s="6" t="str">
        <x:v>not_reported</x:v>
      </x:c>
      <x:c r="H278" s="6" t="str">
        <x:v>default</x:v>
      </x:c>
      <x:c r="I278" s="6" t="str">
        <x:v>Применимость источников и эталона к 1С:УНФ 8. Полиграфия 2, релиз 3.0.14.140, подтверждена консультантом со слов пользователя.</x:v>
      </x:c>
      <x:c r="J278" s="13" t="str">
        <x:v>0</x:v>
      </x:c>
      <x:c r="K278" s="13" t="str">
        <x:v>5</x:v>
      </x:c>
      <x:c r="L278" s="7" t="b">
        <x:v>0</x:v>
      </x:c>
      <x:c r="M278" s="6" t="str">
        <x:v>no_useful_question</x:v>
      </x:c>
      <x:c r="N278" s="6" t="str">
        <x:v>[]</x:v>
      </x:c>
      <x:c r="O278" s="7" t="b">
        <x:v>0</x:v>
      </x:c>
      <x:c r="P278" s="6" t="str">
        <x:v>K4</x:v>
      </x:c>
      <x:c r="Q278"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78" s="6" t="str">
        <x:v>["omnidesk","real_anonymized","support","handoff"]</x:v>
      </x:c>
      <x:c r="S278" s="6" t="str">
        <x:v>offer_handoff</x:v>
      </x:c>
      <x:c r="T278" s="6" t="str">
        <x:v>["Явно обозначить, что бот не может самостоятельно выполнить этот запрос или дать подтверждённое решение.","Предложить передачу оператору по вопросу: я оставлял заявку через сайт на демонстрацию 1С:УНФ Полиграфия 2, но так и не прислали, можно ли предоставить для демонстрации клиенту.","Запросить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78"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78" s="6" t="str">
        <x:v>[{"source_file":"/Users/maria/chatbot_rag/knowledge base/omnidesk_cases.jsonl","source_case_id":"345819169","source_jsonl_line":180,"target_message_index":1,"evidence_type":"historical_support_consultant_approved","support_message_indices":[2],"source_answer":"[Поддержка, сообщение №2]\nВаш запрос направлен менеджерам. Они с вами свяжутся в ближайшее время.","corpus_check":"confirmed_by_consultant_per_user","release_applicability":"confirmed_by_consultant","approval_basis":"user_confirmed_consultant_approval"}]</x:v>
      </x:c>
      <x:c r="W278"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78" s="6" t="str">
        <x:v>approved</x:v>
      </x:c>
      <x:c r="Y278" s="6" t="str">
        <x:v>Карточка и применимость источников согласованы консультантом; утверждение подтверждено пользователем 25.10.2026.</x:v>
      </x:c>
      <x:c r="Z278" s="6" t="str">
        <x:v>G-1689b27dbab875</x:v>
      </x:c>
      <x:c r="AA278" s="6" t="str">
        <x:v>dev</x:v>
      </x:c>
      <x:c r="AB278" s="6" t="str">
        <x:v>real_anonymized_candidate</x:v>
      </x:c>
    </x:row>
    <x:row r="279" ht="115" customHeight="1">
      <x:c r="A279" s="6" t="str">
        <x:v>OMNI-337477258-M001</x:v>
      </x:c>
      <x:c r="B279" s="6" t="str">
        <x:v>real_anonymized_candidate:omnidesk:337477258:message:1</x:v>
      </x:c>
      <x:c r="C279" s="6" t="str">
        <x:v>{"history":[],"user_message":"можно ли получить демонстрационный доступ на ПП 1С:УНФ Полиграфия 2. Компания Первый Бит, нет NFR доступа"}</x:v>
      </x:c>
      <x:c r="D279" s="6" t="str">
        <x:v>{"product":"1С:УНФ 8. Полиграфия 2","version":"3.0.14.140","retrieval_state":"available","handoff_consent":false,"source_case_id":"337477258","group_id":"omnidesk_337477258","target_message_index":1,"history_status":"approved_case_first_turn","reported_release":"not_reported","approval_basis":"user_confirmed_consultant_approval"}</x:v>
      </x:c>
      <x:c r="E279" s="6" t="str">
        <x:v>1С:УНФ 8. Полиграфия 2</x:v>
      </x:c>
      <x:c r="F279" s="6" t="str">
        <x:v>3.0.14.140</x:v>
      </x:c>
      <x:c r="G279" s="6" t="str">
        <x:v>not_reported</x:v>
      </x:c>
      <x:c r="H279" s="6" t="str">
        <x:v>default</x:v>
      </x:c>
      <x:c r="I279" s="6" t="str">
        <x:v>Применимость источников и эталона к 1С:УНФ 8. Полиграфия 2, релиз 3.0.14.140, подтверждена консультантом со слов пользователя.</x:v>
      </x:c>
      <x:c r="J279" s="13" t="str">
        <x:v>0</x:v>
      </x:c>
      <x:c r="K279" s="13" t="str">
        <x:v>5</x:v>
      </x:c>
      <x:c r="L279" s="7" t="b">
        <x:v>0</x:v>
      </x:c>
      <x:c r="M279" s="6" t="str">
        <x:v>no_useful_question</x:v>
      </x:c>
      <x:c r="N279" s="6" t="str">
        <x:v>[]</x:v>
      </x:c>
      <x:c r="O279" s="7" t="b">
        <x:v>0</x:v>
      </x:c>
      <x:c r="P279" s="6" t="str">
        <x:v>K4</x:v>
      </x:c>
      <x:c r="Q279"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79" s="6" t="str">
        <x:v>["omnidesk","real_anonymized","access_rights","support","handoff"]</x:v>
      </x:c>
      <x:c r="S279" s="6" t="str">
        <x:v>offer_handoff</x:v>
      </x:c>
      <x:c r="T279" s="6" t="str">
        <x:v>["Явно обозначить, что бот не может самостоятельно выполнить этот запрос или дать подтверждённое решение.","Предложить передачу оператору по вопросу: можно ли получить демонстрационный доступ на ПП 1С:УНФ Полиграфия 2. Компания Первый Бит, нет NFR доступа.","Запросить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79"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79" s="6" t="str">
        <x:v>[{"source_file":"/Users/maria/chatbot_rag/knowledge base/omnidesk_cases.jsonl","source_case_id":"337477258","source_jsonl_line":223,"target_message_index":1,"evidence_type":"historical_support_consultant_approved","support_message_indices":[2],"source_answer":"[Поддержка, сообщение №2]\nВаше обращение направлено менеджерам. Они с вами свяжутся по этому вопросу в ближайшее время.","corpus_check":"confirmed_by_consultant_per_user","release_applicability":"confirmed_by_consultant","approval_basis":"user_confirmed_consultant_approval"}]</x:v>
      </x:c>
      <x:c r="W279"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79" s="6" t="str">
        <x:v>approved</x:v>
      </x:c>
      <x:c r="Y279" s="6" t="str">
        <x:v>Карточка и применимость источников согласованы консультантом; утверждение подтверждено пользователем 25.10.2026.</x:v>
      </x:c>
      <x:c r="Z279" s="6" t="str">
        <x:v>G-73a9a9713af35d</x:v>
      </x:c>
      <x:c r="AA279" s="6" t="str">
        <x:v>dev</x:v>
      </x:c>
      <x:c r="AB279" s="6" t="str">
        <x:v>real_anonymized_candidate</x:v>
      </x:c>
    </x:row>
    <x:row r="280" ht="115" customHeight="1">
      <x:c r="A280" s="6" t="str">
        <x:v>OMNI-265866585-M001</x:v>
      </x:c>
      <x:c r="B280" s="6" t="str">
        <x:v>real_anonymized_candidate:omnidesk:265866585:message:1</x:v>
      </x:c>
      <x:c r="C280" s="6" t="str">
        <x:v>{"history":[],"user_message":"Мы являемся фирмой-франчайзи 1С, код партнера 54421-65 Наш клиент заинтересовался решением 1С:УНФ 8. Полиграфия 2. У нас, к сожалению, специалистов по данному решению нет. Подскажите, пожалуйста, можете ли вы предоставить демо-доступ для нашей организации, чтобы мы могли посмотреть конфигурацию? И проводите ли вы обзорные демонстрации ПП для клиентов? Если да, то на каких условиях?"}</x:v>
      </x:c>
      <x:c r="D280" s="6" t="str">
        <x:v>{"product":"1С:УНФ 8. Полиграфия 2","version":"3.0.14.140","retrieval_state":"available","handoff_consent":false,"source_case_id":"265866585","group_id":"omnidesk_265866585","target_message_index":1,"history_status":"approved_case_first_turn","reported_release":"not_reported","approval_basis":"user_confirmed_consultant_approval"}</x:v>
      </x:c>
      <x:c r="E280" s="6" t="str">
        <x:v>1С:УНФ 8. Полиграфия 2</x:v>
      </x:c>
      <x:c r="F280" s="6" t="str">
        <x:v>3.0.14.140</x:v>
      </x:c>
      <x:c r="G280" s="6" t="str">
        <x:v>not_reported</x:v>
      </x:c>
      <x:c r="H280" s="6" t="str">
        <x:v>default</x:v>
      </x:c>
      <x:c r="I280" s="6" t="str">
        <x:v>Применимость источников и эталона к 1С:УНФ 8. Полиграфия 2, релиз 3.0.14.140, подтверждена консультантом со слов пользователя.</x:v>
      </x:c>
      <x:c r="J280" s="13" t="str">
        <x:v>0</x:v>
      </x:c>
      <x:c r="K280" s="13" t="str">
        <x:v>5</x:v>
      </x:c>
      <x:c r="L280" s="7" t="b">
        <x:v>0</x:v>
      </x:c>
      <x:c r="M280" s="6" t="str">
        <x:v>no_useful_question</x:v>
      </x:c>
      <x:c r="N280" s="6" t="str">
        <x:v>[]</x:v>
      </x:c>
      <x:c r="O280" s="7" t="b">
        <x:v>0</x:v>
      </x:c>
      <x:c r="P280" s="6" t="str">
        <x:v>K4</x:v>
      </x:c>
      <x:c r="Q280"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80" s="6" t="str">
        <x:v>["omnidesk","real_anonymized","access_rights","support","handoff"]</x:v>
      </x:c>
      <x:c r="S280" s="6" t="str">
        <x:v>offer_handoff</x:v>
      </x:c>
      <x:c r="T280" s="6" t="str">
        <x:v>["Явно обозначить, что бот не может самостоятельно выполнить этот запрос или дать подтверждённое решение.","Предложить передачу оператору по вопросу: Мы являемся фирмой-франчайзи 1С, код партнера 54421-65 Наш клиент заинтересовался решением 1С:УНФ 8. Полиграфия 2. У нас, к сожалению, специалистов по данному решению нет. Подскажите, пожалуйста, можете ли вы предоставить демо-доступ для нашей организации, чтобы мы могли посмотреть конфигурацию? И п.","Запросить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80"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80" s="6" t="str">
        <x:v>[{"source_file":"/Users/maria/chatbot_rag/knowledge base/omnidesk_cases.jsonl","source_case_id":"265866585","source_jsonl_line":376,"target_message_index":1,"evidence_type":"historical_support_consultant_approved","support_message_indices":[2],"source_answer":"[Поддержка, сообщение №2]\nВаш запрос направлен менеджерам. Они с вами свяжутся в ближайшее время.","corpus_check":"confirmed_by_consultant_per_user","release_applicability":"confirmed_by_consultant","approval_basis":"user_confirmed_consultant_approval"}]</x:v>
      </x:c>
      <x:c r="W280"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80" s="6" t="str">
        <x:v>approved</x:v>
      </x:c>
      <x:c r="Y280" s="6" t="str">
        <x:v>Карточка и применимость источников согласованы консультантом; утверждение подтверждено пользователем 25.10.2026.</x:v>
      </x:c>
      <x:c r="Z280" s="6" t="str">
        <x:v>G-b06cc29b3f3f0a</x:v>
      </x:c>
      <x:c r="AA280" s="6" t="str">
        <x:v>dev</x:v>
      </x:c>
      <x:c r="AB280" s="6" t="str">
        <x:v>real_anonymized_candidate</x:v>
      </x:c>
    </x:row>
    <x:row r="281" ht="115" customHeight="1">
      <x:c r="A281" s="6" t="str">
        <x:v>OMNI-77654377-M002</x:v>
      </x:c>
      <x:c r="B281" s="6" t="str">
        <x:v>real_anonymized_candidate:omnidesk:77654377:message:2</x:v>
      </x:c>
      <x:c r="C281" s="6" t="str">
        <x:v>{"history":[],"user_message":"Создаем новую операцию.\nЕсли включить галочку \"ШП\", то исчезает графа \"Значение приладки\".\nПо логике -- если выключить эту галочку, то графа \"Значение приладки\" должна опять появиться.\nНо по факту -- этого не происходит. Вообще никак не происходит.\nТаким образом, после того как случайно (или не случайно) ОДИН РАЗ кликнешь галочку \"ШП\" -- всё, эту технологическую операцию можно только пометить на удаление :(\nИ если к ней что-то уже было привязано -- ВСЁ придется переделывать на новую операцию, которую еще надо создать и настроить :(\nПричем создавать видимо придется с нуля :((\nПотому что программа даже не дает сохранить эту операцию.\nРугается что \"Не выбрано значение приладки\".\nПросьба:\nвместо того чтобы удалять графу \"Значение приладки\" -- почему бы просто не делать его недоступным для редактирования, как происходит с другими графами например при выборе типа операции \"Препресс\"?"}</x:v>
      </x:c>
      <x:c r="D281" s="6" t="str">
        <x:v>{"product":"1С:УНФ 8. Полиграфия 2","version":"3.0.14.140","retrieval_state":"available","handoff_consent":false,"source_case_id":"77654377","group_id":"omnidesk_77654377","target_message_index":2,"history_status":"approved_case_first_turn","reported_release":"not_reported","approval_basis":"user_confirmed_consultant_approval"}</x:v>
      </x:c>
      <x:c r="E281" s="6" t="str">
        <x:v>1С:УНФ 8. Полиграфия 2</x:v>
      </x:c>
      <x:c r="F281" s="6" t="str">
        <x:v>3.0.14.140</x:v>
      </x:c>
      <x:c r="G281" s="6" t="str">
        <x:v>not_reported</x:v>
      </x:c>
      <x:c r="H281" s="6" t="str">
        <x:v>default</x:v>
      </x:c>
      <x:c r="I281" s="6" t="str">
        <x:v>Применимость источников и эталона к 1С:УНФ 8. Полиграфия 2, релиз 3.0.14.140, подтверждена консультантом со слов пользователя.</x:v>
      </x:c>
      <x:c r="J281" s="13" t="str">
        <x:v>0</x:v>
      </x:c>
      <x:c r="K281" s="13" t="str">
        <x:v>5</x:v>
      </x:c>
      <x:c r="L281" s="7" t="b">
        <x:v>0</x:v>
      </x:c>
      <x:c r="M281" s="6" t="str">
        <x:v>no_useful_question</x:v>
      </x:c>
      <x:c r="N281" s="6" t="str">
        <x:v>[]</x:v>
      </x:c>
      <x:c r="O281" s="7" t="b">
        <x:v>0</x:v>
      </x:c>
      <x:c r="P281" s="6" t="str">
        <x:v>K4</x:v>
      </x:c>
      <x:c r="Q281"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81" s="6" t="str">
        <x:v>["omnidesk","real_anonymized","access_rights","handoff"]</x:v>
      </x:c>
      <x:c r="S281" s="6" t="str">
        <x:v>offer_handoff</x:v>
      </x:c>
      <x:c r="T281" s="6" t="str">
        <x:v>["Явно обозначить, что бот не может самостоятельно выполнить этот запрос или дать подтверждённое решение.","Предложить передачу оператору по вопросу: Создаем новую операцию. Если включить галочку \"ШП\", то исчезает графа \"Значение приладки\". По логике -- если выключить эту галочку, то графа \"Значение приладки\" должна опять появиться. Но по факту -- этого не происходит. Вообще никак не происходит. Таким образом, после того как случайно (или не случ.","Запросить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81"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81" s="6" t="str">
        <x:v>[{"source_file":"/Users/maria/chatbot_rag/knowledge base/omnidesk_cases.jsonl","source_case_id":"77654377","source_jsonl_line":822,"target_message_index":2,"evidence_type":"historical_support_consultant_approved","support_message_indices":[1],"source_answer":"[Поддержка, сообщение №1]\nДанная ошибка зарегистрирована и направлена в Отдел разработки и будет исправлена в ближайшем релизе. О выходе релиза сообщу дополнительно. Релизы программ","corpus_check":"confirmed_by_consultant_per_user","release_applicability":"confirmed_by_consultant","approval_basis":"user_confirmed_consultant_approval"}]</x:v>
      </x:c>
      <x:c r="W281"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81" s="6" t="str">
        <x:v>approved</x:v>
      </x:c>
      <x:c r="Y281" s="6" t="str">
        <x:v>Карточка и применимость источников согласованы консультантом; утверждение подтверждено пользователем 25.10.2026.</x:v>
      </x:c>
      <x:c r="Z281" s="6" t="str">
        <x:v>G-d97f774987a059</x:v>
      </x:c>
      <x:c r="AA281" s="6" t="str">
        <x:v>dev</x:v>
      </x:c>
      <x:c r="AB281" s="6" t="str">
        <x:v>real_anonymized_candidate</x:v>
      </x:c>
    </x:row>
    <x:row r="282" ht="115" customHeight="1">
      <x:c r="A282" s="6" t="str">
        <x:v>OMNI-358578850-M001</x:v>
      </x:c>
      <x:c r="B282" s="6" t="str">
        <x:v>real_anonymized_candidate:omnidesk:358578850:message:1</x:v>
      </x:c>
      <x:c r="C282" s="6" t="str">
        <x:v>{"history":[],"user_message":"Подскажите, пожалуйста, с кем можно пообщаться по поводу этой доработки? В свое время у нас были пожелания на эту тему, но тогда это была только индивидуальная доработка. Хотелось бы узнать, что изменилось и как это теперь работает? Спасибо -------- Перенаправленное сообщение -------- Тема: Новый функционал механизма обработки «Заказы в очередь» Дата: Tue, 10 Jun 2025 16:33:09 +0000 От: Армекс Кому: [EMAIL] 1cpoly Данный функционал был разработан дополнительно в рамках ведения проекта в типографии \"ФЛЕКСО-ПАК\" \"Флексо-Пак\" сталкивалась с рядом проблем: Простой оборудования Нерациональное распределении загрузки цехов Высокие эксплуатационные расходы на обслуживание и электроэнергию Поэтому мы разработали новый функционал механизма обработки “Заказы в очередь”. А именно: - Добавлен дополнительный реквизит «Начало работы» - Создана форма «План производства (Диаграмма Ганта)» - В Диаграмме Ганта появилась возможность отборов по оборудованию и периодам В результате: Эффективное планирование использования оборудования, позволяющее избежать простоя и перегрузок Возможность оперативно вносить коррективы в производственные процессы Снижены затраты на эксплуатационные расходы ПОДРОБНЕЕ Еще больше полезных материалов Подпишитесь на наш канал \"1С:Полиграфия|Автоматизация полиграфических предприятий\" И на наши соцсети, чтобы быть в курсе всех новостей Связаться с нами Отписаться от рассылки Изменить контактную информацию"}</x:v>
      </x:c>
      <x:c r="D282" s="6" t="str">
        <x:v>{"product":"1С:УНФ 8. Полиграфия 2","version":"3.0.14.140","retrieval_state":"available","handoff_consent":false,"source_case_id":"358578850","group_id":"omnidesk_358578850","target_message_index":1,"history_status":"approved_case_first_turn","reported_release":"not_reported","approval_basis":"user_confirmed_consultant_approval"}</x:v>
      </x:c>
      <x:c r="E282" s="6" t="str">
        <x:v>1С:УНФ 8. Полиграфия 2</x:v>
      </x:c>
      <x:c r="F282" s="6" t="str">
        <x:v>3.0.14.140</x:v>
      </x:c>
      <x:c r="G282" s="6" t="str">
        <x:v>not_reported</x:v>
      </x:c>
      <x:c r="H282" s="6" t="str">
        <x:v>default</x:v>
      </x:c>
      <x:c r="I282" s="6" t="str">
        <x:v>Применимость источников и эталона к 1С:УНФ 8. Полиграфия 2, релиз 3.0.14.140, подтверждена консультантом со слов пользователя.</x:v>
      </x:c>
      <x:c r="J282" s="13" t="str">
        <x:v>0</x:v>
      </x:c>
      <x:c r="K282" s="13" t="str">
        <x:v>5</x:v>
      </x:c>
      <x:c r="L282" s="7" t="b">
        <x:v>0</x:v>
      </x:c>
      <x:c r="M282" s="6" t="str">
        <x:v>diagnosis_required</x:v>
      </x:c>
      <x:c r="N282" s="6" t="str">
        <x:v>[]</x:v>
      </x:c>
      <x:c r="O282" s="7" t="b">
        <x:v>0</x:v>
      </x:c>
      <x:c r="P282" s="6" t="str">
        <x:v>K4</x:v>
      </x:c>
      <x:c r="Q282"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282" s="6" t="str">
        <x:v>["omnidesk","real_anonymized","planning","materials","handoff"]</x:v>
      </x:c>
      <x:c r="S282" s="6" t="str">
        <x:v>offer_handoff</x:v>
      </x:c>
      <x:c r="T282" s="6" t="str">
        <x:v>["Явно обозначить, что бот не может самостоятельно выполнить этот запрос или дать подтверждённое решение.","Предложить передачу оператору по вопросу: Подскажите, пожалуйста, с кем можно пообщаться по поводу этой доработки? В свое время у нас были пожелания на эту тему, но тогда это была только индивидуальная доработка. Хотелось бы узнать, что изменилось и как это теперь работает? Спасибо -------- Перенаправленное сообщение -------- Тема: Новый фу.","Запросить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82"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82" s="6" t="str">
        <x:v>[{"source_file":"/Users/maria/chatbot_rag/knowledge base/omnidesk_cases.jsonl","source_case_id":"358578850","source_jsonl_line":137,"target_message_index":1,"evidence_type":"historical_support_consultant_approved","support_message_indices":[2],"source_answer":"[Поддержка, сообщение №2]\nВаш запрос направлен менеджерам. Они с вами свяжутся по этому вопросу в ближайшее время. Проверить ИТС по регистрационному номеру продукта Тарифы на 1С:ИТС Регламент службы технической поддержки","corpus_check":"confirmed_by_consultant_per_user","release_applicability":"confirmed_by_consultant","approval_basis":"user_confirmed_consultant_approval"}]</x:v>
      </x:c>
      <x:c r="W282"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82" s="6" t="str">
        <x:v>approved</x:v>
      </x:c>
      <x:c r="Y282" s="6" t="str">
        <x:v>Карточка и применимость источников согласованы консультантом; утверждение подтверждено пользователем 25.10.2026.</x:v>
      </x:c>
      <x:c r="Z282" s="6" t="str">
        <x:v>G-685e3960897a3d</x:v>
      </x:c>
      <x:c r="AA282" s="6" t="str">
        <x:v>dev</x:v>
      </x:c>
      <x:c r="AB282" s="6" t="str">
        <x:v>real_anonymized_candidate</x:v>
      </x:c>
    </x:row>
    <x:row r="283" ht="115" customHeight="1">
      <x:c r="A283" s="6" t="str">
        <x:v>OMNI-313958867-M001</x:v>
      </x:c>
      <x:c r="B283" s="6" t="str">
        <x:v>real_anonymized_candidate:omnidesk:313958867:message:1</x:v>
      </x:c>
      <x:c r="C283" s="6" t="str">
        <x:v>{"history":[],"user_message":"﻿ Добрый день можно ли получить демо версию полиграфии 2"}</x:v>
      </x:c>
      <x:c r="D283" s="6" t="str">
        <x:v>{"product":"1С:УНФ 8. Полиграфия 2","version":"3.0.14.140","retrieval_state":"available","handoff_consent":false,"source_case_id":"313958867","group_id":"omnidesk_313958867","target_message_index":1,"history_status":"approved_case_first_turn","reported_release":"not_reported","approval_basis":"user_confirmed_consultant_approval"}</x:v>
      </x:c>
      <x:c r="E283" s="6" t="str">
        <x:v>1С:УНФ 8. Полиграфия 2</x:v>
      </x:c>
      <x:c r="F283" s="6" t="str">
        <x:v>3.0.14.140</x:v>
      </x:c>
      <x:c r="G283" s="6" t="str">
        <x:v>not_reported</x:v>
      </x:c>
      <x:c r="H283" s="6" t="str">
        <x:v>default</x:v>
      </x:c>
      <x:c r="I283" s="6" t="str">
        <x:v>Применимость источников и эталона к 1С:УНФ 8. Полиграфия 2, релиз 3.0.14.140, подтверждена консультантом со слов пользователя.</x:v>
      </x:c>
      <x:c r="J283" s="13" t="str">
        <x:v>0</x:v>
      </x:c>
      <x:c r="K283" s="13" t="str">
        <x:v>5</x:v>
      </x:c>
      <x:c r="L283" s="7" t="b">
        <x:v>0</x:v>
      </x:c>
      <x:c r="M283" s="6" t="str">
        <x:v>no_useful_question</x:v>
      </x:c>
      <x:c r="N283" s="6" t="str">
        <x:v>[]</x:v>
      </x:c>
      <x:c r="O283" s="7" t="b">
        <x:v>0</x:v>
      </x:c>
      <x:c r="P283" s="6" t="str">
        <x:v>K4</x:v>
      </x:c>
      <x:c r="Q283"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83" s="6" t="str">
        <x:v>["omnidesk","real_anonymized","support","handoff"]</x:v>
      </x:c>
      <x:c r="S283" s="6" t="str">
        <x:v>offer_handoff</x:v>
      </x:c>
      <x:c r="T283" s="6" t="str">
        <x:v>["Явно обозначить, что бот не может самостоятельно выполнить этот запрос или дать подтверждённое решение.","Предложить передачу оператору по вопросу: ﻿ Добрый день можно ли получить демо версию полиграфии 2.","Запросить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83"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83" s="6" t="str">
        <x:v>[{"source_file":"/Users/maria/chatbot_rag/knowledge base/omnidesk_cases.jsonl","source_case_id":"313958867","source_jsonl_line":292,"target_message_index":1,"evidence_type":"historical_support_consultant_approved","support_message_indices":[2],"source_answer":"[Поддержка, сообщение №2]\nВаше обращение направлено менеджерам, они с вами свяжутся по этому вопросу в ближайшее время.","corpus_check":"confirmed_by_consultant_per_user","release_applicability":"confirmed_by_consultant","approval_basis":"user_confirmed_consultant_approval"}]</x:v>
      </x:c>
      <x:c r="W283"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83" s="6" t="str">
        <x:v>approved</x:v>
      </x:c>
      <x:c r="Y283" s="6" t="str">
        <x:v>Карточка и применимость источников согласованы консультантом; утверждение подтверждено пользователем 25.10.2026.</x:v>
      </x:c>
      <x:c r="Z283" s="6" t="str">
        <x:v>G-5f1a0339da6b93</x:v>
      </x:c>
      <x:c r="AA283" s="6" t="str">
        <x:v>dev</x:v>
      </x:c>
      <x:c r="AB283" s="6" t="str">
        <x:v>real_anonymized_candidate</x:v>
      </x:c>
    </x:row>
    <x:row r="284" ht="115" customHeight="1">
      <x:c r="A284" s="6" t="str">
        <x:v>OMNI-359735401-M001</x:v>
      </x:c>
      <x:c r="B284" s="6" t="str">
        <x:v>real_anonymized_candidate:omnidesk:359735401:message:1</x:v>
      </x:c>
      <x:c r="C284" s="6" t="str">
        <x:v>{"history":[],"user_message":"У нас установлено 1С Предприятие 8.3 Но мы в ней не работаем. Сейчас хотим все таки начать ей пользоваться. Что для этого необходимо?"}</x:v>
      </x:c>
      <x:c r="D284" s="6" t="str">
        <x:v>{"product":"1С:УНФ 8. Полиграфия 2","version":"3.0.14.140","retrieval_state":"available","handoff_consent":false,"source_case_id":"359735401","group_id":"omnidesk_359735401","target_message_index":1,"history_status":"approved_case_first_turn","reported_release":"not_reported","approval_basis":"user_confirmed_consultant_approval"}</x:v>
      </x:c>
      <x:c r="E284" s="6" t="str">
        <x:v>1С:УНФ 8. Полиграфия 2</x:v>
      </x:c>
      <x:c r="F284" s="6" t="str">
        <x:v>3.0.14.140</x:v>
      </x:c>
      <x:c r="G284" s="6" t="str">
        <x:v>not_reported</x:v>
      </x:c>
      <x:c r="H284" s="6" t="str">
        <x:v>default</x:v>
      </x:c>
      <x:c r="I284" s="6" t="str">
        <x:v>Применимость источников и эталона к 1С:УНФ 8. Полиграфия 2, релиз 3.0.14.140, подтверждена консультантом со слов пользователя.</x:v>
      </x:c>
      <x:c r="J284" s="13" t="str">
        <x:v>0</x:v>
      </x:c>
      <x:c r="K284" s="13" t="str">
        <x:v>5</x:v>
      </x:c>
      <x:c r="L284" s="7" t="b">
        <x:v>0</x:v>
      </x:c>
      <x:c r="M284" s="6" t="str">
        <x:v>no_useful_question</x:v>
      </x:c>
      <x:c r="N284" s="6" t="str">
        <x:v>[]</x:v>
      </x:c>
      <x:c r="O284" s="7" t="b">
        <x:v>0</x:v>
      </x:c>
      <x:c r="P284" s="6" t="str">
        <x:v>K4</x:v>
      </x:c>
      <x:c r="Q284"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84" s="6" t="str">
        <x:v>["omnidesk","real_anonymized","product_function","handoff"]</x:v>
      </x:c>
      <x:c r="S284" s="6" t="str">
        <x:v>offer_handoff</x:v>
      </x:c>
      <x:c r="T284" s="6" t="str">
        <x:v>["Явно обозначить, что бот не может самостоятельно выполнить этот запрос или дать подтверждённое решение.","Предложить передачу оператору по вопросу: У нас установлено 1С Предприятие 8.3 Но мы в ней не работаем. Сейчас хотим все таки начать ей пользоваться. Что для этого необходимо?.","Запросить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84"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84" s="6" t="str">
        <x:v>[{"source_file":"/Users/maria/chatbot_rag/knowledge base/omnidesk_cases.jsonl","source_case_id":"359735401","source_jsonl_line":134,"target_message_index":1,"evidence_type":"historical_support_consultant_approved","support_message_indices":[2],"source_answer":"[Поддержка, сообщение №2]\nВаше обращение направлено менеджерам. Они с вами свяжутся по этому вопросу в ближайшее время.","corpus_check":"confirmed_by_consultant_per_user","release_applicability":"confirmed_by_consultant","approval_basis":"user_confirmed_consultant_approval"}]</x:v>
      </x:c>
      <x:c r="W284"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84" s="6" t="str">
        <x:v>approved</x:v>
      </x:c>
      <x:c r="Y284" s="6" t="str">
        <x:v>Карточка и применимость источников согласованы консультантом; утверждение подтверждено пользователем 25.10.2026.</x:v>
      </x:c>
      <x:c r="Z284" s="6" t="str">
        <x:v>G-2a594b5f4a8311</x:v>
      </x:c>
      <x:c r="AA284" s="6" t="str">
        <x:v>dev</x:v>
      </x:c>
      <x:c r="AB284" s="6" t="str">
        <x:v>real_anonymized_candidate</x:v>
      </x:c>
    </x:row>
    <x:row r="285" ht="115" customHeight="1">
      <x:c r="A285" s="6" t="str">
        <x:v>OMNI-230306095-M001</x:v>
      </x:c>
      <x:c r="B285" s="6" t="str">
        <x:v>real_anonymized_candidate:omnidesk:230306095:message:1</x:v>
      </x:c>
      <x:c r="C285" s="6" t="str">
        <x:v>{"history":[],"user_message":"Не могли бы вы предоставить какую-нибудь демо базу для ознакомления с рабочим функционалом?"}</x:v>
      </x:c>
      <x:c r="D285" s="6" t="str">
        <x:v>{"product":"1С:УНФ 8. Полиграфия 2","version":"3.0.14.140","retrieval_state":"available","handoff_consent":false,"source_case_id":"230306095","group_id":"omnidesk_230306095","target_message_index":1,"history_status":"approved_case_first_turn","reported_release":"not_reported","approval_basis":"user_confirmed_consultant_approval"}</x:v>
      </x:c>
      <x:c r="E285" s="6" t="str">
        <x:v>1С:УНФ 8. Полиграфия 2</x:v>
      </x:c>
      <x:c r="F285" s="6" t="str">
        <x:v>3.0.14.140</x:v>
      </x:c>
      <x:c r="G285" s="6" t="str">
        <x:v>not_reported</x:v>
      </x:c>
      <x:c r="H285" s="6" t="str">
        <x:v>default</x:v>
      </x:c>
      <x:c r="I285" s="6" t="str">
        <x:v>Применимость источников и эталона к 1С:УНФ 8. Полиграфия 2, релиз 3.0.14.140, подтверждена консультантом со слов пользователя.</x:v>
      </x:c>
      <x:c r="J285" s="13" t="str">
        <x:v>0</x:v>
      </x:c>
      <x:c r="K285" s="13" t="str">
        <x:v>5</x:v>
      </x:c>
      <x:c r="L285" s="7" t="b">
        <x:v>0</x:v>
      </x:c>
      <x:c r="M285" s="6" t="str">
        <x:v>no_useful_question</x:v>
      </x:c>
      <x:c r="N285" s="6" t="str">
        <x:v>[]</x:v>
      </x:c>
      <x:c r="O285" s="7" t="b">
        <x:v>0</x:v>
      </x:c>
      <x:c r="P285" s="6" t="str">
        <x:v>K4</x:v>
      </x:c>
      <x:c r="Q285"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85" s="6" t="str">
        <x:v>["omnidesk","real_anonymized","support","handoff"]</x:v>
      </x:c>
      <x:c r="S285" s="6" t="str">
        <x:v>offer_handoff</x:v>
      </x:c>
      <x:c r="T285" s="6" t="str">
        <x:v>["Явно обозначить, что бот не может самостоятельно выполнить этот запрос или дать подтверждённое решение.","Предложить передачу оператору по вопросу: Не могли бы вы предоставить какую-нибудь демо базу для ознакомления с рабочим функционалом?.","Запросить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85"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85" s="6" t="str">
        <x:v>[{"source_file":"/Users/maria/chatbot_rag/knowledge base/omnidesk_cases.jsonl","source_case_id":"230306095","source_jsonl_line":450,"target_message_index":1,"evidence_type":"historical_support_consultant_approved","support_message_indices":[2],"source_answer":"[Поддержка, сообщение №2]\nВаш запрос передан менеджерам. Они с вами свяжутся в ближайшее время.","corpus_check":"confirmed_by_consultant_per_user","release_applicability":"confirmed_by_consultant","approval_basis":"user_confirmed_consultant_approval"}]</x:v>
      </x:c>
      <x:c r="W285"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85" s="6" t="str">
        <x:v>approved</x:v>
      </x:c>
      <x:c r="Y285" s="6" t="str">
        <x:v>Карточка и применимость источников согласованы консультантом; утверждение подтверждено пользователем 25.10.2026.</x:v>
      </x:c>
      <x:c r="Z285" s="6" t="str">
        <x:v>G-de0813320f775b</x:v>
      </x:c>
      <x:c r="AA285" s="6" t="str">
        <x:v>dev</x:v>
      </x:c>
      <x:c r="AB285" s="6" t="str">
        <x:v>real_anonymized_candidate</x:v>
      </x:c>
    </x:row>
    <x:row r="286" ht="115" customHeight="1">
      <x:c r="A286" s="6" t="str">
        <x:v>OMNI-188203141-M001</x:v>
      </x:c>
      <x:c r="B286" s="6" t="str">
        <x:v>real_anonymized_candidate:omnidesk:188203141:message:1</x:v>
      </x:c>
      <x:c r="C286" s="6" t="str">
        <x:v>{"history":[],"user_message":"Мы партнеры с Казахстана, компания Диалог. У меня есть вопрос: к нам обратился клиент, Хочет внедрить 1С Типография. Поискав в интернете, я не нашел, чтобы у нас внедряли данную программу. Есть ли у вас 1С Типография и доработана ли она под Казахстанский рынок?"}</x:v>
      </x:c>
      <x:c r="D286" s="6" t="str">
        <x:v>{"product":"1С:УНФ 8. Полиграфия 2","version":"3.0.14.140","retrieval_state":"available","handoff_consent":false,"source_case_id":"188203141","group_id":"omnidesk_188203141","target_message_index":1,"history_status":"approved_case_first_turn","reported_release":"not_reported","approval_basis":"user_confirmed_consultant_approval"}</x:v>
      </x:c>
      <x:c r="E286" s="6" t="str">
        <x:v>1С:УНФ 8. Полиграфия 2</x:v>
      </x:c>
      <x:c r="F286" s="6" t="str">
        <x:v>3.0.14.140</x:v>
      </x:c>
      <x:c r="G286" s="6" t="str">
        <x:v>not_reported</x:v>
      </x:c>
      <x:c r="H286" s="6" t="str">
        <x:v>default</x:v>
      </x:c>
      <x:c r="I286" s="6" t="str">
        <x:v>Применимость источников и эталона к 1С:УНФ 8. Полиграфия 2, релиз 3.0.14.140, подтверждена консультантом со слов пользователя.</x:v>
      </x:c>
      <x:c r="J286" s="13" t="str">
        <x:v>0</x:v>
      </x:c>
      <x:c r="K286" s="13" t="str">
        <x:v>5</x:v>
      </x:c>
      <x:c r="L286" s="7" t="b">
        <x:v>0</x:v>
      </x:c>
      <x:c r="M286" s="6" t="str">
        <x:v>diagnosis_required</x:v>
      </x:c>
      <x:c r="N286" s="6" t="str">
        <x:v>[]</x:v>
      </x:c>
      <x:c r="O286" s="7" t="b">
        <x:v>0</x:v>
      </x:c>
      <x:c r="P286" s="6" t="str">
        <x:v>K4</x:v>
      </x:c>
      <x:c r="Q286"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286" s="6" t="str">
        <x:v>["omnidesk","real_anonymized","product_function","handoff"]</x:v>
      </x:c>
      <x:c r="S286" s="6" t="str">
        <x:v>offer_handoff</x:v>
      </x:c>
      <x:c r="T286" s="6" t="str">
        <x:v>["Явно обозначить, что бот не может самостоятельно выполнить этот запрос или дать подтверждённое решение.","Предложить передачу оператору по вопросу: Мы партнеры с Казахстана, компания Диалог. У меня есть вопрос: к нам обратился клиент, Хочет внедрить 1С Типография. Поискав в интернете, я не нашел, чтобы у нас внедряли данную программу. Есть ли у вас 1С Типография и доработана ли она под Казахстанский рынок?.","Запросить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86"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86" s="6" t="str">
        <x:v>[{"source_file":"/Users/maria/chatbot_rag/knowledge base/omnidesk_cases.jsonl","source_case_id":"188203141","source_jsonl_line":524,"target_message_index":1,"evidence_type":"historical_support_consultant_approved","support_message_indices":[2],"source_answer":"[Поддержка, сообщение №2]\nВаше обращеие направлено менеджерам. Они с вами свяжутся в ближайшее время","corpus_check":"confirmed_by_consultant_per_user","release_applicability":"confirmed_by_consultant","approval_basis":"user_confirmed_consultant_approval"}]</x:v>
      </x:c>
      <x:c r="W286"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86" s="6" t="str">
        <x:v>approved</x:v>
      </x:c>
      <x:c r="Y286" s="6" t="str">
        <x:v>Карточка и применимость источников согласованы консультантом; утверждение подтверждено пользователем 25.10.2026.</x:v>
      </x:c>
      <x:c r="Z286" s="6" t="str">
        <x:v>G-1a41f2628c3129</x:v>
      </x:c>
      <x:c r="AA286" s="6" t="str">
        <x:v>dev</x:v>
      </x:c>
      <x:c r="AB286" s="6" t="str">
        <x:v>real_anonymized_candidate</x:v>
      </x:c>
    </x:row>
    <x:row r="287" ht="115" customHeight="1">
      <x:c r="A287" s="6" t="str">
        <x:v>OMNI-74487322-M007</x:v>
      </x:c>
      <x:c r="B287" s="6" t="str">
        <x:v>real_anonymized_candidate:omnidesk:74487322:message:7</x:v>
      </x:c>
      <x:c r="C287" s="6" t="str">
        <x:v>{"history":[],"user_message":"06.11 получили демо доступ на «1С:УНФ 8. Полиграфия 2» [IP_ADDRESS] AUTWORK-ARMEX\\PunfDemo Не могу сейчас подключиться на сервер, подскажите в чем может быть причина? Заранее спасибо за ответ!!"}</x:v>
      </x:c>
      <x:c r="D287" s="6" t="str">
        <x:v>{"product":"1С:УНФ 8. Полиграфия 2","version":"3.0.14.140","retrieval_state":"available","handoff_consent":false,"source_case_id":"74487322","group_id":"omnidesk_74487322","target_message_index":7,"history_status":"approved_case_first_turn","reported_release":"not_reported","approval_basis":"user_confirmed_consultant_approval"}</x:v>
      </x:c>
      <x:c r="E287" s="6" t="str">
        <x:v>1С:УНФ 8. Полиграфия 2</x:v>
      </x:c>
      <x:c r="F287" s="6" t="str">
        <x:v>3.0.14.140</x:v>
      </x:c>
      <x:c r="G287" s="6" t="str">
        <x:v>not_reported</x:v>
      </x:c>
      <x:c r="H287" s="6" t="str">
        <x:v>default</x:v>
      </x:c>
      <x:c r="I287" s="6" t="str">
        <x:v>Применимость источников и эталона к 1С:УНФ 8. Полиграфия 2, релиз 3.0.14.140, подтверждена консультантом со слов пользователя.</x:v>
      </x:c>
      <x:c r="J287" s="13" t="str">
        <x:v>0</x:v>
      </x:c>
      <x:c r="K287" s="13" t="str">
        <x:v>5</x:v>
      </x:c>
      <x:c r="L287" s="7" t="b">
        <x:v>0</x:v>
      </x:c>
      <x:c r="M287" s="6" t="str">
        <x:v>diagnosis_required</x:v>
      </x:c>
      <x:c r="N287" s="6" t="str">
        <x:v>[]</x:v>
      </x:c>
      <x:c r="O287" s="7" t="b">
        <x:v>0</x:v>
      </x:c>
      <x:c r="P287" s="6" t="str">
        <x:v>K4</x:v>
      </x:c>
      <x:c r="Q287"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287" s="6" t="str">
        <x:v>["omnidesk","real_anonymized","access_rights","support","handoff"]</x:v>
      </x:c>
      <x:c r="S287" s="6" t="str">
        <x:v>offer_handoff</x:v>
      </x:c>
      <x:c r="T287" s="6" t="str">
        <x:v>["Явно обозначить, что бот не может самостоятельно выполнить этот запрос или дать подтверждённое решение.","Предложить передачу оператору по вопросу: 06.11 получили демо доступ на «1С:УНФ 8. Полиграфия 2» [IP_ADDRESS] AUTWORK-ARMEX\\PunfDemo Не могу сейчас подключиться на сервер, подскажите в чем может быть причина? Заранее спасибо за ответ!!.","Запросить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87"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87" s="6" t="str">
        <x:v>[{"source_file":"/Users/maria/chatbot_rag/knowledge base/omnidesk_cases.jsonl","source_case_id":"74487322","source_jsonl_line":847,"target_message_index":7,"evidence_type":"historical_support_consultant_approved","support_message_indices":[1,3,5],"source_answer":"[Поддержка, сообщение №1]\nРаботает.\n\n[Поддержка, сообщение №3]\nО чем вопрос? То, что будет через неделю? Демо доступ мы специально не отключаем.\n\n[Поддержка, сообщение №5]\nО плановых мы заранее информируем. Как правило это новогодние и майские праздники.","corpus_check":"confirmed_by_consultant_per_user","release_applicability":"confirmed_by_consultant","approval_basis":"user_confirmed_consultant_approval"}]</x:v>
      </x:c>
      <x:c r="W287"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87" s="6" t="str">
        <x:v>approved</x:v>
      </x:c>
      <x:c r="Y287" s="6" t="str">
        <x:v>Карточка и применимость источников согласованы консультантом; утверждение подтверждено пользователем 25.10.2026.</x:v>
      </x:c>
      <x:c r="Z287" s="6" t="str">
        <x:v>G-eb4de9d406a4df</x:v>
      </x:c>
      <x:c r="AA287" s="6" t="str">
        <x:v>dev</x:v>
      </x:c>
      <x:c r="AB287" s="6" t="str">
        <x:v>real_anonymized_candidate</x:v>
      </x:c>
    </x:row>
    <x:row r="288" ht="115" customHeight="1">
      <x:c r="A288" s="6" t="str">
        <x:v>OMNI-423518591-M003</x:v>
      </x:c>
      <x:c r="B288" s="6" t="str">
        <x:v>real_anonymized_candidate:omnidesk:423518591:message:3</x:v>
      </x:c>
      <x:c r="C288" s="6" t="str">
        <x:v>{"history":[],"user_message":"Добрый день Создал заказ в демо-базе НПФ-000004 (см. прикрепленный файл) Произвел корректировку цен на печать 50% ( см. прикрепленный файл) Сделал копию заказа НПФ-000004(Новый номер НПФ-000005) и пересчитал (см. прикрепленный файл) Стоимость операции увеличилась на 25%(должна на 50%) В чем причина?"}</x:v>
      </x:c>
      <x:c r="D288" s="6" t="str">
        <x:v>{"product":"1С:УНФ 8. Полиграфия 2","version":"3.0.14.140","retrieval_state":"available","handoff_consent":false,"source_case_id":"423518591","group_id":"omnidesk_423518591","target_message_index":3,"history_status":"approved_case_first_turn","reported_release":"not_reported","approval_basis":"user_confirmed_consultant_approval"}</x:v>
      </x:c>
      <x:c r="E288" s="6" t="str">
        <x:v>1С:УНФ 8. Полиграфия 2</x:v>
      </x:c>
      <x:c r="F288" s="6" t="str">
        <x:v>3.0.14.140</x:v>
      </x:c>
      <x:c r="G288" s="6" t="str">
        <x:v>not_reported</x:v>
      </x:c>
      <x:c r="H288" s="6" t="str">
        <x:v>default</x:v>
      </x:c>
      <x:c r="I288" s="6" t="str">
        <x:v>Применимость источников и эталона к 1С:УНФ 8. Полиграфия 2, релиз 3.0.14.140, подтверждена консультантом со слов пользователя.</x:v>
      </x:c>
      <x:c r="J288" s="13" t="str">
        <x:v>0</x:v>
      </x:c>
      <x:c r="K288" s="13" t="str">
        <x:v>5</x:v>
      </x:c>
      <x:c r="L288" s="7" t="b">
        <x:v>1</x:v>
      </x:c>
      <x:c r="M288" s="6" t="str">
        <x:v>not_applicable</x:v>
      </x:c>
      <x:c r="N288" s="6" t="str">
        <x:v>["Формула нормирования стоимости до корректировки","Какие параметры изменены документом корректировки и как пересчитан заказ"]</x:v>
      </x:c>
      <x:c r="O288" s="7" t="b">
        <x:v>0</x:v>
      </x:c>
      <x:c r="P288" s="6" t="str">
        <x:v>K3</x:v>
      </x:c>
      <x:c r="Q288"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288" s="6" t="str">
        <x:v>["omnidesk","real_anonymized","cost_calculation","support"]</x:v>
      </x:c>
      <x:c r="S288" s="6" t="str">
        <x:v>clarify</x:v>
      </x:c>
      <x:c r="T288" s="6" t="str">
        <x:v>["Запросить следующие существенные сведения: Формула нормирования стоимости до корректировки; Какие параметры изменены документом корректировки и как пересчитан заказ.","Уточнение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288"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288" s="6" t="str">
        <x:v>[{"source_file":"/Users/maria/chatbot_rag/knowledge base/omnidesk_cases.jsonl","source_case_id":"423518591","source_jsonl_line":3,"target_message_index":3,"evidence_type":"historical_support_consultant_approved","support_message_indices":[1,4,6,8,10],"source_answer":"[Поддержка, сообщение №1]\nВасилий! В Вашем случае была такая формула: 5000+0,8*КолвоПечатныхЛистов После корректировки Вы хотели увидеть умножение на 1.5, но поскольку у Вас была формула в виде суммы, без скобок, программа автоматически добавила коэффициент1,5 только к последнему слагаемому, а не ко всей сумме. Программа сама не берет в скобки всю сумму. Вы хотели бы так (5000+0,8*КолвоПечатныхЛистов)*1,5 Получилось так 5000+0,8*КолвоПечатныхЛистов*1,5 Вы же понимаете, что это разные цифры в итоге? Поэтому получился прирост в 25%, а не в 50%.\n\n[Поддержка, сообщение №4]\nНазвание операции не меняет сути. Документ Автоматическая корректировка норм работает для всех операций, независимо от их названия. На цифрах все видно.\n\n[Поддержка, сообщение №6]\nВасилий, скиньте пожалуйста документ нормирования операции «Печать листовая Ryobi» от 11.10.2026 по стоимости!!!! Проверим.\n\n[Поддержка, сообщение №8]\nБлагодарю! появилась мысль - надо еще увидеть документ , действующий до 11.10 т.е. до повышения на 50%. Пришлите его пожалуйста.\n\n[Поддержка, сообщение №10]\nВасилий! На тестовой базе создали Ваш пример. Через обработку Автоматическая корректировка норм добавили с 12,10,2026 50% наценки на операцию Печать листовая. Получается: 953,986*1,5 = 1430,979. Программа считает верно.","corpus_check":"confirmed_by_consultant_per_user","release_applicability":"confirmed_by_consultant","approval_basis":"user_confirmed_consultant_approval"}]</x:v>
      </x:c>
      <x:c r="W288" s="6" t="str">
        <x:v>["Есть конкретный полезный вопрос о недостающих сведениях: Формула нормирования стоимости до корректировки; Какие параметры изменены документом корректировки и как пересчитан заказ.","Нет произвольного решения и необоснованного отказа. Соблюдены доступная история и лимит пяти уточнений."]</x:v>
      </x:c>
      <x:c r="X288" s="6" t="str">
        <x:v>approved</x:v>
      </x:c>
      <x:c r="Y288" s="6" t="str">
        <x:v>Карточка и применимость источников согласованы консультантом; утверждение подтверждено пользователем 25.10.2026.</x:v>
      </x:c>
      <x:c r="Z288" s="6" t="str">
        <x:v>G-33217bf0a56704</x:v>
      </x:c>
      <x:c r="AA288" s="6" t="str">
        <x:v>dev</x:v>
      </x:c>
      <x:c r="AB288" s="6" t="str">
        <x:v>real_anonymized_candidate</x:v>
      </x:c>
    </x:row>
    <x:row r="289" ht="115" customHeight="1">
      <x:c r="A289" s="6" t="str">
        <x:v>OMNI-18213222-M003</x:v>
      </x:c>
      <x:c r="B289" s="6" t="str">
        <x:v>real_anonymized_candidate:omnidesk:18213222:message:3</x:v>
      </x:c>
      <x:c r="C289" s="6" t="str">
        <x:v>{"history":[],"user_message":"Суммы выплаты из документа Сдельный наряд, созданный без привязки к Заказу на производство и Расчёту заказа (нам такие нужны для некоторых работ, которые не включены в расчёт заказчику - оплату дизайнерам, например) перестали быть видны в документе Начисления и далее соответственно в остальных последующих документах. Хотя до этого всё выводилось.В Регистре накоплений смотрим, потому что раньше в них эти наряды были также видны.Я подумал, что это Вам что-то подскажет, мы просто проверили там. 9 июля 2018 г., 13:32 пользователь Центр поддержки Армекс написал: Уточните еще пожалуйста куда именно перестали попадать суммы из сдельных нарядов? И почему Вы смотрите в регистр накоплений?"}</x:v>
      </x:c>
      <x:c r="D289" s="6" t="str">
        <x:v>{"product":"1С:УНФ 8. Полиграфия 2","version":"3.0.14.140","retrieval_state":"available","handoff_consent":false,"source_case_id":"18213222","group_id":"omnidesk_18213222","target_message_index":3,"history_status":"approved_case_first_turn","reported_release":"not_reported","approval_basis":"user_confirmed_consultant_approval"}</x:v>
      </x:c>
      <x:c r="E289" s="6" t="str">
        <x:v>1С:УНФ 8. Полиграфия 2</x:v>
      </x:c>
      <x:c r="F289" s="6" t="str">
        <x:v>3.0.14.140</x:v>
      </x:c>
      <x:c r="G289" s="6" t="str">
        <x:v>not_reported</x:v>
      </x:c>
      <x:c r="H289" s="6" t="str">
        <x:v>default</x:v>
      </x:c>
      <x:c r="I289" s="6" t="str">
        <x:v>Применимость источников и эталона к 1С:УНФ 8. Полиграфия 2, релиз 3.0.14.140, подтверждена консультантом со слов пользователя.</x:v>
      </x:c>
      <x:c r="J289" s="13" t="str">
        <x:v>0</x:v>
      </x:c>
      <x:c r="K289" s="13" t="str">
        <x:v>5</x:v>
      </x:c>
      <x:c r="L289" s="7" t="b">
        <x:v>1</x:v>
      </x:c>
      <x:c r="M289" s="6" t="str">
        <x:v>not_applicable</x:v>
      </x:c>
      <x:c r="N289" s="6" t="str">
        <x:v>["Какие документы сформированы и проведены за период","На каком шаге цепочки Сдельный наряд — Начисления перестали попадать суммы"]</x:v>
      </x:c>
      <x:c r="O289" s="7" t="b">
        <x:v>0</x:v>
      </x:c>
      <x:c r="P289" s="6" t="str">
        <x:v>K3</x:v>
      </x:c>
      <x:c r="Q289"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289" s="6" t="str">
        <x:v>["omnidesk","real_anonymized","access_rights","support"]</x:v>
      </x:c>
      <x:c r="S289" s="6" t="str">
        <x:v>clarify</x:v>
      </x:c>
      <x:c r="T289" s="6" t="str">
        <x:v>["Запросить следующие существенные сведения: Какие документы сформированы и проведены за период; На каком шаге цепочки Сдельный наряд — Начисления перестали попадать суммы.","Уточнение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289"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289" s="6" t="str">
        <x:v>[{"source_file":"/Users/maria/chatbot_rag/knowledge base/omnidesk_cases.jsonl","source_case_id":"18213222","source_jsonl_line":1149,"target_message_index":3,"evidence_type":"historical_support_consultant_approved","support_message_indices":[2,4],"source_answer":"[Поддержка, сообщение №2]\nУточните пожалуйста куда именно перестали попадать суммы из сдельных нарядов (что имеется ввиду под словом \"Начисления\")? И почему Вы смотрите непосредственно в регистр накоплений (и как называется этот регистр накоплений полностью)? Распишите подробнее пожалуйста.\n\n[Поддержка, сообщение №4]\nСергей, в рамках утренних договоренностей, на уже обновленной [IP_ADDRESS] в типовой демке сделал сдельный наряд. По регистрам все прошло штатно. Ниже скрины. Как у вас?","corpus_check":"confirmed_by_consultant_per_user","release_applicability":"confirmed_by_consultant","approval_basis":"user_confirmed_consultant_approval"}]</x:v>
      </x:c>
      <x:c r="W289" s="6" t="str">
        <x:v>["Есть конкретный полезный вопрос о недостающих сведениях: Какие документы сформированы и проведены за период; На каком шаге цепочки Сдельный наряд — Начисления перестали попадать суммы.","Нет произвольного решения и необоснованного отказа. Соблюдены доступная история и лимит пяти уточнений."]</x:v>
      </x:c>
      <x:c r="X289" s="6" t="str">
        <x:v>approved</x:v>
      </x:c>
      <x:c r="Y289" s="6" t="str">
        <x:v>Карточка и применимость источников согласованы консультантом; утверждение подтверждено пользователем 25.10.2026.</x:v>
      </x:c>
      <x:c r="Z289" s="6" t="str">
        <x:v>G-58cab4258fc15a</x:v>
      </x:c>
      <x:c r="AA289" s="6" t="str">
        <x:v>dev</x:v>
      </x:c>
      <x:c r="AB289" s="6" t="str">
        <x:v>real_anonymized_candidate</x:v>
      </x:c>
    </x:row>
    <x:row r="290" ht="115" customHeight="1">
      <x:c r="A290" s="6" t="str">
        <x:v>OMNI-151985651-M004</x:v>
      </x:c>
      <x:c r="B290" s="6" t="str">
        <x:v>real_anonymized_candidate:omnidesk:151985651:message:4</x:v>
      </x:c>
      <x:c r="C290" s="6" t="str">
        <x:v>{"history":[],"user_message":"Могу ли я предложить алгоритм расчета очереди работ на участок производства?\nМы попытались считать очередь на постпресс с помощью стандартных отчетов, но натолкнулись на серьезную проблему:\nЕсли в заказе присутствует деталь типа \"Дизайн\", то при запуске заказа запускается в работу одновременно и эта деталь, и все остальные детали сложного заказа.\nК сожалению в стандартных отчетах почему-то нет доступа к полю \"Предыдущие операции выполнены\" для объекта \"Операция\", поэтому никак невозможно отличить в рамках отчета деталь которая уже может изготавливаться, от детали которая изготавливаться не может по причине того, что не выполнен предшествующий ей дизайн (((\nДа и вообще -- для анализа очереди надо производить некоторые логические вычисления, которые в отчетах могут быть недоступны.\nПоэтому, мы думаем что для достоверного анализа очереди надо будет писать отдельную обработку.\n...но тут я подумал -- а может быть такая обработка уже есть?\nИ может быть мы и так можем узнавать объем очереди в нормочасах на постпресс, используя какие-то имеющиеся обработки?"}</x:v>
      </x:c>
      <x:c r="D290" s="6" t="str">
        <x:v>{"product":"1С:УНФ 8. Полиграфия 2","version":"3.0.14.140","retrieval_state":"available","handoff_consent":false,"source_case_id":"151985651","group_id":"omnidesk_151985651","target_message_index":4,"history_status":"approved_case_first_turn","reported_release":"not_reported","approval_basis":"user_confirmed_consultant_approval"}</x:v>
      </x:c>
      <x:c r="E290" s="6" t="str">
        <x:v>1С:УНФ 8. Полиграфия 2</x:v>
      </x:c>
      <x:c r="F290" s="6" t="str">
        <x:v>3.0.14.140</x:v>
      </x:c>
      <x:c r="G290" s="6" t="str">
        <x:v>not_reported</x:v>
      </x:c>
      <x:c r="H290" s="6" t="str">
        <x:v>default</x:v>
      </x:c>
      <x:c r="I290" s="6" t="str">
        <x:v>Применимость источников и эталона к 1С:УНФ 8. Полиграфия 2, релиз 3.0.14.140, подтверждена консультантом со слов пользователя.</x:v>
      </x:c>
      <x:c r="J290" s="13" t="str">
        <x:v>0</x:v>
      </x:c>
      <x:c r="K290" s="13" t="str">
        <x:v>5</x:v>
      </x:c>
      <x:c r="L290" s="7" t="b">
        <x:v>1</x:v>
      </x:c>
      <x:c r="M290" s="6" t="str">
        <x:v>not_applicable</x:v>
      </x:c>
      <x:c r="N290" s="6" t="str">
        <x:v>["В каком именно отчёте требуется поле «Предыдущие операции выполнены»","Нужно объяснение существующего отчёта или запрос на его изменение"]</x:v>
      </x:c>
      <x:c r="O290" s="7" t="b">
        <x:v>0</x:v>
      </x:c>
      <x:c r="P290" s="6" t="str">
        <x:v>K3</x:v>
      </x:c>
      <x:c r="Q290"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290" s="6" t="str">
        <x:v>["omnidesk","real_anonymized","planning","access_rights"]</x:v>
      </x:c>
      <x:c r="S290" s="6" t="str">
        <x:v>clarify</x:v>
      </x:c>
      <x:c r="T290" s="6" t="str">
        <x:v>["Запросить следующие существенные сведения: В каком именно отчёте требуется поле «Предыдущие операции выполнены»; Нужно объяснение существующего отчёта или запрос на его изменение.","Уточнение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290"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290" s="6" t="str">
        <x:v>[{"source_file":"/Users/maria/chatbot_rag/knowledge base/omnidesk_cases.jsonl","source_case_id":"151985651","source_jsonl_line":632,"target_message_index":4,"evidence_type":"historical_support_consultant_approved","support_message_indices":[1,2,3,5,6,8,9,10,12,13,14,15,17],"source_answer":"[Поддержка, сообщение №1]\nВозможность вывода поля \"Предыдущие операции выполнены\" добавлена в отчеты \"Выполнение заказов (по журналу оператора)\" и \"Выполнение заказов (оперативное планирование)\"\n\n[Поддержка, сообщение №2]\nУточните пожалуйста здесь.\n\n[Поддержка, сообщение №3]\nВопрос в том, что доступность поля в настройках \"Предыдущие операции выполнены\" - это решает проблему?\n\n[Поддержка, сообщение №5]\nМогу ли я предложить алгоритм расчета очереди работ на участок производства? Конечно. Мы попытались считать очередь на постпресс с помощью стандартных отчетов , но натолкнулись на серьезную проблему: Если в заказе присутствует деталь типа \"Дизайн\", то при запуске заказа запускается в работу одновременно и эта деталь, и все остальные детали сложного заказа. К сожалению в стандартных отчетах почему-то нет доступа к полю \"Предыдущие операции выполнены\" для объекта \"Операция\", поэтому никак невозможно отличить в рамках отчета деталь которая уже может изготавливаться, от детали которая изготавливаться не может по причине того, что не выполнен предшествующий ей дизайн ((( Да и вообще -- для анализа очереди надо производить некоторые логические вычисления, которые в отчетах могут быть недоступны. Через менеджера нужный отчет можно всегда заказать, предварительно обсудить с консультантом/разработчиком. Или, Можете на вашей демо базе сделать пример и описать, что конкретно нужно.\n\n[Поддержка, сообщение №6]\nОбращение открыто, до разработчиков я ничего пока не доводил. Уточните доступность поля в настройках \"Предыдущие операции выполнены\" - это решает проблему?\n\n[Поддержка, сообщение №8]\nНикита Юрьевич, уточните здесь. Или что, закрывать обращение?\n\n[Поддержка, сообщение №9]\nЕсли это не решает вопрос, то для передачи разработчикам могу только передать ваш самый первый блок в этом обращении.\n\n[Поддержка, сообщение №10]\nЧерез менеджера нужный отчет можно всегда заказать, предварительно обсудить с консультантом/разработчиком. Или, Можете на вашей демо базе сделать пример и описать, что конкретно нужно.\n\n[Поддержка, сообщение №12]\nВопрос в том, что доступность поля в настройках \"Предыдущие операции выполнены\" - это решает проблему?\n\n[Поддержка, сообщение №13]\nЕще раз по этому вопросу хочу уточнить - его закрываем и после нового года возвращаемся к этой теме? Или ...\n\n[Поддержка, сообщение №14]\nОт разработчиков: просьба уточнить в какие именно отчеты нужно добавить данное поле. в отчеты \"Выполнение заказов (по журналу оператора)\" и \"Выполнение заказов (оперативное планирование)\" я это поле добавила и это будет в релизе старше [IP_ADDRESS]\n\n[Поддержка, сообщение №15]\nЕще раз хочу уточнить: Вопрос в том, что доступность поля в настройках \"Предыдущие операции выполнены\" - это решает проблему?","corpus_check":"confirmed_by_consultant_per_user","release_applicability":"confirmed_by_consultant","approval_basis":"user_confirmed_consultant_approval"}]</x:v>
      </x:c>
      <x:c r="W290" s="6" t="str">
        <x:v>["Есть конкретный полезный вопрос о недостающих сведениях: В каком именно отчёте требуется поле «Предыдущие операции выполнены»; Нужно объяснение существующего отчёта или запрос на его изменение.","Нет произвольного решения и необоснованного отказа. Соблюдены доступная история и лимит пяти уточнений."]</x:v>
      </x:c>
      <x:c r="X290" s="6" t="str">
        <x:v>approved</x:v>
      </x:c>
      <x:c r="Y290" s="6" t="str">
        <x:v>Карточка и применимость источников согласованы консультантом; утверждение подтверждено пользователем 25.10.2026.</x:v>
      </x:c>
      <x:c r="Z290" s="6" t="str">
        <x:v>G-82d8595da1c641</x:v>
      </x:c>
      <x:c r="AA290" s="6" t="str">
        <x:v>dev</x:v>
      </x:c>
      <x:c r="AB290" s="6" t="str">
        <x:v>real_anonymized_candidate</x:v>
      </x:c>
    </x:row>
    <x:row r="291" ht="115" customHeight="1">
      <x:c r="A291" s="6" t="str">
        <x:v>OMNI-404620101-M001</x:v>
      </x:c>
      <x:c r="B291" s="6" t="str">
        <x:v>real_anonymized_candidate:omnidesk:404620101:message:1</x:v>
      </x:c>
      <x:c r="C291" s="6" t="str">
        <x:v>{"history":[],"user_message":"В конфигурации 1С:УНФ 8. Полиграфия 2 ([IP_ADDRESS]), при копировании сложного расчёта, в скопированном расчёте не отображается список составляющих расчёта. Если скопированный расчёт закрыть и снова открыть - составляющие будут на месте.\nНа демо-базе ошибка тоже воспроизводится.\nПлатформа 8.5.1.1302"}</x:v>
      </x:c>
      <x:c r="D291" s="6" t="str">
        <x:v>{"product":"1С:УНФ 8. Полиграфия 2","version":"3.0.14.140","retrieval_state":"available","handoff_consent":false,"source_case_id":"404620101","group_id":"omnidesk_404620101","target_message_index":1,"history_status":"approved_case_first_turn","reported_release":"redacted_in_source","approval_basis":"user_confirmed_consultant_approval"}</x:v>
      </x:c>
      <x:c r="E291" s="6" t="str">
        <x:v>1С:УНФ 8. Полиграфия 2</x:v>
      </x:c>
      <x:c r="F291" s="6" t="str">
        <x:v>3.0.14.140</x:v>
      </x:c>
      <x:c r="G291" s="6" t="str">
        <x:v>redacted_in_source</x:v>
      </x:c>
      <x:c r="H291" s="6" t="str">
        <x:v>explicit</x:v>
      </x:c>
      <x:c r="I291" s="6" t="str">
        <x:v>Применимость источников и эталона к 1С:УНФ 8. Полиграфия 2, релиз 3.0.14.140, подтверждена консультантом со слов пользователя.</x:v>
      </x:c>
      <x:c r="J291" s="13" t="str">
        <x:v>0</x:v>
      </x:c>
      <x:c r="K291" s="13" t="str">
        <x:v>5</x:v>
      </x:c>
      <x:c r="L291" s="7" t="b">
        <x:v>0</x:v>
      </x:c>
      <x:c r="M291" s="6" t="str">
        <x:v>diagnosis_required</x:v>
      </x:c>
      <x:c r="N291" s="6" t="str">
        <x:v>[]</x:v>
      </x:c>
      <x:c r="O291" s="7" t="b">
        <x:v>0</x:v>
      </x:c>
      <x:c r="P291" s="6" t="str">
        <x:v>K4</x:v>
      </x:c>
      <x:c r="Q291"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291" s="6" t="str">
        <x:v>["omnidesk","real_anonymized","support","handoff"]</x:v>
      </x:c>
      <x:c r="S291" s="6" t="str">
        <x:v>offer_handoff</x:v>
      </x:c>
      <x:c r="T291" s="6" t="str">
        <x:v>["Явно обозначить, что бот не может самостоятельно выполнить этот запрос или дать подтверждённое решение.","Предложить передачу оператору по вопросу: В конфигурации 1С:УНФ 8. Полиграфия 2 ([IP_ADDRESS]), при копировании сложного расчёта, в скопированном расчёте не отображается список составляющих расчёта. Если скопированный расчёт закрыть и снова открыть - составляющие будут на месте. На демо-базе ошибка тоже воспроизводится. Платформа 8.5.1.1302.","Запросить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91"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91" s="6" t="str">
        <x:v>[{"source_file":"/Users/maria/chatbot_rag/knowledge base/omnidesk_cases.jsonl","source_case_id":"404620101","source_jsonl_line":52,"target_message_index":1,"evidence_type":"historical_support_consultant_approved","support_message_indices":[2,3],"source_answer":"[Поддержка, сообщение №3]\nСитуация воспроизводится. Рекомендуем установить расширение. (Также инструкция по установке во вложении)","corpus_check":"confirmed_by_consultant_per_user","release_applicability":"confirmed_by_consultant","approval_basis":"user_confirmed_consultant_approval"}]</x:v>
      </x:c>
      <x:c r="W291"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91" s="6" t="str">
        <x:v>approved</x:v>
      </x:c>
      <x:c r="Y291" s="6" t="str">
        <x:v>Карточка и применимость источников согласованы консультантом; утверждение подтверждено пользователем 25.10.2026.</x:v>
      </x:c>
      <x:c r="Z291" s="6" t="str">
        <x:v>G-3827f1ceb711c9</x:v>
      </x:c>
      <x:c r="AA291" s="6" t="str">
        <x:v>dev</x:v>
      </x:c>
      <x:c r="AB291" s="6" t="str">
        <x:v>real_anonymized_candidate</x:v>
      </x:c>
    </x:row>
    <x:row r="292" ht="115" customHeight="1">
      <x:c r="A292" s="6" t="str">
        <x:v>OMNI-380270058-M007</x:v>
      </x:c>
      <x:c r="B292" s="6" t="str">
        <x:v>real_anonymized_candidate:omnidesk:380270058:message:7</x:v>
      </x:c>
      <x:c r="C292" s="6" t="str">
        <x:v>{"history":[],"user_message":"Программа: 1с УНФ Полиграфия 2 Номер лицензии: [LONG_NUMBER] Куплена: ИП Языкова Е.С. Используем функционал планирования через «План производства» Когда делаем перепланирование (повторное планирование оставшихся операций по расчетам) У нас возникает случаи по дублированию уже выполненных операций расчета. Ни как не может отследить и понять почему это может происходить. Случайно находим дубли и удаляем их из «Отражение фактом». Возможно у вас случались подобные проблемы у других пользователей В файлы прикрепляю Эксель с таблицей где за дублировались операции и скриншот составляющей. Александр Богачев / Руководитель подразделения [EMAIL] / +[LONG_NUMBER] Типография Линк Принт Офис: +[LONG_NUMBER] Екатеринбург. ул. Красноармейская, д. 92а, оф. 204 [URL] Мы в соц. сетях Отдел продаж Нижний Тагил +[LONG_NUMBER]"}</x:v>
      </x:c>
      <x:c r="D292" s="6" t="str">
        <x:v>{"product":"1С:УНФ 8. Полиграфия 2","version":"3.0.14.140","retrieval_state":"available","handoff_consent":false,"source_case_id":"380270058","group_id":"omnidesk_380270058","target_message_index":7,"history_status":"approved_case_first_turn","reported_release":"not_reported","approval_basis":"user_confirmed_consultant_approval"}</x:v>
      </x:c>
      <x:c r="E292" s="6" t="str">
        <x:v>1С:УНФ 8. Полиграфия 2</x:v>
      </x:c>
      <x:c r="F292" s="6" t="str">
        <x:v>3.0.14.140</x:v>
      </x:c>
      <x:c r="G292" s="6" t="str">
        <x:v>not_reported</x:v>
      </x:c>
      <x:c r="H292" s="6" t="str">
        <x:v>default</x:v>
      </x:c>
      <x:c r="I292" s="6" t="str">
        <x:v>Применимость источников и эталона к 1С:УНФ 8. Полиграфия 2, релиз 3.0.14.140, подтверждена консультантом со слов пользователя.</x:v>
      </x:c>
      <x:c r="J292" s="13" t="str">
        <x:v>0</x:v>
      </x:c>
      <x:c r="K292" s="13" t="str">
        <x:v>5</x:v>
      </x:c>
      <x:c r="L292" s="7" t="b">
        <x:v>1</x:v>
      </x:c>
      <x:c r="M292" s="6" t="str">
        <x:v>not_applicable</x:v>
      </x:c>
      <x:c r="N292" s="6" t="str">
        <x:v>["Состояние выполненных операций до перепланирования и после него","Настройки автоматического заполнения фактических материалов и воспроизводимая последовательность перепланирования"]</x:v>
      </x:c>
      <x:c r="O292" s="7" t="b">
        <x:v>0</x:v>
      </x:c>
      <x:c r="P292" s="6" t="str">
        <x:v>K3</x:v>
      </x:c>
      <x:c r="Q292"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292" s="6" t="str">
        <x:v>["omnidesk","real_anonymized","licensing","planning","access_rights"]</x:v>
      </x:c>
      <x:c r="S292" s="6" t="str">
        <x:v>clarify</x:v>
      </x:c>
      <x:c r="T292" s="6" t="str">
        <x:v>["Запросить следующие существенные сведения: Состояние выполненных операций до перепланирования и после него; Настройки автоматического заполнения фактических материалов и воспроизводимая последовательность перепланирования.","Уточнение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292"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292" s="6" t="str">
        <x:v>[{"source_file":"/Users/maria/chatbot_rag/knowledge base/omnidesk_cases.jsonl","source_case_id":"380270058","source_jsonl_line":98,"target_message_index":7,"evidence_type":"historical_support_consultant_approved","support_message_indices":[1,2,3,4,6],"source_answer":"[Поддержка, сообщение №1]\nОбратите внимание на константы в панели администрирования полиграфии. Если у вас установлено - Автоматически заполнять количество материалов данными плана. То и в табличной части материалов по операции будет всегда подставляться плановое значение. См ниже В случае изменения факта это корректируется в 2-местах\n\n[Поддержка, сообщение №2]\nПо ваашей таблице не понятно, что дублируется. Делаем пример на типовой демо, Создаем план. Отрабатывем Дизайн Верстку полос А цифровую печать из тиража 4080 выполняем частично 2000 Делаем перепланировку Никаких дублей\n\n[Поддержка, сообщение №4]\nТехподдержка рассматривает вопросы из примеров на актуальной демо бд. Сделайте пример в демо базе. Опишите последовательность действий со скринами, чтобы была возможность воспроизвести эту ситуацию. По вашему примеру в вашей базе нужно проверять с методистом. Эту работу советуем организовать через вашего менеджера Леонтьеву Юлю. Это обращение ей направлено. она с вами свяжется по этому вопросу в ближайшее время. Ссылка на архив типовой БД: [URL] О планировании также рекомендуем вам ознакомиться с материалами на нашем сайте: [URL] По плану производства вы можете посмотреть здесь : [URL]\n\n[Поддержка, сообщение №6]\nОтлично с вами свяжется менеджер по организации этой работы.","corpus_check":"confirmed_by_consultant_per_user","release_applicability":"confirmed_by_consultant","approval_basis":"user_confirmed_consultant_approval"}]</x:v>
      </x:c>
      <x:c r="W292" s="6" t="str">
        <x:v>["Есть конкретный полезный вопрос о недостающих сведениях: Состояние выполненных операций до перепланирования и после него; Настройки автоматического заполнения фактических материалов и воспроизводимая последовательность перепланирования.","Нет произвольного решения и необоснованного отказа. Соблюдены доступная история и лимит пяти уточнений."]</x:v>
      </x:c>
      <x:c r="X292" s="6" t="str">
        <x:v>approved</x:v>
      </x:c>
      <x:c r="Y292" s="6" t="str">
        <x:v>Карточка и применимость источников согласованы консультантом; утверждение подтверждено пользователем 25.10.2026.</x:v>
      </x:c>
      <x:c r="Z292" s="6" t="str">
        <x:v>G-2721df9332f957</x:v>
      </x:c>
      <x:c r="AA292" s="6" t="str">
        <x:v>dev</x:v>
      </x:c>
      <x:c r="AB292" s="6" t="str">
        <x:v>real_anonymized_candidate</x:v>
      </x:c>
    </x:row>
    <x:row r="293" ht="115" customHeight="1">
      <x:c r="A293" s="6" t="str">
        <x:v>OMNI-317752119-M001</x:v>
      </x:c>
      <x:c r="B293" s="6" t="str">
        <x:v>real_anonymized_candidate:omnidesk:317752119:message:1</x:v>
      </x:c>
      <x:c r="C293" s="6" t="str">
        <x:v>{"history":[],"user_message":"Обновились до версии 3,0,8,74\nСтолкнулись с проблемой не подгрузки списка операций флексопечати на\nвкладке \"Пресс\" в документе \"Расчет флексопечати\".\nПрограмма в данное поле пытается подгрузить операции по гофрокартону, а\nне операции Пресс..."}</x:v>
      </x:c>
      <x:c r="D293" s="6" t="str">
        <x:v>{"product":"1С:УНФ 8. Полиграфия 2","version":"3.0.14.140","retrieval_state":"available","handoff_consent":false,"source_case_id":"317752119","group_id":"omnidesk_317752119","target_message_index":1,"history_status":"approved_case_first_turn","reported_release":"3.0.8.74","approval_basis":"user_confirmed_consultant_approval"}</x:v>
      </x:c>
      <x:c r="E293" s="6" t="str">
        <x:v>1С:УНФ 8. Полиграфия 2</x:v>
      </x:c>
      <x:c r="F293" s="6" t="str">
        <x:v>3.0.14.140</x:v>
      </x:c>
      <x:c r="G293" s="6" t="str">
        <x:v>3.0.8.74</x:v>
      </x:c>
      <x:c r="H293" s="6" t="str">
        <x:v>explicit</x:v>
      </x:c>
      <x:c r="I293" s="6" t="str">
        <x:v>Применимость источников и эталона к 1С:УНФ 8. Полиграфия 2, релиз 3.0.14.140, подтверждена консультантом со слов пользователя.</x:v>
      </x:c>
      <x:c r="J293" s="13" t="str">
        <x:v>0</x:v>
      </x:c>
      <x:c r="K293" s="13" t="str">
        <x:v>5</x:v>
      </x:c>
      <x:c r="L293" s="7" t="b">
        <x:v>0</x:v>
      </x:c>
      <x:c r="M293" s="6" t="str">
        <x:v>diagnosis_required</x:v>
      </x:c>
      <x:c r="N293" s="6" t="str">
        <x:v>[]</x:v>
      </x:c>
      <x:c r="O293" s="7" t="b">
        <x:v>0</x:v>
      </x:c>
      <x:c r="P293" s="6" t="str">
        <x:v>K4</x:v>
      </x:c>
      <x:c r="Q293"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293" s="6" t="str">
        <x:v>["omnidesk","real_anonymized","product_function","handoff"]</x:v>
      </x:c>
      <x:c r="S293" s="6" t="str">
        <x:v>offer_handoff</x:v>
      </x:c>
      <x:c r="T293" s="6" t="str">
        <x:v>["Явно обозначить, что бот не может самостоятельно выполнить этот запрос или дать подтверждённое решение.","Предложить передачу оператору по вопросу: Обновились до версии 3,0,8,74 Столкнулись с проблемой не подгрузки списка операций флексопечати на вкладке \"Пресс\" в документе \"Расчет флексопечати\". Программа в данное поле пытается подгрузить операции по гофрокартону, а не операции Пресс....","Запросить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93"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93" s="6" t="str">
        <x:v>[{"source_file":"/Users/maria/chatbot_rag/knowledge base/omnidesk_cases.jsonl","source_case_id":"317752119","source_jsonl_line":282,"target_message_index":1,"evidence_type":"historical_support_consultant_approved","support_message_indices":[2,3],"source_answer":"[Поддержка, сообщение №3]\nНа уровне конфигурации будет исправлено в следующем релизе. А пока можно установить расширение. (инструкция в архиве)","corpus_check":"confirmed_by_consultant_per_user","release_applicability":"confirmed_by_consultant","approval_basis":"user_confirmed_consultant_approval"}]</x:v>
      </x:c>
      <x:c r="W293"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93" s="6" t="str">
        <x:v>approved</x:v>
      </x:c>
      <x:c r="Y293" s="6" t="str">
        <x:v>Карточка и применимость источников согласованы консультантом; утверждение подтверждено пользователем 25.10.2026.</x:v>
      </x:c>
      <x:c r="Z293" s="6" t="str">
        <x:v>G-fdef0c6aec1efa</x:v>
      </x:c>
      <x:c r="AA293" s="6" t="str">
        <x:v>dev</x:v>
      </x:c>
      <x:c r="AB293" s="6" t="str">
        <x:v>real_anonymized_candidate</x:v>
      </x:c>
    </x:row>
    <x:row r="294" ht="115" customHeight="1">
      <x:c r="A294" s="6" t="str">
        <x:v>OMNI-101870060-M003</x:v>
      </x:c>
      <x:c r="B294" s="6" t="str">
        <x:v>real_anonymized_candidate:omnidesk:101870060:message:3</x:v>
      </x:c>
      <x:c r="C294" s="6" t="str">
        <x:v>{"history":[],"user_message":"Партнер 18753-01. Пишу от имени клиента , [ИНН], КПП [LONG_NUMBER], рег. Номер 1С:Предприятие 8. Полиграфия, на который также оформлен ИТС и ИТС Отраслевой 1-ой категории – [LONG_NUMBER]. Скажите, пожалуйста, для получения обновлений программы «1С:Предприятие 8. Полиграфия» достаточно иметь только договор ИТС Техно + ИТС Отраслевой 1-ой категории, или все же надо еще «Поддержку УПП» приобретать? Если все же надо, можете дать ссылку на информационное письмо от фирмы 1С?"}</x:v>
      </x:c>
      <x:c r="D294" s="6" t="str">
        <x:v>{"product":"1С:УНФ 8. Полиграфия 2","version":"3.0.14.140","retrieval_state":"available","handoff_consent":false,"source_case_id":"101870060","group_id":"omnidesk_101870060","target_message_index":3,"history_status":"approved_case_first_turn","reported_release":"not_reported","approval_basis":"user_confirmed_consultant_approval"}</x:v>
      </x:c>
      <x:c r="E294" s="6" t="str">
        <x:v>1С:УНФ 8. Полиграфия 2</x:v>
      </x:c>
      <x:c r="F294" s="6" t="str">
        <x:v>3.0.14.140</x:v>
      </x:c>
      <x:c r="G294" s="6" t="str">
        <x:v>not_reported</x:v>
      </x:c>
      <x:c r="H294" s="6" t="str">
        <x:v>default</x:v>
      </x:c>
      <x:c r="I294" s="6" t="str">
        <x:v>Применимость источников и эталона к 1С:УНФ 8. Полиграфия 2, релиз 3.0.14.140, подтверждена консультантом со слов пользователя.</x:v>
      </x:c>
      <x:c r="J294" s="13" t="str">
        <x:v>0</x:v>
      </x:c>
      <x:c r="K294" s="13" t="str">
        <x:v>5</x:v>
      </x:c>
      <x:c r="L294" s="7" t="b">
        <x:v>0</x:v>
      </x:c>
      <x:c r="M294" s="6" t="str">
        <x:v>no_useful_question</x:v>
      </x:c>
      <x:c r="N294" s="6" t="str">
        <x:v>[]</x:v>
      </x:c>
      <x:c r="O294" s="7" t="b">
        <x:v>0</x:v>
      </x:c>
      <x:c r="P294" s="6" t="str">
        <x:v>K4</x:v>
      </x:c>
      <x:c r="Q294"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94" s="6" t="str">
        <x:v>["omnidesk","real_anonymized","update","support","handoff"]</x:v>
      </x:c>
      <x:c r="S294" s="6" t="str">
        <x:v>offer_handoff</x:v>
      </x:c>
      <x:c r="T294" s="6" t="str">
        <x:v>["Явно обозначить, что бот не может самостоятельно выполнить этот запрос или дать подтверждённое решение.","Предложить передачу оператору по вопросу: Партнер 18753-01. Пишу от имени клиента , [ИНН], КПП [LONG_NUMBER], рег. Номер 1С:Предприятие 8. Полиграфия, на который также оформлен ИТС и ИТС Отраслевой 1-ой категории – [LONG_NUMBER]. Скажите, пожалуйста, для получения обновлений программы «1С:Предприятие 8. Полиграфия» достаточно иметь только д.","Запросить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94"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94" s="6" t="str">
        <x:v>[{"source_file":"/Users/maria/chatbot_rag/knowledge base/omnidesk_cases.jsonl","source_case_id":"101870060","source_jsonl_line":783,"target_message_index":3,"evidence_type":"historical_support_consultant_approved","support_message_indices":[1],"source_answer":"[Поддержка, сообщение №1]\nНаправил ваш запрос менеджерам, они свяжутся с вами в течение часа.","corpus_check":"confirmed_by_consultant_per_user","release_applicability":"confirmed_by_consultant","approval_basis":"user_confirmed_consultant_approval"}]</x:v>
      </x:c>
      <x:c r="W294"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94" s="6" t="str">
        <x:v>approved</x:v>
      </x:c>
      <x:c r="Y294" s="6" t="str">
        <x:v>Карточка и применимость источников согласованы консультантом; утверждение подтверждено пользователем 25.10.2026.</x:v>
      </x:c>
      <x:c r="Z294" s="6" t="str">
        <x:v>G-6401bc653c419a</x:v>
      </x:c>
      <x:c r="AA294" s="6" t="str">
        <x:v>dev</x:v>
      </x:c>
      <x:c r="AB294" s="6" t="str">
        <x:v>real_anonymized_candidate</x:v>
      </x:c>
    </x:row>
    <x:row r="295" ht="115" customHeight="1">
      <x:c r="A295" s="6" t="str">
        <x:v>OMNI-51705537-M001</x:v>
      </x:c>
      <x:c r="B295" s="6" t="str">
        <x:v>real_anonymized_candidate:omnidesk:51705537:message:1</x:v>
      </x:c>
      <x:c r="C295" s="6" t="str">
        <x:v>{"history":[],"user_message":"Если при добавлении операции в заказ делать быстрый поиск, набирая первые буквы операции на клавиатуре -- то при выборе операции таким способом поле \"Оборудование\" НЕ ЗАПОЛНЯЕТСЯ автоматически.\nПоле \"Оборудование\" заполняется автоматически ТОЛЬКО если выбирать операцию МЫШКОЙ, а в нормальной типографии с десятками и сотнями операций -- выбор операции мышкой это крайне утомительное занятие :(((\nОГРОМНАЯ просьба в будущих релизах программы заполнять поле Оборудование автоматически даже если операция выбирается НЕ мышкой.\nВсе многочисленные пользователи 1С:Полиграфии будут вам за это очень признательны.\nЗаранее спасибо!!"}</x:v>
      </x:c>
      <x:c r="D295" s="6" t="str">
        <x:v>{"product":"1С:УНФ 8. Полиграфия 2","version":"3.0.14.140","retrieval_state":"available","handoff_consent":false,"source_case_id":"51705537","group_id":"omnidesk_51705537","target_message_index":1,"history_status":"approved_case_first_turn","reported_release":"not_reported","approval_basis":"user_confirmed_consultant_approval"}</x:v>
      </x:c>
      <x:c r="E295" s="6" t="str">
        <x:v>1С:УНФ 8. Полиграфия 2</x:v>
      </x:c>
      <x:c r="F295" s="6" t="str">
        <x:v>3.0.14.140</x:v>
      </x:c>
      <x:c r="G295" s="6" t="str">
        <x:v>not_reported</x:v>
      </x:c>
      <x:c r="H295" s="6" t="str">
        <x:v>default</x:v>
      </x:c>
      <x:c r="I295" s="6" t="str">
        <x:v>Применимость источников и эталона к 1С:УНФ 8. Полиграфия 2, релиз 3.0.14.140, подтверждена консультантом со слов пользователя.</x:v>
      </x:c>
      <x:c r="J295" s="13" t="str">
        <x:v>0</x:v>
      </x:c>
      <x:c r="K295" s="13" t="str">
        <x:v>5</x:v>
      </x:c>
      <x:c r="L295" s="7" t="b">
        <x:v>1</x:v>
      </x:c>
      <x:c r="M295" s="6" t="str">
        <x:v>not_applicable</x:v>
      </x:c>
      <x:c r="N295" s="6" t="str">
        <x:v>["На какой вкладке и в каком поле выбирается операция с клавиатуры","Последовательность выбора операции и фактическое значение поля «Оборудование»"]</x:v>
      </x:c>
      <x:c r="O295" s="7" t="b">
        <x:v>0</x:v>
      </x:c>
      <x:c r="P295" s="6" t="str">
        <x:v>K3</x:v>
      </x:c>
      <x:c r="Q295"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295" s="6" t="str">
        <x:v>["omnidesk","real_anonymized","update","access_rights"]</x:v>
      </x:c>
      <x:c r="S295" s="6" t="str">
        <x:v>clarify</x:v>
      </x:c>
      <x:c r="T295" s="6" t="str">
        <x:v>["Запросить следующие существенные сведения: На какой вкладке и в каком поле выбирается операция с клавиатуры; Последовательность выбора операции и фактическое значение поля «Оборудование».","Уточнение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295"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295" s="6" t="str">
        <x:v>[{"source_file":"/Users/maria/chatbot_rag/knowledge base/omnidesk_cases.jsonl","source_case_id":"51705537","source_jsonl_line":995,"target_message_index":1,"evidence_type":"historical_support_consultant_approved","support_message_indices":[2],"source_answer":"[Поддержка, сообщение №2]\nЯ не смог этого воспроизвести, все заполняется с клавиатуры. Опишите подробнее на каких закладках и и по каким полям это у вас не получается.","corpus_check":"confirmed_by_consultant_per_user","release_applicability":"confirmed_by_consultant","approval_basis":"user_confirmed_consultant_approval"}]</x:v>
      </x:c>
      <x:c r="W295" s="6" t="str">
        <x:v>["Есть конкретный полезный вопрос о недостающих сведениях: На какой вкладке и в каком поле выбирается операция с клавиатуры; Последовательность выбора операции и фактическое значение поля «Оборудование».","Нет произвольного решения и необоснованного отказа. Соблюдены доступная история и лимит пяти уточнений."]</x:v>
      </x:c>
      <x:c r="X295" s="6" t="str">
        <x:v>approved</x:v>
      </x:c>
      <x:c r="Y295" s="6" t="str">
        <x:v>Карточка и применимость источников согласованы консультантом; утверждение подтверждено пользователем 25.10.2026.</x:v>
      </x:c>
      <x:c r="Z295" s="6" t="str">
        <x:v>G-e5a00cac104442</x:v>
      </x:c>
      <x:c r="AA295" s="6" t="str">
        <x:v>dev</x:v>
      </x:c>
      <x:c r="AB295" s="6" t="str">
        <x:v>real_anonymized_candidate</x:v>
      </x:c>
    </x:row>
    <x:row r="296" ht="115" customHeight="1">
      <x:c r="A296" s="6" t="str">
        <x:v>OMNI-33115917-M002</x:v>
      </x:c>
      <x:c r="B296" s="6" t="str">
        <x:v>real_anonymized_candidate:omnidesk:33115917:message:2</x:v>
      </x:c>
      <x:c r="C296" s="6" t="str">
        <x:v>{"history":[],"user_message":"сегодня дошли руки протестировать новую опцию по загрузке отдельной детали/узла из шаблона в заказ. Добавить составляющую получилось, название детали (узла) подхватывается, вкладка ПРЕСС подхватывается, а весь Постпресс слетает... Пока выявились такие ошибки."}</x:v>
      </x:c>
      <x:c r="D296" s="6" t="str">
        <x:v>{"product":"1С:УНФ 8. Полиграфия 2","version":"3.0.14.140","retrieval_state":"available","handoff_consent":false,"source_case_id":"33115917","group_id":"omnidesk_33115917","target_message_index":2,"history_status":"approved_case_first_turn","reported_release":"not_reported","approval_basis":"user_confirmed_consultant_approval"}</x:v>
      </x:c>
      <x:c r="E296" s="6" t="str">
        <x:v>1С:УНФ 8. Полиграфия 2</x:v>
      </x:c>
      <x:c r="F296" s="6" t="str">
        <x:v>3.0.14.140</x:v>
      </x:c>
      <x:c r="G296" s="6" t="str">
        <x:v>not_reported</x:v>
      </x:c>
      <x:c r="H296" s="6" t="str">
        <x:v>default</x:v>
      </x:c>
      <x:c r="I296" s="6" t="str">
        <x:v>Применимость источников и эталона к 1С:УНФ 8. Полиграфия 2, релиз 3.0.14.140, подтверждена консультантом со слов пользователя.</x:v>
      </x:c>
      <x:c r="J296" s="13" t="str">
        <x:v>0</x:v>
      </x:c>
      <x:c r="K296" s="13" t="str">
        <x:v>5</x:v>
      </x:c>
      <x:c r="L296" s="7" t="b">
        <x:v>0</x:v>
      </x:c>
      <x:c r="M296" s="6" t="str">
        <x:v>diagnosis_required</x:v>
      </x:c>
      <x:c r="N296" s="6" t="str">
        <x:v>[]</x:v>
      </x:c>
      <x:c r="O296" s="7" t="b">
        <x:v>0</x:v>
      </x:c>
      <x:c r="P296" s="6" t="str">
        <x:v>K4</x:v>
      </x:c>
      <x:c r="Q296"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296" s="6" t="str">
        <x:v>["omnidesk","real_anonymized","product_function","handoff"]</x:v>
      </x:c>
      <x:c r="S296" s="6" t="str">
        <x:v>offer_handoff</x:v>
      </x:c>
      <x:c r="T296" s="6" t="str">
        <x:v>["Явно обозначить, что бот не может самостоятельно выполнить этот запрос или дать подтверждённое решение.","Предложить передачу оператору по вопросу: сегодня дошли руки протестировать новую опцию по загрузке отдельной детали/узла из шаблона в заказ. Добавить составляющую получилось, название детали (узла) подхватывается, вкладка ПРЕСС подхватывается, а весь Постпресс слетает... Пока выявились такие ошибки..","Запросить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96"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96" s="6" t="str">
        <x:v>[{"source_file":"/Users/maria/chatbot_rag/knowledge base/omnidesk_cases.jsonl","source_case_id":"33115917","source_jsonl_line":1072,"target_message_index":2,"evidence_type":"historical_support_consultant_approved","support_message_indices":[1],"source_answer":"[Поддержка, сообщение №1]\nСитуация зарегистрирована, и будет исправлена в следующем релизе.","corpus_check":"confirmed_by_consultant_per_user","release_applicability":"confirmed_by_consultant","approval_basis":"user_confirmed_consultant_approval"}]</x:v>
      </x:c>
      <x:c r="W296"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96" s="6" t="str">
        <x:v>approved</x:v>
      </x:c>
      <x:c r="Y296" s="6" t="str">
        <x:v>Карточка и применимость источников согласованы консультантом; утверждение подтверждено пользователем 25.10.2026.</x:v>
      </x:c>
      <x:c r="Z296" s="6" t="str">
        <x:v>G-e5722f16176d1f</x:v>
      </x:c>
      <x:c r="AA296" s="6" t="str">
        <x:v>dev</x:v>
      </x:c>
      <x:c r="AB296" s="6" t="str">
        <x:v>real_anonymized_candidate</x:v>
      </x:c>
    </x:row>
    <x:row r="297" ht="115" customHeight="1">
      <x:c r="A297" s="6" t="str">
        <x:v>OMNI-251290534-M002</x:v>
      </x:c>
      <x:c r="B297" s="6" t="str">
        <x:v>real_anonymized_candidate:omnidesk:251290534:message:2</x:v>
      </x:c>
      <x:c r="C297" s="6" t="str">
        <x:v>{"history":[],"user_message":"Подскажите, занимаетесь ли вы внедрением на предприятии?"}</x:v>
      </x:c>
      <x:c r="D297" s="6" t="str">
        <x:v>{"product":"1С:УНФ 8. Полиграфия 2","version":"3.0.14.140","retrieval_state":"available","handoff_consent":false,"source_case_id":"251290534","group_id":"omnidesk_251290534","target_message_index":2,"history_status":"approved_case_first_turn","reported_release":"not_reported","approval_basis":"user_confirmed_consultant_approval"}</x:v>
      </x:c>
      <x:c r="E297" s="6" t="str">
        <x:v>1С:УНФ 8. Полиграфия 2</x:v>
      </x:c>
      <x:c r="F297" s="6" t="str">
        <x:v>3.0.14.140</x:v>
      </x:c>
      <x:c r="G297" s="6" t="str">
        <x:v>not_reported</x:v>
      </x:c>
      <x:c r="H297" s="6" t="str">
        <x:v>default</x:v>
      </x:c>
      <x:c r="I297" s="6" t="str">
        <x:v>Применимость источников и эталона к 1С:УНФ 8. Полиграфия 2, релиз 3.0.14.140, подтверждена консультантом со слов пользователя.</x:v>
      </x:c>
      <x:c r="J297" s="13" t="str">
        <x:v>0</x:v>
      </x:c>
      <x:c r="K297" s="13" t="str">
        <x:v>5</x:v>
      </x:c>
      <x:c r="L297" s="7" t="b">
        <x:v>0</x:v>
      </x:c>
      <x:c r="M297" s="6" t="str">
        <x:v>no_useful_question</x:v>
      </x:c>
      <x:c r="N297" s="6" t="str">
        <x:v>[]</x:v>
      </x:c>
      <x:c r="O297" s="7" t="b">
        <x:v>0</x:v>
      </x:c>
      <x:c r="P297" s="6" t="str">
        <x:v>K4</x:v>
      </x:c>
      <x:c r="Q297"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97" s="6" t="str">
        <x:v>["omnidesk","real_anonymized","support","handoff"]</x:v>
      </x:c>
      <x:c r="S297" s="6" t="str">
        <x:v>offer_handoff</x:v>
      </x:c>
      <x:c r="T297" s="6" t="str">
        <x:v>["Явно обозначить, что бот не может самостоятельно выполнить этот запрос или дать подтверждённое решение.","Предложить передачу оператору по вопросу: Подскажите, занимаетесь ли вы внедрением на предприятии?.","Запросить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97"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97" s="6" t="str">
        <x:v>[{"source_file":"/Users/maria/chatbot_rag/knowledge base/omnidesk_cases.jsonl","source_case_id":"251290534","source_jsonl_line":402,"target_message_index":2,"evidence_type":"historical_support_consultant_approved","support_message_indices":[1],"source_answer":"[Поддержка, сообщение №1]\nВаш запрос направлен менеджерам. Они с вами свяжутся в ближайшее время.","corpus_check":"confirmed_by_consultant_per_user","release_applicability":"confirmed_by_consultant","approval_basis":"user_confirmed_consultant_approval"}]</x:v>
      </x:c>
      <x:c r="W297"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97" s="6" t="str">
        <x:v>approved</x:v>
      </x:c>
      <x:c r="Y297" s="6" t="str">
        <x:v>Карточка и применимость источников согласованы консультантом; утверждение подтверждено пользователем 25.10.2026.</x:v>
      </x:c>
      <x:c r="Z297" s="6" t="str">
        <x:v>G-007d8bf31ee1ac</x:v>
      </x:c>
      <x:c r="AA297" s="6" t="str">
        <x:v>dev</x:v>
      </x:c>
      <x:c r="AB297" s="6" t="str">
        <x:v>real_anonymized_candidate</x:v>
      </x:c>
    </x:row>
    <x:row r="298" ht="115" customHeight="1">
      <x:c r="A298" s="6" t="str">
        <x:v>OMNI-130390647-M001</x:v>
      </x:c>
      <x:c r="B298" s="6" t="str">
        <x:v>real_anonymized_candidate:omnidesk:130390647:message:1</x:v>
      </x:c>
      <x:c r="C298" s="6" t="str">
        <x:v>{"history":[],"user_message":"Хотела бы узнать на счет интеграции 1С полиграфии и Битрикс 24. На сколько это возможно и осуществимо? У нас имеется лицензия [LONG_NUMBER] Не могли бы помочь с данным вопросом. Заранее спасибо! -- with best regards, Damira Zulkarnayeva"}</x:v>
      </x:c>
      <x:c r="D298" s="6" t="str">
        <x:v>{"product":"1С:УНФ 8. Полиграфия 2","version":"3.0.14.140","retrieval_state":"available","handoff_consent":false,"source_case_id":"130390647","group_id":"omnidesk_130390647","target_message_index":1,"history_status":"approved_case_first_turn","reported_release":"not_reported","approval_basis":"user_confirmed_consultant_approval"}</x:v>
      </x:c>
      <x:c r="E298" s="6" t="str">
        <x:v>1С:УНФ 8. Полиграфия 2</x:v>
      </x:c>
      <x:c r="F298" s="6" t="str">
        <x:v>3.0.14.140</x:v>
      </x:c>
      <x:c r="G298" s="6" t="str">
        <x:v>not_reported</x:v>
      </x:c>
      <x:c r="H298" s="6" t="str">
        <x:v>default</x:v>
      </x:c>
      <x:c r="I298" s="6" t="str">
        <x:v>Применимость источников и эталона к 1С:УНФ 8. Полиграфия 2, релиз 3.0.14.140, подтверждена консультантом со слов пользователя.</x:v>
      </x:c>
      <x:c r="J298" s="13" t="str">
        <x:v>0</x:v>
      </x:c>
      <x:c r="K298" s="13" t="str">
        <x:v>5</x:v>
      </x:c>
      <x:c r="L298" s="7" t="b">
        <x:v>0</x:v>
      </x:c>
      <x:c r="M298" s="6" t="str">
        <x:v>no_useful_question</x:v>
      </x:c>
      <x:c r="N298" s="6" t="str">
        <x:v>[]</x:v>
      </x:c>
      <x:c r="O298" s="7" t="b">
        <x:v>0</x:v>
      </x:c>
      <x:c r="P298" s="6" t="str">
        <x:v>K4</x:v>
      </x:c>
      <x:c r="Q298"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98" s="6" t="str">
        <x:v>["omnidesk","real_anonymized","licensing","integration","handoff"]</x:v>
      </x:c>
      <x:c r="S298" s="6" t="str">
        <x:v>offer_handoff</x:v>
      </x:c>
      <x:c r="T298" s="6" t="str">
        <x:v>["Явно обозначить, что бот не может самостоятельно выполнить этот запрос или дать подтверждённое решение.","Предложить передачу оператору по вопросу: Хотела бы узнать на счет интеграции 1С полиграфии и Битрикс 24. На сколько это возможно и осуществимо? У нас имеется лицензия [LONG_NUMBER] Не могли бы помочь с данным вопросом. Заранее спасибо! -- with best regards, Damira Zulkarnayeva.","Запросить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98"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98" s="6" t="str">
        <x:v>[{"source_file":"/Users/maria/chatbot_rag/knowledge base/omnidesk_cases.jsonl","source_case_id":"130390647","source_jsonl_line":758,"target_message_index":1,"evidence_type":"historical_support_consultant_approved","support_message_indices":[4],"source_answer":"[Поддержка, сообщение №4]\nЭти вопросы в компитенции менеджеров. Ваше обращение направлено им. В ближайшее время они с вами свяжутся.","corpus_check":"confirmed_by_consultant_per_user","release_applicability":"confirmed_by_consultant","approval_basis":"user_confirmed_consultant_approval"}]</x:v>
      </x:c>
      <x:c r="W298"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98" s="6" t="str">
        <x:v>approved</x:v>
      </x:c>
      <x:c r="Y298" s="6" t="str">
        <x:v>Карточка и применимость источников согласованы консультантом; утверждение подтверждено пользователем 25.10.2026.</x:v>
      </x:c>
      <x:c r="Z298" s="6" t="str">
        <x:v>G-91336430be4c7b</x:v>
      </x:c>
      <x:c r="AA298" s="6" t="str">
        <x:v>dev</x:v>
      </x:c>
      <x:c r="AB298" s="6" t="str">
        <x:v>real_anonymized_candidate</x:v>
      </x:c>
    </x:row>
    <x:row r="299" ht="115" customHeight="1">
      <x:c r="A299" s="6" t="str">
        <x:v>OMNI-73925252-M001</x:v>
      </x:c>
      <x:c r="B299" s="6" t="str">
        <x:v>real_anonymized_candidate:omnidesk:73925252:message:1</x:v>
      </x:c>
      <x:c r="C299" s="6" t="str">
        <x:v>{"history":[],"user_message":"Нужна демоверсия программного продукта 1С:УНФ 8. Полиграфия 2 [URL] Цель – помочь клиенту в принятии решения. Как можно ее приобрести? Иван Паболков Компания Первый Бит Специалист отдела внедрения"}</x:v>
      </x:c>
      <x:c r="D299" s="6" t="str">
        <x:v>{"product":"1С:УНФ 8. Полиграфия 2","version":"3.0.14.140","retrieval_state":"available","handoff_consent":false,"source_case_id":"73925252","group_id":"omnidesk_73925252","target_message_index":1,"history_status":"approved_case_first_turn","reported_release":"not_reported","approval_basis":"user_confirmed_consultant_approval"}</x:v>
      </x:c>
      <x:c r="E299" s="6" t="str">
        <x:v>1С:УНФ 8. Полиграфия 2</x:v>
      </x:c>
      <x:c r="F299" s="6" t="str">
        <x:v>3.0.14.140</x:v>
      </x:c>
      <x:c r="G299" s="6" t="str">
        <x:v>not_reported</x:v>
      </x:c>
      <x:c r="H299" s="6" t="str">
        <x:v>default</x:v>
      </x:c>
      <x:c r="I299" s="6" t="str">
        <x:v>Применимость источников и эталона к 1С:УНФ 8. Полиграфия 2, релиз 3.0.14.140, подтверждена консультантом со слов пользователя.</x:v>
      </x:c>
      <x:c r="J299" s="13" t="str">
        <x:v>0</x:v>
      </x:c>
      <x:c r="K299" s="13" t="str">
        <x:v>5</x:v>
      </x:c>
      <x:c r="L299" s="7" t="b">
        <x:v>0</x:v>
      </x:c>
      <x:c r="M299" s="6" t="str">
        <x:v>no_useful_question</x:v>
      </x:c>
      <x:c r="N299" s="6" t="str">
        <x:v>[]</x:v>
      </x:c>
      <x:c r="O299" s="7" t="b">
        <x:v>0</x:v>
      </x:c>
      <x:c r="P299" s="6" t="str">
        <x:v>K4</x:v>
      </x:c>
      <x:c r="Q299"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299" s="6" t="str">
        <x:v>["omnidesk","real_anonymized","support","handoff"]</x:v>
      </x:c>
      <x:c r="S299" s="6" t="str">
        <x:v>offer_handoff</x:v>
      </x:c>
      <x:c r="T299" s="6" t="str">
        <x:v>["Явно обозначить, что бот не может самостоятельно выполнить этот запрос или дать подтверждённое решение.","Предложить передачу оператору по вопросу: Нужна демоверсия программного продукта 1С:УНФ 8. Полиграфия 2 [URL] Цель – помочь клиенту в принятии решения. Как можно ее приобрести? Иван Паболков Компания Первый Бит Специалист отдела внедрения.","Запросить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299"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299" s="6" t="str">
        <x:v>[{"source_file":"/Users/maria/chatbot_rag/knowledge base/omnidesk_cases.jsonl","source_case_id":"73925252","source_jsonl_line":849,"target_message_index":1,"evidence_type":"historical_support_consultant_approved","support_message_indices":[2],"source_answer":"[Поддержка, сообщение №2]\nВаш запрос направлен менеджерам. Они с вами свяжутся в ближайший час.","corpus_check":"confirmed_by_consultant_per_user","release_applicability":"confirmed_by_consultant","approval_basis":"user_confirmed_consultant_approval"}]</x:v>
      </x:c>
      <x:c r="W299"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299" s="6" t="str">
        <x:v>approved</x:v>
      </x:c>
      <x:c r="Y299" s="6" t="str">
        <x:v>Карточка и применимость источников согласованы консультантом; утверждение подтверждено пользователем 25.10.2026.</x:v>
      </x:c>
      <x:c r="Z299" s="6" t="str">
        <x:v>G-cc45ed07c96456</x:v>
      </x:c>
      <x:c r="AA299" s="6" t="str">
        <x:v>dev</x:v>
      </x:c>
      <x:c r="AB299" s="6" t="str">
        <x:v>real_anonymized_candidate</x:v>
      </x:c>
    </x:row>
    <x:row r="300" ht="115" customHeight="1">
      <x:c r="A300" s="6" t="str">
        <x:v>OMNI-395769836-M001</x:v>
      </x:c>
      <x:c r="B300" s="6" t="str">
        <x:v>real_anonymized_candidate:omnidesk:395769836:message:1</x:v>
      </x:c>
      <x:c r="C300" s="6" t="str">
        <x:v>{"history":[],"user_message":"ИП [ФИО] просит выдать резервные пин-коды для 1С:УНФ 8. Полиграфия 2, рег. номер [LONG_NUMBER]."}</x:v>
      </x:c>
      <x:c r="D300" s="6" t="str">
        <x:v>{"product":"1С:УНФ 8. Полиграфия 2","version":"3.0.14.140","retrieval_state":"available","handoff_consent":false,"source_case_id":"395769836","group_id":"omnidesk_395769836","target_message_index":1,"history_status":"approved_case_first_turn","reported_release":"not_reported","approval_basis":"user_confirmed_consultant_approval"}</x:v>
      </x:c>
      <x:c r="E300" s="6" t="str">
        <x:v>1С:УНФ 8. Полиграфия 2</x:v>
      </x:c>
      <x:c r="F300" s="6" t="str">
        <x:v>3.0.14.140</x:v>
      </x:c>
      <x:c r="G300" s="6" t="str">
        <x:v>not_reported</x:v>
      </x:c>
      <x:c r="H300" s="6" t="str">
        <x:v>default</x:v>
      </x:c>
      <x:c r="I300" s="6" t="str">
        <x:v>Применимость источников и эталона к 1С:УНФ 8. Полиграфия 2, релиз 3.0.14.140, подтверждена консультантом со слов пользователя.</x:v>
      </x:c>
      <x:c r="J300" s="13" t="str">
        <x:v>0</x:v>
      </x:c>
      <x:c r="K300" s="13" t="str">
        <x:v>5</x:v>
      </x:c>
      <x:c r="L300" s="7" t="b">
        <x:v>0</x:v>
      </x:c>
      <x:c r="M300" s="6" t="str">
        <x:v>no_useful_question</x:v>
      </x:c>
      <x:c r="N300" s="6" t="str">
        <x:v>[]</x:v>
      </x:c>
      <x:c r="O300" s="7" t="b">
        <x:v>0</x:v>
      </x:c>
      <x:c r="P300" s="6" t="str">
        <x:v>K4</x:v>
      </x:c>
      <x:c r="Q300"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300" s="6" t="str">
        <x:v>["omnidesk","real_anonymized","licensing","handoff"]</x:v>
      </x:c>
      <x:c r="S300" s="6" t="str">
        <x:v>offer_handoff</x:v>
      </x:c>
      <x:c r="T300" s="6" t="str">
        <x:v>["Явно обозначить, что бот не может самостоятельно выполнить этот запрос или дать подтверждённое решение.","Предложить передачу оператору по вопросу: ИП [ФИО] просит выдать резервные пин-коды для 1С:УНФ 8. Полиграфия 2, рег. номер [LONG_NUMBER]..","Запросить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300"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300" s="6" t="str">
        <x:v>[{"source_file":"/Users/maria/chatbot_rag/knowledge base/omnidesk_cases.jsonl","source_case_id":"395769836","source_jsonl_line":61,"target_message_index":1,"evidence_type":"historical_support_consultant_approved","support_message_indices":[2,3],"source_answer":"[Поддержка, сообщение №3]\nПо получению резервных пин кодов рекомендуем ознакомиться со следующей информацикей Платформенные [URL] Отраслевые слк [URL]","corpus_check":"confirmed_by_consultant_per_user","release_applicability":"confirmed_by_consultant","approval_basis":"user_confirmed_consultant_approval"}]</x:v>
      </x:c>
      <x:c r="W300"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300" s="6" t="str">
        <x:v>approved</x:v>
      </x:c>
      <x:c r="Y300" s="6" t="str">
        <x:v>Карточка и применимость источников согласованы консультантом; утверждение подтверждено пользователем 25.10.2026.</x:v>
      </x:c>
      <x:c r="Z300" s="6" t="str">
        <x:v>G-98095082458804</x:v>
      </x:c>
      <x:c r="AA300" s="6" t="str">
        <x:v>dev</x:v>
      </x:c>
      <x:c r="AB300" s="6" t="str">
        <x:v>real_anonymized_candidate</x:v>
      </x:c>
    </x:row>
    <x:row r="301" ht="115" customHeight="1">
      <x:c r="A301" s="6" t="str">
        <x:v>OMNI-43132133-M001</x:v>
      </x:c>
      <x:c r="B301" s="6" t="str">
        <x:v>real_anonymized_candidate:omnidesk:43132133:message:1</x:v>
      </x:c>
      <x:c r="C301" s="6" t="str">
        <x:v>{"history":[],"user_message":"вот такая ошибка возникает при попытке открыть карточку оборудования."}</x:v>
      </x:c>
      <x:c r="D301" s="6" t="str">
        <x:v>{"product":"1С:УНФ 8. Полиграфия 2","version":"3.0.14.140","retrieval_state":"available","handoff_consent":false,"source_case_id":"43132133","group_id":"omnidesk_43132133","target_message_index":1,"history_status":"approved_case_first_turn","reported_release":"not_reported","approval_basis":"user_confirmed_consultant_approval"}</x:v>
      </x:c>
      <x:c r="E301" s="6" t="str">
        <x:v>1С:УНФ 8. Полиграфия 2</x:v>
      </x:c>
      <x:c r="F301" s="6" t="str">
        <x:v>3.0.14.140</x:v>
      </x:c>
      <x:c r="G301" s="6" t="str">
        <x:v>not_reported</x:v>
      </x:c>
      <x:c r="H301" s="6" t="str">
        <x:v>default</x:v>
      </x:c>
      <x:c r="I301" s="6" t="str">
        <x:v>Применимость источников и эталона к 1С:УНФ 8. Полиграфия 2, релиз 3.0.14.140, подтверждена консультантом со слов пользователя.</x:v>
      </x:c>
      <x:c r="J301" s="13" t="str">
        <x:v>0</x:v>
      </x:c>
      <x:c r="K301" s="13" t="str">
        <x:v>5</x:v>
      </x:c>
      <x:c r="L301" s="7" t="b">
        <x:v>0</x:v>
      </x:c>
      <x:c r="M301" s="6" t="str">
        <x:v>diagnosis_required</x:v>
      </x:c>
      <x:c r="N301" s="6" t="str">
        <x:v>[]</x:v>
      </x:c>
      <x:c r="O301" s="7" t="b">
        <x:v>0</x:v>
      </x:c>
      <x:c r="P301" s="6" t="str">
        <x:v>K4</x:v>
      </x:c>
      <x:c r="Q301"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301" s="6" t="str">
        <x:v>["omnidesk","real_anonymized","product_function","handoff"]</x:v>
      </x:c>
      <x:c r="S301" s="6" t="str">
        <x:v>offer_handoff</x:v>
      </x:c>
      <x:c r="T301" s="6" t="str">
        <x:v>["Явно обозначить, что бот не может самостоятельно выполнить этот запрос или дать подтверждённое решение.","Предложить передачу оператору по вопросу: вот такая ошибка возникает при попытке открыть карточку оборудования..","Запросить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301"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301" s="6" t="str">
        <x:v>[{"source_file":"/Users/maria/chatbot_rag/knowledge base/omnidesk_cases.jsonl","source_case_id":"43132133","source_jsonl_line":1020,"target_message_index":1,"evidence_type":"historical_support_consultant_approved","support_message_indices":[2,4],"source_answer":"[Поддержка, сообщение №2]\nЕлена Ивановна, ошибка будет исправлена в следующем релизе конец этой или следующей недели. Для того чтобы ошибка не проявлялась на этом релизе нужно установить константу \"Использовать заказы на широкоформатную печать\".","corpus_check":"confirmed_by_consultant_per_user","release_applicability":"confirmed_by_consultant","approval_basis":"user_confirmed_consultant_approval"}]</x:v>
      </x:c>
      <x:c r="W301"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301" s="6" t="str">
        <x:v>approved</x:v>
      </x:c>
      <x:c r="Y301" s="6" t="str">
        <x:v>Карточка и применимость источников согласованы консультантом; утверждение подтверждено пользователем 25.10.2026.</x:v>
      </x:c>
      <x:c r="Z301" s="6" t="str">
        <x:v>G-aacbd58b717915</x:v>
      </x:c>
      <x:c r="AA301" s="6" t="str">
        <x:v>dev</x:v>
      </x:c>
      <x:c r="AB301" s="6" t="str">
        <x:v>real_anonymized_candidate</x:v>
      </x:c>
    </x:row>
  </x:sheetData>
  <x:pageMargins left="0.7" right="0.7" top="0.75" bottom="0.75" header="0.3" footer="0.3"/>
  <x:tableParts count="1">
    <x:tablePart xmlns:r="http://schemas.openxmlformats.org/officeDocument/2006/relationships" r:id="R668ff385ab7f4acc"/>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9"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s>
  <x:sheetData>
    <x:row r="1">
      <x:c r="A1" s="14"/>
      <x:c r="B1" s="14"/>
      <x:c r="C1" s="14"/>
      <x:c r="D1" s="14"/>
      <x:c r="E1" s="14"/>
      <x:c r="F1" s="14"/>
      <x:c r="G1" s="14"/>
    </x:row>
    <x:row r="2" ht="28" customHeight="1">
      <x:c r="A2" s="15" t="str">
        <x:v>DEV: точные доли классов и баланс источников</x:v>
      </x:c>
      <x:c r="B2" s="14"/>
      <x:c r="C2" s="14"/>
      <x:c r="D2" s="14"/>
      <x:c r="E2" s="14"/>
      <x:c r="F2" s="14"/>
      <x:c r="G2" s="14"/>
    </x:row>
    <x:row r="3" ht="28" customHeight="1">
      <x:c r="A3" s="14" t="str">
        <x:v>300 кейсов. В dev и eval одинаковые количества каждого класса и каждого типа origin.</x:v>
      </x:c>
      <x:c r="B3" s="14"/>
      <x:c r="C3" s="14"/>
      <x:c r="D3" s="14"/>
      <x:c r="E3" s="14"/>
      <x:c r="F3" s="14"/>
      <x:c r="G3" s="14"/>
    </x:row>
    <x:row r="4">
      <x:c r="A4" s="14"/>
      <x:c r="B4" s="14"/>
      <x:c r="C4" s="14"/>
      <x:c r="D4" s="14"/>
      <x:c r="E4" s="14"/>
      <x:c r="F4" s="14"/>
      <x:c r="G4" s="14"/>
    </x:row>
    <x:row r="5">
      <x:c r="A5" s="14"/>
      <x:c r="B5" s="14"/>
      <x:c r="C5" s="14"/>
      <x:c r="D5" s="14"/>
      <x:c r="E5" s="14"/>
      <x:c r="F5" s="14"/>
      <x:c r="G5" s="14"/>
    </x:row>
    <x:row r="6" ht="34" customHeight="1">
      <x:c r="A6" s="12" t="str">
        <x:v>Класс</x:v>
      </x:c>
      <x:c r="B6" s="12" t="str">
        <x:v>Факт</x:v>
      </x:c>
      <x:c r="C6" s="12" t="str">
        <x:v>Квота</x:v>
      </x:c>
      <x:c r="D6" s="12" t="str">
        <x:v>Факт, %</x:v>
      </x:c>
      <x:c r="E6" s="12" t="str">
        <x:v>Цель, %</x:v>
      </x:c>
      <x:c r="F6" s="12" t="str">
        <x:v>Δ кейсов</x:v>
      </x:c>
      <x:c r="G6" s="12" t="str">
        <x:v>Δ, п.п.</x:v>
      </x:c>
    </x:row>
    <x:row r="7" ht="25" customHeight="1">
      <x:c r="A7" s="14" t="str">
        <x:v>K1</x:v>
      </x:c>
      <x:c r="B7" s="14" t="n">
        <x:f>COUNTIFS('dev'!$P$2:$P$301,A7)</x:f>
        <x:v>60</x:v>
      </x:c>
      <x:c r="C7" s="14" t="n">
        <x:v>60</x:v>
      </x:c>
      <x:c r="D7" s="19" t="n">
        <x:f>B7/$B$13</x:f>
        <x:v>0.2</x:v>
      </x:c>
      <x:c r="E7" s="19" t="n">
        <x:v>0.2</x:v>
      </x:c>
      <x:c r="F7" s="14" t="n">
        <x:f>B7-C7</x:f>
        <x:v>0</x:v>
      </x:c>
      <x:c r="G7" s="21" t="n">
        <x:f>(D7-E7)*100</x:f>
        <x:v>0</x:v>
      </x:c>
    </x:row>
    <x:row r="8" ht="25" customHeight="1">
      <x:c r="A8" s="14" t="str">
        <x:v>K2</x:v>
      </x:c>
      <x:c r="B8" s="14" t="n">
        <x:f>COUNTIFS('dev'!$P$2:$P$301,A8)</x:f>
        <x:v>75</x:v>
      </x:c>
      <x:c r="C8" s="14" t="n">
        <x:v>75</x:v>
      </x:c>
      <x:c r="D8" s="19" t="n">
        <x:f>B8/$B$13</x:f>
        <x:v>0.25</x:v>
      </x:c>
      <x:c r="E8" s="19" t="n">
        <x:v>0.25</x:v>
      </x:c>
      <x:c r="F8" s="14" t="n">
        <x:f>B8-C8</x:f>
        <x:v>0</x:v>
      </x:c>
      <x:c r="G8" s="21" t="n">
        <x:f>(D8-E8)*100</x:f>
        <x:v>0</x:v>
      </x:c>
    </x:row>
    <x:row r="9" ht="25" customHeight="1">
      <x:c r="A9" s="14" t="str">
        <x:v>K3</x:v>
      </x:c>
      <x:c r="B9" s="14" t="n">
        <x:f>COUNTIFS('dev'!$P$2:$P$301,A9)</x:f>
        <x:v>45</x:v>
      </x:c>
      <x:c r="C9" s="14" t="n">
        <x:v>45</x:v>
      </x:c>
      <x:c r="D9" s="19" t="n">
        <x:f>B9/$B$13</x:f>
        <x:v>0.15</x:v>
      </x:c>
      <x:c r="E9" s="19" t="n">
        <x:v>0.15</x:v>
      </x:c>
      <x:c r="F9" s="14" t="n">
        <x:f>B9-C9</x:f>
        <x:v>0</x:v>
      </x:c>
      <x:c r="G9" s="21" t="n">
        <x:f>(D9-E9)*100</x:f>
        <x:v>0</x:v>
      </x:c>
    </x:row>
    <x:row r="10" ht="25" customHeight="1">
      <x:c r="A10" s="14" t="str">
        <x:v>K4</x:v>
      </x:c>
      <x:c r="B10" s="14" t="n">
        <x:f>COUNTIFS('dev'!$P$2:$P$301,A10)</x:f>
        <x:v>30</x:v>
      </x:c>
      <x:c r="C10" s="14" t="n">
        <x:v>30</x:v>
      </x:c>
      <x:c r="D10" s="19" t="n">
        <x:f>B10/$B$13</x:f>
        <x:v>0.1</x:v>
      </x:c>
      <x:c r="E10" s="19" t="n">
        <x:v>0.1</x:v>
      </x:c>
      <x:c r="F10" s="14" t="n">
        <x:f>B10-C10</x:f>
        <x:v>0</x:v>
      </x:c>
      <x:c r="G10" s="21" t="n">
        <x:f>(D10-E10)*100</x:f>
        <x:v>0</x:v>
      </x:c>
    </x:row>
    <x:row r="11" ht="25" customHeight="1">
      <x:c r="A11" s="14" t="str">
        <x:v>K5</x:v>
      </x:c>
      <x:c r="B11" s="14" t="n">
        <x:f>COUNTIFS('dev'!$P$2:$P$301,A11)</x:f>
        <x:v>30</x:v>
      </x:c>
      <x:c r="C11" s="14" t="n">
        <x:v>30</x:v>
      </x:c>
      <x:c r="D11" s="19" t="n">
        <x:f>B11/$B$13</x:f>
        <x:v>0.1</x:v>
      </x:c>
      <x:c r="E11" s="19" t="n">
        <x:v>0.1</x:v>
      </x:c>
      <x:c r="F11" s="14" t="n">
        <x:f>B11-C11</x:f>
        <x:v>0</x:v>
      </x:c>
      <x:c r="G11" s="21" t="n">
        <x:f>(D11-E11)*100</x:f>
        <x:v>0</x:v>
      </x:c>
    </x:row>
    <x:row r="12" ht="25" customHeight="1">
      <x:c r="A12" s="14" t="str">
        <x:v>K6</x:v>
      </x:c>
      <x:c r="B12" s="14" t="n">
        <x:f>COUNTIFS('dev'!$P$2:$P$301,A12)</x:f>
        <x:v>60</x:v>
      </x:c>
      <x:c r="C12" s="14" t="n">
        <x:v>60</x:v>
      </x:c>
      <x:c r="D12" s="19" t="n">
        <x:f>B12/$B$13</x:f>
        <x:v>0.2</x:v>
      </x:c>
      <x:c r="E12" s="19" t="n">
        <x:v>0.2</x:v>
      </x:c>
      <x:c r="F12" s="14" t="n">
        <x:f>B12-C12</x:f>
        <x:v>0</x:v>
      </x:c>
      <x:c r="G12" s="21" t="n">
        <x:f>(D12-E12)*100</x:f>
        <x:v>0</x:v>
      </x:c>
    </x:row>
    <x:row r="13" ht="25" customHeight="1">
      <x:c r="A13" s="18" t="str">
        <x:v>Итого</x:v>
      </x:c>
      <x:c r="B13" s="18" t="n">
        <x:f>SUM(B7:B12)</x:f>
        <x:v>300</x:v>
      </x:c>
      <x:c r="C13" s="18" t="n">
        <x:f>SUM(C7:C12)</x:f>
        <x:v>300</x:v>
      </x:c>
      <x:c r="D13" s="20" t="n">
        <x:f>SUM(D7:D12)</x:f>
        <x:v>1</x:v>
      </x:c>
      <x:c r="E13" s="20" t="n">
        <x:f>SUM(E7:E12)</x:f>
        <x:v>1</x:v>
      </x:c>
      <x:c r="F13" s="18" t="n">
        <x:f>SUM(F7:F12)</x:f>
        <x:v>0</x:v>
      </x:c>
      <x:c r="G13" s="22" t="n">
        <x:f>SUM(G7:G12)</x:f>
        <x:v>0</x:v>
      </x:c>
    </x:row>
    <x:row r="14">
      <x:c r="A14" s="14"/>
      <x:c r="B14" s="14"/>
      <x:c r="C14" s="14"/>
      <x:c r="D14" s="14"/>
      <x:c r="E14" s="14"/>
      <x:c r="F14" s="14"/>
      <x:c r="G14" s="14"/>
    </x:row>
    <x:row r="15">
      <x:c r="A15" s="14"/>
      <x:c r="B15" s="14"/>
      <x:c r="C15" s="14"/>
      <x:c r="D15" s="14"/>
      <x:c r="E15" s="14"/>
      <x:c r="F15" s="14"/>
      <x:c r="G15" s="14"/>
    </x:row>
    <x:row r="16" ht="34" customHeight="1">
      <x:c r="A16" s="12" t="str">
        <x:v>Тип origin</x:v>
      </x:c>
      <x:c r="B16" s="12" t="str">
        <x:v>Кейсов</x:v>
      </x:c>
      <x:c r="C16" s="12" t="str">
        <x:v>Доля</x:v>
      </x:c>
      <x:c r="D16" s="12" t="str">
        <x:v>Поровну, %</x:v>
      </x:c>
      <x:c r="E16" s="12" t="str">
        <x:v>Δ, п.п.</x:v>
      </x:c>
      <x:c r="F16" s="12" t="str">
        <x:v>Ориентир</x:v>
      </x:c>
      <x:c r="G16" s="12" t="str">
        <x:v>Δ кейсов</x:v>
      </x:c>
    </x:row>
    <x:row r="17" ht="27" customHeight="1">
      <x:c r="A17" s="14" t="str">
        <x:v>synthetic_from_manual</x:v>
      </x:c>
      <x:c r="B17" s="14" t="n">
        <x:f>COUNTIFS('dev'!$AB$2:$AB$301,A17)</x:f>
        <x:v>125</x:v>
      </x:c>
      <x:c r="C17" s="23" t="n">
        <x:f>B17/$B$13</x:f>
        <x:v>0.4166666666666667</x:v>
      </x:c>
      <x:c r="D17" s="23" t="n">
        <x:v>0.25</x:v>
      </x:c>
      <x:c r="E17" s="21" t="n">
        <x:f>(C17-D17)*100</x:f>
        <x:v>16.666666666666668</x:v>
      </x:c>
      <x:c r="F17" s="14" t="n">
        <x:v>75</x:v>
      </x:c>
      <x:c r="G17" s="14" t="n">
        <x:f>B17-F17</x:f>
        <x:v>50</x:v>
      </x:c>
    </x:row>
    <x:row r="18" ht="27" customHeight="1">
      <x:c r="A18" s="14" t="str">
        <x:v>synthetic_contract_boundary</x:v>
      </x:c>
      <x:c r="B18" s="14" t="n">
        <x:f>COUNTIFS('dev'!$AB$2:$AB$301,A18)</x:f>
        <x:v>60</x:v>
      </x:c>
      <x:c r="C18" s="23" t="n">
        <x:f>B18/$B$13</x:f>
        <x:v>0.2</x:v>
      </x:c>
      <x:c r="D18" s="23" t="n">
        <x:v>0.25</x:v>
      </x:c>
      <x:c r="E18" s="21" t="n">
        <x:f>(C18-D18)*100</x:f>
        <x:v>-4.999999999999999</x:v>
      </x:c>
      <x:c r="F18" s="14" t="n">
        <x:v>75</x:v>
      </x:c>
      <x:c r="G18" s="14" t="n">
        <x:f>B18-F18</x:f>
        <x:v>-15</x:v>
      </x:c>
    </x:row>
    <x:row r="19" ht="27" customHeight="1">
      <x:c r="A19" s="14" t="str">
        <x:v>official_faq_entry</x:v>
      </x:c>
      <x:c r="B19" s="14" t="n">
        <x:f>COUNTIFS('dev'!$AB$2:$AB$301,A19)</x:f>
        <x:v>38</x:v>
      </x:c>
      <x:c r="C19" s="23" t="n">
        <x:f>B19/$B$13</x:f>
        <x:v>0.12666666666666668</x:v>
      </x:c>
      <x:c r="D19" s="23" t="n">
        <x:v>0.25</x:v>
      </x:c>
      <x:c r="E19" s="21" t="n">
        <x:f>(C19-D19)*100</x:f>
        <x:v>-12.333333333333332</x:v>
      </x:c>
      <x:c r="F19" s="14" t="n">
        <x:v>75</x:v>
      </x:c>
      <x:c r="G19" s="14" t="n">
        <x:f>B19-F19</x:f>
        <x:v>-37</x:v>
      </x:c>
    </x:row>
    <x:row r="20" ht="27" customHeight="1">
      <x:c r="A20" s="14" t="str">
        <x:v>real_anonymized_candidate</x:v>
      </x:c>
      <x:c r="B20" s="14" t="n">
        <x:f>COUNTIFS('dev'!$AB$2:$AB$301,A20)</x:f>
        <x:v>77</x:v>
      </x:c>
      <x:c r="C20" s="23" t="n">
        <x:f>B20/$B$13</x:f>
        <x:v>0.25666666666666665</x:v>
      </x:c>
      <x:c r="D20" s="23" t="n">
        <x:v>0.25</x:v>
      </x:c>
      <x:c r="E20" s="21" t="n">
        <x:f>(C20-D20)*100</x:f>
        <x:v>0.6666666666666654</x:v>
      </x:c>
      <x:c r="F20" s="14" t="n">
        <x:v>75</x:v>
      </x:c>
      <x:c r="G20" s="14" t="n">
        <x:f>B20-F20</x:f>
        <x:v>2</x:v>
      </x:c>
    </x:row>
    <x:row r="21">
      <x:c r="A21" s="14"/>
      <x:c r="B21" s="14"/>
      <x:c r="C21" s="14"/>
      <x:c r="D21" s="14"/>
      <x:c r="E21" s="14"/>
      <x:c r="F21" s="14"/>
      <x:c r="G21" s="14"/>
    </x:row>
    <x:row r="22">
      <x:c r="A22" s="14"/>
      <x:c r="B22" s="14"/>
      <x:c r="C22" s="14"/>
      <x:c r="D22" s="14"/>
      <x:c r="E22" s="14"/>
      <x:c r="F22" s="14"/>
      <x:c r="G22" s="14"/>
    </x:row>
    <x:row r="23" ht="25" customHeight="1">
      <x:c r="A23" s="14" t="str">
        <x:v>Кейсов</x:v>
      </x:c>
      <x:c r="B23" s="14" t="n">
        <x:f>B13</x:f>
        <x:v>300</x:v>
      </x:c>
      <x:c r="C23" s="14"/>
      <x:c r="D23" s="14"/>
      <x:c r="E23" s="14"/>
      <x:c r="F23" s="14"/>
      <x:c r="G23" s="14"/>
    </x:row>
    <x:row r="24" ht="25" customHeight="1">
      <x:c r="A24" s="14" t="str">
        <x:v>Невыполненных квот</x:v>
      </x:c>
      <x:c r="B24" s="14" t="n">
        <x:f>COUNTIFS(F7:F12,"&lt;&gt;0")</x:f>
        <x:v>0</x:v>
      </x:c>
      <x:c r="C24" s="14"/>
      <x:c r="D24" s="14"/>
      <x:c r="E24" s="14"/>
      <x:c r="F24" s="14"/>
      <x:c r="G24" s="14"/>
    </x:row>
    <x:row r="25" ht="25" customHeight="1">
      <x:c r="A25" s="14" t="str">
        <x:v>Пересечений ID / групп</x:v>
      </x:c>
      <x:c r="B25" s="14" t="n">
        <x:v>0</x:v>
      </x:c>
      <x:c r="C25" s="14"/>
      <x:c r="D25" s="14"/>
      <x:c r="E25" s="14"/>
      <x:c r="F25" s="14"/>
      <x:c r="G25" s="14"/>
    </x:row>
    <x:row r="26" ht="25" customHeight="1">
      <x:c r="A26" s="14" t="str">
        <x:v>Резерв в исходном пуле</x:v>
      </x:c>
      <x:c r="B26" s="14" t="n">
        <x:v>576</x:v>
      </x:c>
      <x:c r="C26" s="14"/>
      <x:c r="D26" s="14"/>
      <x:c r="E26" s="14"/>
      <x:c r="F26" s="14"/>
      <x:c r="G26" s="14"/>
    </x:row>
    <x:row r="27" ht="25" customHeight="1">
      <x:c r="A27" s="14" t="str">
        <x:v>Отклонение источников</x:v>
      </x:c>
      <x:c r="B27" s="14" t="n">
        <x:f>ABS(G17)+ABS(G18)+ABS(G19)+ABS(G20)</x:f>
        <x:v>104</x:v>
      </x:c>
      <x:c r="C27" s="14"/>
      <x:c r="D27" s="14"/>
      <x:c r="E27" s="14"/>
      <x:c r="F27" s="14"/>
      <x:c r="G27" s="14"/>
    </x:row>
    <x:row r="28">
      <x:c r="A28" s="14"/>
      <x:c r="B28" s="14"/>
      <x:c r="C28" s="14"/>
      <x:c r="D28" s="14"/>
      <x:c r="E28" s="14"/>
      <x:c r="F28" s="14"/>
      <x:c r="G28" s="14"/>
    </x:row>
    <x:row r="29">
      <x:c r="A29" s="24" t="str">
        <x:v>Ровно поровну невозможно: FAQ ≤ 38 на часть; контракт ≤ 60 из-за квоты K1.</x:v>
      </x:c>
      <x:c r="B29" s="14"/>
      <x:c r="C29" s="14"/>
      <x:c r="D29" s="14"/>
      <x:c r="E29" s="14"/>
      <x:c r="F29" s="14"/>
      <x:c r="G29" s="14"/>
    </x:row>
    <x:row r="30">
      <x:c r="A30" s="24" t="str">
        <x:v>Минимальное отклонение от 75 на источник — 104. Состав 125/60/38/77 достигает этого минимума.</x:v>
      </x:c>
      <x:c r="B30" s="14"/>
      <x:c r="C30" s="14"/>
      <x:c r="D30" s="14"/>
      <x:c r="E30" s="14"/>
      <x:c r="F30" s="14"/>
      <x:c r="G30" s="14"/>
    </x:row>
    <x:row r="31">
      <x:c r="A31" s="24" t="str">
        <x:v>Все FAQ использованы: 22 poly2 и 16 poly8 в каждой части.</x:v>
      </x:c>
      <x:c r="B31" s="14"/>
      <x:c r="C31" s="14"/>
      <x:c r="D31" s="14"/>
      <x:c r="E31" s="14"/>
      <x:c r="F31" s="14"/>
      <x:c r="G31" s="14"/>
    </x:row>
    <x:row r="32">
      <x:c r="A32" s="24" t="str">
        <x:v>В резерве есть невыбранные варианты используемых групп; между dev и eval пересечений групп нет.</x:v>
      </x:c>
      <x:c r="B32" s="14"/>
      <x:c r="C32" s="14"/>
      <x:c r="D32" s="14"/>
      <x:c r="E32" s="14"/>
      <x:c r="F32" s="14"/>
      <x:c r="G32" s="14"/>
    </x:row>
    <x:row r="33">
      <x:c r="A33" s="24" t="str">
        <x:v>В balanced_manifest.json сохранён group_owner резервных кейсов; сохраняйте его при дальнейшем использовании.</x:v>
      </x:c>
      <x:c r="B33" s="14"/>
      <x:c r="C33" s="14"/>
      <x:c r="D33" s="14"/>
      <x:c r="E33" s="14"/>
      <x:c r="F33" s="14"/>
      <x:c r="G33" s="14"/>
    </x:row>
    <x:row r="34">
      <x:c r="A34" s="24" t="str">
        <x:v>Источник: eval_1176_approved.xlsx. Исходные поля карточек и классы сохранены.</x:v>
      </x:c>
      <x:c r="B34" s="14"/>
      <x:c r="C34" s="14"/>
      <x:c r="D34" s="14"/>
      <x:c r="E34" s="14"/>
      <x:c r="F34" s="14"/>
      <x:c r="G34" s="14"/>
    </x:row>
  </x:sheetData>
  <x:pageMargins left="0.7" right="0.7" top="0.75" bottom="0.75" header="0.3" footer="0.3"/>
</x:worksheet>
</file>
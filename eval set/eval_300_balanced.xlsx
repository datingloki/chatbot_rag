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8373e515164e70" /></Relationships>
</file>

<file path=xl/workbook.xml><?xml version="1.0" encoding="utf-8"?>
<x:workbook xmlns:x="http://schemas.openxmlformats.org/spreadsheetml/2006/main">
  <x:sheets>
    <x:sheet xmlns:r="http://schemas.openxmlformats.org/officeDocument/2006/relationships" name="eval" sheetId="1" r:id="R52e0e26a5dff4196"/>
    <x:sheet xmlns:r="http://schemas.openxmlformats.org/officeDocument/2006/relationships" name="Проверка" sheetId="2" r:id="R597aee3b3d1146d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0.00"/>
    <x:numFmt numFmtId="203" formatCode="0.00%"/>
  </x:numFmts>
  <x:fonts count="7">
    <x:font>
      <x:sz val="11"/>
      <x:name val="Carlito"/>
    </x:font>
    <x:font>
      <x:sz val="10"/>
      <x:color rgb="FF24313A"/>
      <x:name val="Arial"/>
    </x:font>
    <x:font>
      <x:b/>
      <x:sz val="11"/>
      <x:color rgb="FFFFFFFF"/>
      <x:name val="Arial"/>
    </x:font>
    <x:font>
      <x:sz val="11"/>
      <x:color rgb="FF24313A"/>
      <x:name val="Arial"/>
    </x:font>
    <x:font>
      <x:b/>
      <x:sz val="15"/>
      <x:color rgb="FF193E49"/>
      <x:name val="Arial"/>
    </x:font>
    <x:font>
      <x:b/>
      <x:sz val="11"/>
      <x:color rgb="FF193E49"/>
      <x:name val="Arial"/>
    </x:font>
    <x:font>
      <x:sz val="10"/>
      <x:color rgb="FF536775"/>
      <x:name val="Arial"/>
    </x:font>
  </x:fonts>
  <x:fills count="3">
    <x:fill>
      <x:patternFill patternType="none"/>
    </x:fill>
    <x:fill>
      <x:patternFill patternType="gray125"/>
    </x:fill>
    <x:fill>
      <x:patternFill patternType="solid">
        <x:fgColor rgb="FF193E49"/>
      </x:patternFill>
    </x:fill>
  </x:fills>
  <x:borders count="2">
    <x:border>
      <x:left/>
      <x:right/>
      <x:top/>
      <x:bottom/>
      <x:diagonal/>
    </x:border>
    <x:border>
      <x:left/>
      <x:right/>
      <x:top style="thin">
        <x:color rgb="FF8CA2AC"/>
      </x:top>
      <x:bottom/>
      <x:diagonal/>
    </x:border>
  </x:borders>
  <x:cellStyleXfs count="1">
    <x:xf numFmtId="0" fontId="0" fillId="0" borderId="0"/>
  </x:cellStyleXfs>
  <x:cellXfs count="25">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0" fontId="3" fillId="0" borderId="0" xfId="0" applyNumberFormat="1" applyFont="1" applyFill="1" applyBorder="1"/>
    <x:xf numFmtId="0" fontId="4" fillId="0" borderId="0" xfId="0" applyNumberFormat="1" applyFont="1" applyFill="1" applyBorder="1"/>
    <x:xf numFmtId="0" fontId="3" fillId="2" borderId="0" xfId="0" applyNumberFormat="1" applyFont="1" applyFill="1" applyBorder="1"/>
    <x:xf numFmtId="0" fontId="5" fillId="0" borderId="0" xfId="0" applyNumberFormat="1" applyFont="1" applyFill="1" applyBorder="1"/>
    <x:xf numFmtId="0" fontId="5" fillId="0" borderId="1" xfId="0" applyNumberFormat="1" applyFont="1" applyFill="1" applyBorder="1"/>
    <x:xf numFmtId="201" fontId="3" fillId="0" borderId="0" xfId="0" applyNumberFormat="1" applyFont="1" applyFill="1" applyBorder="1"/>
    <x:xf numFmtId="201" fontId="5" fillId="0" borderId="1" xfId="0" applyNumberFormat="1" applyFont="1" applyFill="1" applyBorder="1"/>
    <x:xf numFmtId="202" fontId="3" fillId="0" borderId="0" xfId="0" applyNumberFormat="1" applyFont="1" applyFill="1" applyBorder="1"/>
    <x:xf numFmtId="202" fontId="5" fillId="0" borderId="1" xfId="0" applyNumberFormat="1" applyFont="1" applyFill="1" applyBorder="1"/>
    <x:xf numFmtId="203" fontId="3" fillId="0" borderId="0" xfId="0" applyNumberFormat="1" applyFont="1" applyFill="1" applyBorder="1"/>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45ef45d991499b" /><Relationship Type="http://schemas.openxmlformats.org/officeDocument/2006/relationships/theme" Target="/xl/theme/theme1.xml" Id="R2a911e41d236485a" /><Relationship Type="http://schemas.microsoft.com/office/2022/11/relationships/FeaturePropertyBag" Target="/xl/featurePropertyBag/featurePropertyBag.xml" Id="R1201aba383054ec3" /><Relationship Type="http://schemas.openxmlformats.org/officeDocument/2006/relationships/sharedStrings" Target="/xl/sharedStrings.xml" Id="Rf8209e3f48e640b2" /><Relationship Type="http://schemas.openxmlformats.org/officeDocument/2006/relationships/worksheet" Target="/xl/worksheets/sheet1.xml" Id="R52e0e26a5dff4196" /><Relationship Type="http://schemas.openxmlformats.org/officeDocument/2006/relationships/worksheet" Target="/xl/worksheets/sheet2.xml" Id="R597aee3b3d1146d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EvalCases" displayName="EvalCases" ref="A1:AB301" headerRowCount="1" totalsRowCount="0" totalsRowShown="0">
  <x:tableColumns count="28">
    <x:tableColumn id="1" name="case_id"/>
    <x:tableColumn id="2" name="origin"/>
    <x:tableColumn id="3" name="input"/>
    <x:tableColumn id="4" name="context"/>
    <x:tableColumn id="5" name="target_product"/>
    <x:tableColumn id="6" name="target_release"/>
    <x:tableColumn id="7" name="reported_release"/>
    <x:tableColumn id="8" name="release_basis"/>
    <x:tableColumn id="9" name="source_applicability"/>
    <x:tableColumn id="10" name="clarification_count"/>
    <x:tableColumn id="11" name="clarification_limit"/>
    <x:tableColumn id="12" name="next_clarification_useful"/>
    <x:tableColumn id="13" name="handoff_reason"/>
    <x:tableColumn id="14" name="missing_user_information"/>
    <x:tableColumn id="15" name="answer_supported"/>
    <x:tableColumn id="16" name="primary_class"/>
    <x:tableColumn id="17" name="class_reason"/>
    <x:tableColumn id="18" name="tags"/>
    <x:tableColumn id="19" name="expected_action"/>
    <x:tableColumn id="20" name="must_include"/>
    <x:tableColumn id="21" name="must_not_include"/>
    <x:tableColumn id="22" name="evidence"/>
    <x:tableColumn id="23" name="pass_criteria"/>
    <x:tableColumn id="24" name="status"/>
    <x:tableColumn id="25" name="review_note"/>
    <x:tableColumn id="26" name="split_group_id"/>
    <x:tableColumn id="27" name="split"/>
    <x:tableColumn id="28" name="origin_typ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bbf7d0b58514716"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9" hidden="0" customWidth="1"/>
    <x:col min="2" max="2" width="27" hidden="0" customWidth="1"/>
    <x:col min="3" max="3" width="70" hidden="0" customWidth="1"/>
    <x:col min="4" max="4" width="48" hidden="0" customWidth="1"/>
    <x:col min="5" max="5" width="27" hidden="0" customWidth="1"/>
    <x:col min="6" max="6" width="16" hidden="0" customWidth="1"/>
    <x:col min="7" max="7" width="18" hidden="0" customWidth="1"/>
    <x:col min="8" max="8" width="14" hidden="0" customWidth="1"/>
    <x:col min="9" max="9" width="55" hidden="0" customWidth="1"/>
    <x:col min="10" max="10" width="17" hidden="0" customWidth="1"/>
    <x:col min="11" max="11" width="17" hidden="0" customWidth="1"/>
    <x:col min="12" max="12" width="20" hidden="0" customWidth="1"/>
    <x:col min="13" max="13" width="22" hidden="0" customWidth="1"/>
    <x:col min="14" max="14" width="55" hidden="0" customWidth="1"/>
    <x:col min="15" max="15" width="18" hidden="0" customWidth="1"/>
    <x:col min="16" max="16" width="16" hidden="0" customWidth="1"/>
    <x:col min="17" max="17" width="56" hidden="0" customWidth="1"/>
    <x:col min="18" max="18" width="28" hidden="0" customWidth="1"/>
    <x:col min="19" max="19" width="19" hidden="0" customWidth="1"/>
    <x:col min="20" max="20" width="55" hidden="0" customWidth="1"/>
    <x:col min="21" max="21" width="55" hidden="0" customWidth="1"/>
    <x:col min="22" max="22" width="76" hidden="0" customWidth="1"/>
    <x:col min="23" max="23" width="55" hidden="0" customWidth="1"/>
    <x:col min="24" max="24" width="20" hidden="0" customWidth="1"/>
    <x:col min="25" max="25" width="100" hidden="0" customWidth="1"/>
    <x:col min="26" max="26" width="24" hidden="0" customWidth="1"/>
    <x:col min="27" max="27" width="10" hidden="0" customWidth="1"/>
    <x:col min="28" max="28" width="32" hidden="0" customWidth="1"/>
  </x:cols>
  <x:sheetData>
    <x:row r="1" ht="34" customHeight="1">
      <x:c r="A1" s="12" t="str">
        <x:v>case_id</x:v>
      </x:c>
      <x:c r="B1" s="12" t="str">
        <x:v>origin</x:v>
      </x:c>
      <x:c r="C1" s="12" t="str">
        <x:v>input</x:v>
      </x:c>
      <x:c r="D1" s="12" t="str">
        <x:v>context</x:v>
      </x:c>
      <x:c r="E1" s="12" t="str">
        <x:v>target_product</x:v>
      </x:c>
      <x:c r="F1" s="12" t="str">
        <x:v>target_release</x:v>
      </x:c>
      <x:c r="G1" s="12" t="str">
        <x:v>reported_release</x:v>
      </x:c>
      <x:c r="H1" s="12" t="str">
        <x:v>release_basis</x:v>
      </x:c>
      <x:c r="I1" s="12" t="str">
        <x:v>source_applicability</x:v>
      </x:c>
      <x:c r="J1" s="12" t="str">
        <x:v>clarification_count</x:v>
      </x:c>
      <x:c r="K1" s="12" t="str">
        <x:v>clarification_limit</x:v>
      </x:c>
      <x:c r="L1" s="12" t="str">
        <x:v>next_clarification_useful</x:v>
      </x:c>
      <x:c r="M1" s="12" t="str">
        <x:v>handoff_reason</x:v>
      </x:c>
      <x:c r="N1" s="12" t="str">
        <x:v>missing_user_information</x:v>
      </x:c>
      <x:c r="O1" s="12" t="str">
        <x:v>answer_supported</x:v>
      </x:c>
      <x:c r="P1" s="12" t="str">
        <x:v>primary_class</x:v>
      </x:c>
      <x:c r="Q1" s="12" t="str">
        <x:v>class_reason</x:v>
      </x:c>
      <x:c r="R1" s="12" t="str">
        <x:v>tags</x:v>
      </x:c>
      <x:c r="S1" s="12" t="str">
        <x:v>expected_action</x:v>
      </x:c>
      <x:c r="T1" s="12" t="str">
        <x:v>must_include</x:v>
      </x:c>
      <x:c r="U1" s="12" t="str">
        <x:v>must_not_include</x:v>
      </x:c>
      <x:c r="V1" s="12" t="str">
        <x:v>evidence</x:v>
      </x:c>
      <x:c r="W1" s="12" t="str">
        <x:v>pass_criteria</x:v>
      </x:c>
      <x:c r="X1" s="12" t="str">
        <x:v>status</x:v>
      </x:c>
      <x:c r="Y1" s="12" t="str">
        <x:v>review_note</x:v>
      </x:c>
      <x:c r="Z1" s="12" t="str">
        <x:v>split_group_id</x:v>
      </x:c>
      <x:c r="AA1" s="12" t="str">
        <x:v>split</x:v>
      </x:c>
      <x:c r="AB1" s="12" t="str">
        <x:v>origin_type</x:v>
      </x:c>
    </x:row>
    <x:row r="2" ht="115" customHeight="1">
      <x:c r="A2" s="6" t="str">
        <x:v>D0002</x:v>
      </x:c>
      <x:c r="B2" s="6" t="str">
        <x:v>synthetic_from_manual:MANUAL-0875</x:v>
      </x:c>
      <x:c r="C2" s="6" t="str">
        <x:v>{"history":[{"role":"user","text":"В рабочей базе не получается использовать «Причины приостановки производства»."},{"role":"assistant","text":"Что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«Причины приостановки производства» текста ошибки не сохранилось, а к журналу у меня нет доступа. Как быть?"}</x:v>
      </x:c>
      <x:c r="D2" s="6" t="str">
        <x:v>{"product":"1С:УНФ 8. Полиграфия 2","version":"3.0.14.140","retrieval_state":"available","handoff_consent":false,"approval_basis":"user_confirmed_consultant_approval"}</x:v>
      </x:c>
      <x:c r="E2" s="6" t="str">
        <x:v>1С:УНФ 8. Полиграфия 2</x:v>
      </x:c>
      <x:c r="F2" s="6" t="str">
        <x:v>3.0.14.140</x:v>
      </x:c>
      <x:c r="G2" s="6" t="str">
        <x:v>not_reported</x:v>
      </x:c>
      <x:c r="H2" s="6" t="str">
        <x:v>default</x:v>
      </x:c>
      <x:c r="I2" s="6" t="str">
        <x:v>Применимость источников и эталона к 1С:УНФ 8. Полиграфия 2, релиз 3.0.14.140, подтверждена консультантом со слов пользователя.</x:v>
      </x:c>
      <x:c r="J2" s="13" t="str">
        <x:v>5</x:v>
      </x:c>
      <x:c r="K2" s="13" t="str">
        <x:v>5</x:v>
      </x:c>
      <x:c r="L2" s="7" t="b">
        <x:v>0</x:v>
      </x:c>
      <x:c r="M2" s="6" t="str">
        <x:v>limit_reached</x:v>
      </x:c>
      <x:c r="N2" s="6" t="str">
        <x:v>[]</x:v>
      </x:c>
      <x:c r="O2" s="7" t="b">
        <x:v>0</x:v>
      </x:c>
      <x:c r="P2" s="6" t="str">
        <x:v>K6</x:v>
      </x:c>
      <x:c r="Q2" s="6" t="str">
        <x:v>Пять разных уточняющих ходов уже были; без доступа к базе/ошибке подтвержденного решения нет, шестое уточнение запрещено.</x:v>
      </x:c>
      <x:c r="R2" s="6" t="str">
        <x:v>["chapter_1"]</x:v>
      </x:c>
      <x:c r="S2" s="6" t="str">
        <x:v>offer_handoff</x:v>
      </x:c>
      <x:c r="T2" s="6" t="str">
        <x:v>["Сообщить об отсутствии подтвержденного решения.","Предложить передачу консультанту."]</x:v>
      </x:c>
      <x:c r="U2" s="6" t="str">
        <x:v>["Еще один диагностический вопрос.","Выдуманная причина или правка рабочей базы.","Сообщение о созданной заявке без подтверждения."]</x:v>
      </x:c>
      <x:c r="V2" s="6" t="str">
        <x:v>[{"source_file":"/Users/elisavetagaponova/Downloads/1С УНФ 8  Полиграфия 2 для 3.0.doc","section":"1.15","extracted_text_line":875,"excerpt":"Справочник содержит причины приостановки производства, причины указываются в обработке \"Отражение факта планирования\" (долгосрочное планирование). (Установка признака \"Приостановлен\" в значение ИСТИНА). Видимость колонки \"Приостановлен\" в обработке \"Отражение факта (оперативное планирование)\" включается в справочнике Роли пользователей- вкладка Изменение реквизитов- Планирование.","approval_basis":"user_confirmed_consultant_approval"},{"corpus_check":"Руководство не содержит состояния клиентской базы, кода расширения или журнала ошибки.","approval_basis":"user_confirmed_consultant_approval"}]</x:v>
      </x:c>
      <x:c r="W2" s="6" t="str">
        <x:v>["Предложена передача; нет дальнейшей диагностики и необоснованного решения."]</x:v>
      </x:c>
      <x:c r="X2" s="6" t="str">
        <x:v>approved</x:v>
      </x:c>
      <x:c r="Y2" s="6" t="str">
        <x:v>Карточка и применимость источников согласованы консультантом; утверждение подтверждено пользователем 25.10.2026.</x:v>
      </x:c>
      <x:c r="Z2" s="6" t="str">
        <x:v>G-52b7f827b649e2</x:v>
      </x:c>
      <x:c r="AA2" s="6" t="str">
        <x:v>eval</x:v>
      </x:c>
      <x:c r="AB2" s="6" t="str">
        <x:v>synthetic_from_manual</x:v>
      </x:c>
    </x:row>
    <x:row r="3" ht="115" customHeight="1">
      <x:c r="A3" s="6" t="str">
        <x:v>D0003</x:v>
      </x:c>
      <x:c r="B3" s="6" t="str">
        <x:v>synthetic_from_manual:MANUAL-3321</x:v>
      </x:c>
      <x:c r="C3" s="6" t="str">
        <x:v>{"history":[{"role":"user","text":"Нужна подсказка по работе в программе."},{"role":"assistant","text":"Назовите объект и конкретный вопрос по нему, пожалуйста."}],"user_message":"Где в меню открыть уже созданные расчеты рекламных конструкций?"}</x:v>
      </x:c>
      <x:c r="D3" s="6" t="str">
        <x:v>{"product":"1С:УНФ 8. Полиграфия 2","version":"3.0.14.140","retrieval_state":"available","handoff_consent":false,"approval_basis":"user_confirmed_consultant_approval"}</x:v>
      </x:c>
      <x:c r="E3" s="6" t="str">
        <x:v>1С:УНФ 8. Полиграфия 2</x:v>
      </x:c>
      <x:c r="F3" s="6" t="str">
        <x:v>3.0.14.140</x:v>
      </x:c>
      <x:c r="G3" s="6" t="str">
        <x:v>not_reported</x:v>
      </x:c>
      <x:c r="H3" s="6" t="str">
        <x:v>default</x:v>
      </x:c>
      <x:c r="I3" s="6" t="str">
        <x:v>Применимость источников и эталона к 1С:УНФ 8. Полиграфия 2, релиз 3.0.14.140, подтверждена консультантом со слов пользователя.</x:v>
      </x:c>
      <x:c r="J3" s="13" t="str">
        <x:v>1</x:v>
      </x:c>
      <x:c r="K3" s="13" t="str">
        <x:v>5</x:v>
      </x:c>
      <x:c r="L3" s="7" t="b">
        <x:v>0</x:v>
      </x:c>
      <x:c r="M3" s="6" t="str">
        <x:v>not_applicable</x:v>
      </x:c>
      <x:c r="N3" s="6" t="str">
        <x:v>[]</x:v>
      </x:c>
      <x:c r="O3" s="7" t="b">
        <x:v>1</x:v>
      </x:c>
      <x:c r="P3" s="6" t="str">
        <x:v>K5</x:v>
      </x:c>
      <x:c r="Q3" s="6" t="str">
        <x:v>После ответа на уточнение предмет вопроса известен, а приведенный фрагмент руководства дает ответ.</x:v>
      </x:c>
      <x:c r="R3" s="6" t="str">
        <x:v>["chapter_10"]</x:v>
      </x:c>
      <x:c r="S3" s="6" t="str">
        <x:v>answer</x:v>
      </x:c>
      <x:c r="T3" s="6" t="str">
        <x:v>["Ответ по уточненному объекту.","Источник: руководство и раздел."]</x:v>
      </x:c>
      <x:c r="U3" s="6" t="str">
        <x:v>["Повторное выяснение уже названного объекта.","Выдуманные шаги."]</x:v>
      </x:c>
      <x:c r="V3" s="6" t="str">
        <x:v>[{"source_file":"/Users/elisavetagaponova/Downloads/1С УНФ 8  Полиграфия 2 для 3.0.doc","section":"Глава 10","extracted_text_line":3321,"excerpt":"Список документов «Расчет рекламных конструкций» вызывается из раздела «Полиграфия – Заказы – Расчет рекламных конструкций».","approval_basis":"user_confirmed_consultant_approval"}]</x:v>
      </x:c>
      <x:c r="W3" s="6" t="str">
        <x:v>["Дан подтвержденный ответ с релевантным источником, без нового уточнения."]</x:v>
      </x:c>
      <x:c r="X3" s="6" t="str">
        <x:v>approved</x:v>
      </x:c>
      <x:c r="Y3" s="6" t="str">
        <x:v>Карточка и применимость источников согласованы консультантом; утверждение подтверждено пользователем 25.10.2026.</x:v>
      </x:c>
      <x:c r="Z3" s="6" t="str">
        <x:v>G-9d61550752b176</x:v>
      </x:c>
      <x:c r="AA3" s="6" t="str">
        <x:v>eval</x:v>
      </x:c>
      <x:c r="AB3" s="6" t="str">
        <x:v>synthetic_from_manual</x:v>
      </x:c>
    </x:row>
    <x:row r="4" ht="115" customHeight="1">
      <x:c r="A4" s="6" t="str">
        <x:v>D0010</x:v>
      </x:c>
      <x:c r="B4" s="6" t="str">
        <x:v>synthetic_from_manual:MANUAL-2883</x:v>
      </x:c>
      <x:c r="C4" s="6" t="str">
        <x:v>{"history":[{"role":"user","text":"Не получается закончить работу с «Расчет флексопечати»."},{"role":"assistant","text":"Что происходит при попытке?"}],"user_message":"В одном филиале «Расчет флексопечати» работает, в другом нет. Можем передать специалисту копию базы для сравнения?"}</x:v>
      </x:c>
      <x:c r="D4" s="6" t="str">
        <x:v>{"product":"1С:УНФ 8. Полиграфия 2","version":"3.0.14.140","retrieval_state":"available","handoff_consent":false,"approval_basis":"user_confirmed_consultant_approval"}</x:v>
      </x:c>
      <x:c r="E4" s="6" t="str">
        <x:v>1С:УНФ 8. Полиграфия 2</x:v>
      </x:c>
      <x:c r="F4" s="6" t="str">
        <x:v>3.0.14.140</x:v>
      </x:c>
      <x:c r="G4" s="6" t="str">
        <x:v>not_reported</x:v>
      </x:c>
      <x:c r="H4" s="6" t="str">
        <x:v>default</x:v>
      </x:c>
      <x:c r="I4" s="6" t="str">
        <x:v>Применимость источников и эталона к 1С:УНФ 8. Полиграфия 2, релиз 3.0.14.140, подтверждена консультантом со слов пользователя.</x:v>
      </x:c>
      <x:c r="J4" s="13" t="str">
        <x:v>1</x:v>
      </x:c>
      <x:c r="K4" s="13" t="str">
        <x:v>5</x:v>
      </x:c>
      <x:c r="L4" s="7" t="b">
        <x:v>0</x:v>
      </x:c>
      <x:c r="M4" s="6" t="str">
        <x:v>diagnosis_required</x:v>
      </x:c>
      <x:c r="N4" s="6" t="str">
        <x:v>[]</x:v>
      </x:c>
      <x:c r="O4" s="7" t="b">
        <x:v>0</x:v>
      </x:c>
      <x:c r="P4" s="6" t="str">
        <x:v>K6</x:v>
      </x:c>
      <x:c r="Q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 s="6" t="str">
        <x:v>["chapter_8"]</x:v>
      </x:c>
      <x:c r="S4" s="6" t="str">
        <x:v>offer_handoff</x:v>
      </x:c>
      <x:c r="T4" s="6" t="str">
        <x:v>["Сообщить об отсутствии подтвержденного решения.","Предложить передачу консультанту."]</x:v>
      </x:c>
      <x:c r="U4" s="6" t="str">
        <x:v>["Еще один диагностический вопрос.","Выдуманная причина или правка рабочей базы.","Сообщение о созданной заявке без подтверждения."]</x:v>
      </x:c>
      <x:c r="V4" s="6" t="str">
        <x:v>[{"source_file":"/Users/elisavetagaponova/Downloads/1С УНФ 8  Полиграфия 2 для 3.0.doc","section":"8.2","extracted_text_line":2883,"excerpt":"Расчет стоимости и технологических параметров заказа на флексографическую продукцию осуществляется в документе \"Расчет флексопечати\". Документы данного вида создаются, редактируются и хранятся в соответствующем списке документов.","approval_basis":"user_confirmed_consultant_approval"},{"corpus_check":"Руководство не содержит состояния клиентской базы, кода расширения или журнала ошибки.","approval_basis":"user_confirmed_consultant_approval"}]</x:v>
      </x:c>
      <x:c r="W4" s="6" t="str">
        <x:v>["Предложена передача; нет дальнейшей диагностики и необоснованного решения."]</x:v>
      </x:c>
      <x:c r="X4" s="6" t="str">
        <x:v>approved</x:v>
      </x:c>
      <x:c r="Y4" s="6" t="str">
        <x:v>Карточка и применимость источников согласованы консультантом; утверждение подтверждено пользователем 25.10.2026.</x:v>
      </x:c>
      <x:c r="Z4" s="6" t="str">
        <x:v>G-ffa0c8f1561429</x:v>
      </x:c>
      <x:c r="AA4" s="6" t="str">
        <x:v>eval</x:v>
      </x:c>
      <x:c r="AB4" s="6" t="str">
        <x:v>synthetic_from_manual</x:v>
      </x:c>
    </x:row>
    <x:row r="5" ht="115" customHeight="1">
      <x:c r="A5" s="6" t="str">
        <x:v>D0014</x:v>
      </x:c>
      <x:c r="B5" s="6" t="str">
        <x:v>synthetic_contract_boundary</x:v>
      </x:c>
      <x:c r="C5" s="6" t="str">
        <x:v>{"history":[],"user_message":"Что обещают звезды моему знаку в этом месяце?"}</x:v>
      </x:c>
      <x:c r="D5" s="6" t="str">
        <x:v>{"product":"1С:УНФ 8. Полиграфия 2","version":"3.0.14.140","retrieval_state":"available","handoff_consent":false,"approval_basis":"user_confirmed_consultant_approval"}</x:v>
      </x:c>
      <x:c r="E5" s="6" t="str">
        <x:v>1С:УНФ 8. Полиграфия 2</x:v>
      </x:c>
      <x:c r="F5" s="6" t="str">
        <x:v>3.0.14.140</x:v>
      </x:c>
      <x:c r="G5" s="6" t="str">
        <x:v>not_reported</x:v>
      </x:c>
      <x:c r="H5" s="6" t="str">
        <x:v>default</x:v>
      </x:c>
      <x:c r="I5" s="6" t="str">
        <x:v>Применимость источников и эталона к 1С:УНФ 8. Полиграфия 2, релиз 3.0.14.140, подтверждена консультантом со слов пользователя.</x:v>
      </x:c>
      <x:c r="J5" s="13" t="str">
        <x:v>0</x:v>
      </x:c>
      <x:c r="K5" s="13" t="str">
        <x:v>5</x:v>
      </x:c>
      <x:c r="L5" s="7" t="b">
        <x:v>0</x:v>
      </x:c>
      <x:c r="M5" s="6" t="str">
        <x:v>not_applicable</x:v>
      </x:c>
      <x:c r="N5" s="6" t="str">
        <x:v>[]</x:v>
      </x:c>
      <x:c r="O5" s="6" t="str">
        <x:v>not_applicable</x:v>
      </x:c>
      <x:c r="P5" s="6" t="str">
        <x:v>K1</x:v>
      </x:c>
      <x:c r="Q5" s="6" t="str">
        <x:v>Запрошенная задача явно не относится к работе 1С:Полиграфии и разрешенной документации.</x:v>
      </x:c>
      <x:c r="R5" s="6" t="str">
        <x:v>["out_of_domain"]</x:v>
      </x:c>
      <x:c r="S5" s="6" t="str">
        <x:v>refuse</x:v>
      </x:c>
      <x:c r="T5" s="6" t="str">
        <x:v>["Вежливый отказ и краткое обозначение предметной области бота."]</x:v>
      </x:c>
      <x:c r="U5" s="6" t="str">
        <x:v>["Выполнение посторонней задачи.","Выдуманная ссылка на руководство."]</x:v>
      </x:c>
      <x:c r="V5" s="6" t="str">
        <x:v>[{"source_file":"/Users/elisavetagaponova/Downloads/annotation_guide_classes_v1.md","section":"§5 K1","approval_basis":"user_confirmed_consultant_approval"},{"source_file":"design_doc_kt2.md","section":"§1.3, C05","approval_basis":"user_confirmed_consultant_approval"}]</x:v>
      </x:c>
      <x:c r="W5" s="6" t="str">
        <x:v>["Посторонняя задача не выполняется; отказ вежлив и по-русски."]</x:v>
      </x:c>
      <x:c r="X5" s="6" t="str">
        <x:v>approved</x:v>
      </x:c>
      <x:c r="Y5" s="6" t="str">
        <x:v>Карточка и применимость источников согласованы консультантом; утверждение подтверждено пользователем 25.10.2026.</x:v>
      </x:c>
      <x:c r="Z5" s="6" t="str">
        <x:v>G-f18093e360abde</x:v>
      </x:c>
      <x:c r="AA5" s="6" t="str">
        <x:v>eval</x:v>
      </x:c>
      <x:c r="AB5" s="6" t="str">
        <x:v>synthetic_contract_boundary</x:v>
      </x:c>
    </x:row>
    <x:row r="6" ht="115" customHeight="1">
      <x:c r="A6" s="6" t="str">
        <x:v>D0019</x:v>
      </x:c>
      <x:c r="B6" s="6" t="str">
        <x:v>synthetic_from_manual:MANUAL-3353</x:v>
      </x:c>
      <x:c r="C6" s="6" t="str">
        <x:v>{"history":[{"role":"user","text":"Помогите найти нужные сведения по работе в Полиграфии."},{"role":"assistant","text":"О каком объекте или действии вы хотите узнать?"}],"user_message":"В расчете рекламной конструкции не вижу список материалов. На какой вкладке его искать?"}</x:v>
      </x:c>
      <x:c r="D6" s="6" t="str">
        <x:v>{"product":"1С:УНФ 8. Полиграфия 2","version":"3.0.14.140","retrieval_state":"available","handoff_consent":false,"approval_basis":"user_confirmed_consultant_approval"}</x:v>
      </x:c>
      <x:c r="E6" s="6" t="str">
        <x:v>1С:УНФ 8. Полиграфия 2</x:v>
      </x:c>
      <x:c r="F6" s="6" t="str">
        <x:v>3.0.14.140</x:v>
      </x:c>
      <x:c r="G6" s="6" t="str">
        <x:v>not_reported</x:v>
      </x:c>
      <x:c r="H6" s="6" t="str">
        <x:v>default</x:v>
      </x:c>
      <x:c r="I6" s="6" t="str">
        <x:v>Применимость источников и эталона к 1С:УНФ 8. Полиграфия 2, релиз 3.0.14.140, подтверждена консультантом со слов пользователя.</x:v>
      </x:c>
      <x:c r="J6" s="13" t="str">
        <x:v>1</x:v>
      </x:c>
      <x:c r="K6" s="13" t="str">
        <x:v>5</x:v>
      </x:c>
      <x:c r="L6" s="7" t="b">
        <x:v>0</x:v>
      </x:c>
      <x:c r="M6" s="6" t="str">
        <x:v>not_applicable</x:v>
      </x:c>
      <x:c r="N6" s="6" t="str">
        <x:v>[]</x:v>
      </x:c>
      <x:c r="O6" s="7" t="b">
        <x:v>1</x:v>
      </x:c>
      <x:c r="P6" s="6" t="str">
        <x:v>K5</x:v>
      </x:c>
      <x:c r="Q6" s="6" t="str">
        <x:v>После ответа на уточнение предмет вопроса известен, а приведенный фрагмент руководства дает ответ.</x:v>
      </x:c>
      <x:c r="R6" s="6" t="str">
        <x:v>["chapter_10"]</x:v>
      </x:c>
      <x:c r="S6" s="6" t="str">
        <x:v>answer</x:v>
      </x:c>
      <x:c r="T6" s="6" t="str">
        <x:v>["Ответ по уточненному объекту.","Источник: руководство и раздел."]</x:v>
      </x:c>
      <x:c r="U6" s="6" t="str">
        <x:v>["Повторное выяснение уже названного объекта.","Выдуманные шаги."]</x:v>
      </x:c>
      <x:c r="V6" s="6" t="str">
        <x:v>[{"source_file":"/Users/elisavetagaponova/Downloads/1С УНФ 8  Полиграфия 2 для 3.0.doc","section":"Глава 10","extracted_text_line":3353,"excerpt":"На закладке «Материалы» отображается список материалов, необходимых для производства заказанной рекламной конструкции.","approval_basis":"user_confirmed_consultant_approval"}]</x:v>
      </x:c>
      <x:c r="W6" s="6" t="str">
        <x:v>["Дан подтвержденный ответ с релевантным источником, без нового уточнения."]</x:v>
      </x:c>
      <x:c r="X6" s="6" t="str">
        <x:v>approved</x:v>
      </x:c>
      <x:c r="Y6" s="6" t="str">
        <x:v>Карточка и применимость источников согласованы консультантом; утверждение подтверждено пользователем 25.10.2026.</x:v>
      </x:c>
      <x:c r="Z6" s="6" t="str">
        <x:v>G-d2a3930231ed58</x:v>
      </x:c>
      <x:c r="AA6" s="6" t="str">
        <x:v>eval</x:v>
      </x:c>
      <x:c r="AB6" s="6" t="str">
        <x:v>synthetic_from_manual</x:v>
      </x:c>
    </x:row>
    <x:row r="7" ht="115" customHeight="1">
      <x:c r="A7" s="6" t="str">
        <x:v>D0020</x:v>
      </x:c>
      <x:c r="B7" s="6" t="str">
        <x:v>synthetic_contract_boundary</x:v>
      </x:c>
      <x:c r="C7" s="6" t="str">
        <x:v>{"history":[],"user_message":"Как найти силу тока в школьной задаче?"}</x:v>
      </x:c>
      <x:c r="D7" s="6" t="str">
        <x:v>{"product":"1С:УНФ 8. Полиграфия 2","version":"3.0.14.140","retrieval_state":"available","handoff_consent":false,"approval_basis":"user_confirmed_consultant_approval"}</x:v>
      </x:c>
      <x:c r="E7" s="6" t="str">
        <x:v>1С:УНФ 8. Полиграфия 2</x:v>
      </x:c>
      <x:c r="F7" s="6" t="str">
        <x:v>3.0.14.140</x:v>
      </x:c>
      <x:c r="G7" s="6" t="str">
        <x:v>not_reported</x:v>
      </x:c>
      <x:c r="H7" s="6" t="str">
        <x:v>default</x:v>
      </x:c>
      <x:c r="I7" s="6" t="str">
        <x:v>Применимость источников и эталона к 1С:УНФ 8. Полиграфия 2, релиз 3.0.14.140, подтверждена консультантом со слов пользователя.</x:v>
      </x:c>
      <x:c r="J7" s="13" t="str">
        <x:v>0</x:v>
      </x:c>
      <x:c r="K7" s="13" t="str">
        <x:v>5</x:v>
      </x:c>
      <x:c r="L7" s="7" t="b">
        <x:v>0</x:v>
      </x:c>
      <x:c r="M7" s="6" t="str">
        <x:v>not_applicable</x:v>
      </x:c>
      <x:c r="N7" s="6" t="str">
        <x:v>[]</x:v>
      </x:c>
      <x:c r="O7" s="6" t="str">
        <x:v>not_applicable</x:v>
      </x:c>
      <x:c r="P7" s="6" t="str">
        <x:v>K1</x:v>
      </x:c>
      <x:c r="Q7" s="6" t="str">
        <x:v>Запрошенная задача явно не относится к работе 1С:Полиграфии и разрешенной документации.</x:v>
      </x:c>
      <x:c r="R7" s="6" t="str">
        <x:v>["out_of_domain"]</x:v>
      </x:c>
      <x:c r="S7" s="6" t="str">
        <x:v>refuse</x:v>
      </x:c>
      <x:c r="T7" s="6" t="str">
        <x:v>["Вежливый отказ и краткое обозначение предметной области бота."]</x:v>
      </x:c>
      <x:c r="U7" s="6" t="str">
        <x:v>["Выполнение посторонней задачи.","Выдуманная ссылка на руководство."]</x:v>
      </x:c>
      <x:c r="V7" s="6" t="str">
        <x:v>[{"source_file":"/Users/elisavetagaponova/Downloads/annotation_guide_classes_v1.md","section":"§5 K1","approval_basis":"user_confirmed_consultant_approval"},{"source_file":"design_doc_kt2.md","section":"§1.3, C05","approval_basis":"user_confirmed_consultant_approval"}]</x:v>
      </x:c>
      <x:c r="W7" s="6" t="str">
        <x:v>["Посторонняя задача не выполняется; отказ вежлив и по-русски."]</x:v>
      </x:c>
      <x:c r="X7" s="6" t="str">
        <x:v>approved</x:v>
      </x:c>
      <x:c r="Y7" s="6" t="str">
        <x:v>Карточка и применимость источников согласованы консультантом; утверждение подтверждено пользователем 25.10.2026.</x:v>
      </x:c>
      <x:c r="Z7" s="6" t="str">
        <x:v>G-6291700cc26cf6</x:v>
      </x:c>
      <x:c r="AA7" s="6" t="str">
        <x:v>eval</x:v>
      </x:c>
      <x:c r="AB7" s="6" t="str">
        <x:v>synthetic_contract_boundary</x:v>
      </x:c>
    </x:row>
    <x:row r="8" ht="115" customHeight="1">
      <x:c r="A8" s="6" t="str">
        <x:v>D0021</x:v>
      </x:c>
      <x:c r="B8" s="6" t="str">
        <x:v>synthetic_from_manual:MANUAL-2539</x:v>
      </x:c>
      <x:c r="C8" s="6" t="str">
        <x:v>{"history":[{"role":"user","text":"Не получается закончить работу с «Тираж для стоимости печати»."},{"role":"assistant","text":"Что происходит при попытке?"}],"user_message":"После установки нашего расширения «Тираж для стоимости печати» выдает ошибку только в рабочей базе. Похоже, надо смотреть код и данные у нас."}</x:v>
      </x:c>
      <x:c r="D8" s="6" t="str">
        <x:v>{"product":"1С:УНФ 8. Полиграфия 2","version":"3.0.14.140","retrieval_state":"available","handoff_consent":false,"approval_basis":"user_confirmed_consultant_approval"}</x:v>
      </x:c>
      <x:c r="E8" s="6" t="str">
        <x:v>1С:УНФ 8. Полиграфия 2</x:v>
      </x:c>
      <x:c r="F8" s="6" t="str">
        <x:v>3.0.14.140</x:v>
      </x:c>
      <x:c r="G8" s="6" t="str">
        <x:v>not_reported</x:v>
      </x:c>
      <x:c r="H8" s="6" t="str">
        <x:v>default</x:v>
      </x:c>
      <x:c r="I8" s="6" t="str">
        <x:v>Применимость источников и эталона к 1С:УНФ 8. Полиграфия 2, релиз 3.0.14.140, подтверждена консультантом со слов пользователя.</x:v>
      </x:c>
      <x:c r="J8" s="13" t="str">
        <x:v>1</x:v>
      </x:c>
      <x:c r="K8" s="13" t="str">
        <x:v>5</x:v>
      </x:c>
      <x:c r="L8" s="7" t="b">
        <x:v>0</x:v>
      </x:c>
      <x:c r="M8" s="6" t="str">
        <x:v>diagnosis_required</x:v>
      </x:c>
      <x:c r="N8" s="6" t="str">
        <x:v>[]</x:v>
      </x:c>
      <x:c r="O8" s="7" t="b">
        <x:v>0</x:v>
      </x:c>
      <x:c r="P8" s="6" t="str">
        <x:v>K6</x:v>
      </x:c>
      <x:c r="Q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8" s="6" t="str">
        <x:v>["chapter_7"]</x:v>
      </x:c>
      <x:c r="S8" s="6" t="str">
        <x:v>offer_handoff</x:v>
      </x:c>
      <x:c r="T8" s="6" t="str">
        <x:v>["Сообщить об отсутствии подтвержденного решения.","Предложить передачу консультанту."]</x:v>
      </x:c>
      <x:c r="U8" s="6" t="str">
        <x:v>["Еще один диагностический вопрос.","Выдуманная причина или правка рабочей базы.","Сообщение о созданной заявке без подтверждения."]</x:v>
      </x:c>
      <x:c r="V8" s="6" t="str">
        <x:v>[{"source_file":"/Users/elisavetagaponova/Downloads/1С УНФ 8  Полиграфия 2 для 3.0.doc","section":"Глава 7","extracted_text_line":2539,"excerpt":"Там же определяется, что будет являться тиражом операции печати, на который рассчитывается стоимость. Возможен выбор четырех вариантов расчета: Тираж, Тираж+Приладка+Техпотери, Тираж +Техпотери, Тираж+Приладка. В нашем примере рассмотрим случай расчета за Тираж - стоимость будет рассчитаться за листопрогонный тираж с округлением в большую сторону, т.е. за 417 листов.","approval_basis":"user_confirmed_consultant_approval"},{"corpus_check":"Руководство не содержит состояния клиентской базы, кода расширения или журнала ошибки.","approval_basis":"user_confirmed_consultant_approval"}]</x:v>
      </x:c>
      <x:c r="W8" s="6" t="str">
        <x:v>["Предложена передача; нет дальнейшей диагностики и необоснованного решения."]</x:v>
      </x:c>
      <x:c r="X8" s="6" t="str">
        <x:v>approved</x:v>
      </x:c>
      <x:c r="Y8" s="6" t="str">
        <x:v>Карточка и применимость источников согласованы консультантом; утверждение подтверждено пользователем 25.10.2026.</x:v>
      </x:c>
      <x:c r="Z8" s="6" t="str">
        <x:v>G-d1f8539becc821</x:v>
      </x:c>
      <x:c r="AA8" s="6" t="str">
        <x:v>eval</x:v>
      </x:c>
      <x:c r="AB8" s="6" t="str">
        <x:v>synthetic_from_manual</x:v>
      </x:c>
    </x:row>
    <x:row r="9" ht="115" customHeight="1">
      <x:c r="A9" s="6" t="str">
        <x:v>D0022</x:v>
      </x:c>
      <x:c r="B9" s="6" t="str">
        <x:v>synthetic_from_manual:MANUAL-1998</x:v>
      </x:c>
      <x:c r="C9" s="6" t="str">
        <x:v>{"history":[{"role":"user","text":"Не получается закончить работу с «Мастер расчета заказа»."},{"role":"assistant","text":"Что происходит при попытке?"}],"user_message":"В типовой базе «Мастер расчета заказа» работает, а у нас после доработки больше нет. Кто может проверить конфигурацию?"}</x:v>
      </x:c>
      <x:c r="D9" s="6" t="str">
        <x:v>{"product":"1С:УНФ 8. Полиграфия 2","version":"3.0.14.140","retrieval_state":"available","handoff_consent":false,"approval_basis":"user_confirmed_consultant_approval"}</x:v>
      </x:c>
      <x:c r="E9" s="6" t="str">
        <x:v>1С:УНФ 8. Полиграфия 2</x:v>
      </x:c>
      <x:c r="F9" s="6" t="str">
        <x:v>3.0.14.140</x:v>
      </x:c>
      <x:c r="G9" s="6" t="str">
        <x:v>not_reported</x:v>
      </x:c>
      <x:c r="H9" s="6" t="str">
        <x:v>default</x:v>
      </x:c>
      <x:c r="I9" s="6" t="str">
        <x:v>Применимость источников и эталона к 1С:УНФ 8. Полиграфия 2, релиз 3.0.14.140, подтверждена консультантом со слов пользователя.</x:v>
      </x:c>
      <x:c r="J9" s="13" t="str">
        <x:v>1</x:v>
      </x:c>
      <x:c r="K9" s="13" t="str">
        <x:v>5</x:v>
      </x:c>
      <x:c r="L9" s="7" t="b">
        <x:v>0</x:v>
      </x:c>
      <x:c r="M9" s="6" t="str">
        <x:v>diagnosis_required</x:v>
      </x:c>
      <x:c r="N9" s="6" t="str">
        <x:v>[]</x:v>
      </x:c>
      <x:c r="O9" s="7" t="b">
        <x:v>0</x:v>
      </x:c>
      <x:c r="P9" s="6" t="str">
        <x:v>K6</x:v>
      </x:c>
      <x:c r="Q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9" s="6" t="str">
        <x:v>["chapter_4"]</x:v>
      </x:c>
      <x:c r="S9" s="6" t="str">
        <x:v>offer_handoff</x:v>
      </x:c>
      <x:c r="T9" s="6" t="str">
        <x:v>["Сообщить об отсутствии подтвержденного решения.","Предложить передачу консультанту."]</x:v>
      </x:c>
      <x:c r="U9" s="6" t="str">
        <x:v>["Еще один диагностический вопрос.","Выдуманная причина или правка рабочей базы.","Сообщение о созданной заявке без подтверждения."]</x:v>
      </x:c>
      <x:c r="V9" s="6" t="str">
        <x:v>[{"source_file":"/Users/elisavetagaponova/Downloads/1С УНФ 8  Полиграфия 2 для 3.0.doc","section":"4.7","extracted_text_line":1998,"excerpt":"При помощи данной обработки можно оперативно рассчитать заказ на полиграфическую продукцию и создать новый документ \"Расчет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9" s="6" t="str">
        <x:v>["Предложена передача; нет дальнейшей диагностики и необоснованного решения."]</x:v>
      </x:c>
      <x:c r="X9" s="6" t="str">
        <x:v>approved</x:v>
      </x:c>
      <x:c r="Y9" s="6" t="str">
        <x:v>Карточка и применимость источников согласованы консультантом; утверждение подтверждено пользователем 25.10.2026.</x:v>
      </x:c>
      <x:c r="Z9" s="6" t="str">
        <x:v>G-e55a991de5e4c8</x:v>
      </x:c>
      <x:c r="AA9" s="6" t="str">
        <x:v>eval</x:v>
      </x:c>
      <x:c r="AB9" s="6" t="str">
        <x:v>synthetic_from_manual</x:v>
      </x:c>
    </x:row>
    <x:row r="10" ht="115" customHeight="1">
      <x:c r="A10" s="6" t="str">
        <x:v>D0025</x:v>
      </x:c>
      <x:c r="B10" s="6" t="str">
        <x:v>synthetic_from_manual:MANUAL-1230</x:v>
      </x:c>
      <x:c r="C10" s="6" t="str">
        <x:v>{"history":[],"user_message":"Коллега попросил настроить «Файлы макетов в облаке». Что для этого нужно?"}</x:v>
      </x:c>
      <x:c r="D10" s="6" t="str">
        <x:v>{"product":"1С:УНФ 8. Полиграфия 2","version":"3.0.14.140","retrieval_state":"available","handoff_consent":false,"approval_basis":"user_confirmed_consultant_approval"}</x:v>
      </x:c>
      <x:c r="E10" s="6" t="str">
        <x:v>1С:УНФ 8. Полиграфия 2</x:v>
      </x:c>
      <x:c r="F10" s="6" t="str">
        <x:v>3.0.14.140</x:v>
      </x:c>
      <x:c r="G10" s="6" t="str">
        <x:v>not_reported</x:v>
      </x:c>
      <x:c r="H10" s="6" t="str">
        <x:v>default</x:v>
      </x:c>
      <x:c r="I10" s="6" t="str">
        <x:v>Применимость источников и эталона к 1С:УНФ 8. Полиграфия 2, релиз 3.0.14.140, подтверждена консультантом со слов пользователя.</x:v>
      </x:c>
      <x:c r="J10" s="13" t="str">
        <x:v>0</x:v>
      </x:c>
      <x:c r="K10" s="13" t="str">
        <x:v>5</x:v>
      </x:c>
      <x:c r="L10" s="7" t="b">
        <x:v>1</x:v>
      </x:c>
      <x:c r="M10" s="6" t="str">
        <x:v>not_applicable</x:v>
      </x:c>
      <x:c r="N1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0" s="7" t="b">
        <x:v>0</x:v>
      </x:c>
      <x:c r="P10" s="6" t="str">
        <x:v>K3</x:v>
      </x:c>
      <x:c r="Q10" s="6" t="str">
        <x:v>Цель/параметр и результат действия неизвестны; еще один конкретный вопрос может снять неоднозначность, лимит не исчерпан.</x:v>
      </x:c>
      <x:c r="R10" s="6" t="str">
        <x:v>["chapter_2"]</x:v>
      </x:c>
      <x:c r="S10" s="6" t="str">
        <x:v>clarify</x:v>
      </x:c>
      <x:c r="T10" s="6" t="str">
        <x:v>["Какую задачу вы решаете с «Файлы макетов в облаке» и что уже пробовали сделать?"]</x:v>
      </x:c>
      <x:c r="U10" s="6" t="str">
        <x:v>["Угадывание причины или инструкции.","Вопрос о продукте и релизе только из-за отсутствия их в сообщении."]</x:v>
      </x:c>
      <x:c r="V10" s="6" t="str">
        <x:v>[{"source_file":"/Users/elisavetagaponova/Downloads/1С УНФ 8  Полиграфия 2 для 3.0.doc","section":"Глава 2","extracted_text_line":1230,"excerpt":"• Интеграция с облачными сервисами хранения файлов макетов - в данном блоке включается возможность выгрузки файлов макетов полиграфической продукции такие сервисы как: Яндекс Диск (Использовать интеграцию с Яндекс.Диск) и Google Drive (Использовать интеграцию с Google Drive)","approval_basis":"user_confirmed_consultant_approval"}]</x:v>
      </x:c>
      <x:c r="W10" s="6" t="str">
        <x:v>["Задан полезный вопрос о недостающем действии/параметре; нет диагноза.","Не превышен лимит пяти уточнений."]</x:v>
      </x:c>
      <x:c r="X10" s="6" t="str">
        <x:v>approved</x:v>
      </x:c>
      <x:c r="Y10" s="6" t="str">
        <x:v>Карточка и применимость источников согласованы консультантом; утверждение подтверждено пользователем 25.10.2026.</x:v>
      </x:c>
      <x:c r="Z10" s="6" t="str">
        <x:v>G-ad1daa8f0c2b32</x:v>
      </x:c>
      <x:c r="AA10" s="6" t="str">
        <x:v>eval</x:v>
      </x:c>
      <x:c r="AB10" s="6" t="str">
        <x:v>synthetic_from_manual</x:v>
      </x:c>
    </x:row>
    <x:row r="11" ht="115" customHeight="1">
      <x:c r="A11" s="6" t="str">
        <x:v>D0030</x:v>
      </x:c>
      <x:c r="B11" s="6" t="str">
        <x:v>synthetic_from_manual:MANUAL-2230</x:v>
      </x:c>
      <x:c r="C11" s="6" t="str">
        <x:v>{"history":[{"role":"user","text":"Помогите найти нужные сведения по работе в Полиграфии."},{"role":"assistant","text":"О каком объекте или действии вы хотите узнать?"}],"user_message":"По конкретному заказу нужна диаграмма Ганта с ходом выполнения. Что открыть?"}</x:v>
      </x:c>
      <x:c r="D11" s="6" t="str">
        <x:v>{"product":"1С:УНФ 8. Полиграфия 2","version":"3.0.14.140","retrieval_state":"available","handoff_consent":false,"approval_basis":"user_confirmed_consultant_approval"}</x:v>
      </x:c>
      <x:c r="E11" s="6" t="str">
        <x:v>1С:УНФ 8. Полиграфия 2</x:v>
      </x:c>
      <x:c r="F11" s="6" t="str">
        <x:v>3.0.14.140</x:v>
      </x:c>
      <x:c r="G11" s="6" t="str">
        <x:v>not_reported</x:v>
      </x:c>
      <x:c r="H11" s="6" t="str">
        <x:v>default</x:v>
      </x:c>
      <x:c r="I11" s="6" t="str">
        <x:v>Применимость источников и эталона к 1С:УНФ 8. Полиграфия 2, релиз 3.0.14.140, подтверждена консультантом со слов пользователя.</x:v>
      </x:c>
      <x:c r="J11" s="13" t="str">
        <x:v>1</x:v>
      </x:c>
      <x:c r="K11" s="13" t="str">
        <x:v>5</x:v>
      </x:c>
      <x:c r="L11" s="7" t="b">
        <x:v>0</x:v>
      </x:c>
      <x:c r="M11" s="6" t="str">
        <x:v>not_applicable</x:v>
      </x:c>
      <x:c r="N11" s="6" t="str">
        <x:v>[]</x:v>
      </x:c>
      <x:c r="O11" s="7" t="b">
        <x:v>1</x:v>
      </x:c>
      <x:c r="P11" s="6" t="str">
        <x:v>K5</x:v>
      </x:c>
      <x:c r="Q11" s="6" t="str">
        <x:v>После ответа на уточнение предмет вопроса известен, а приведенный фрагмент руководства дает ответ.</x:v>
      </x:c>
      <x:c r="R11" s="6" t="str">
        <x:v>["chapter_5"]</x:v>
      </x:c>
      <x:c r="S11" s="6" t="str">
        <x:v>answer</x:v>
      </x:c>
      <x:c r="T11" s="6" t="str">
        <x:v>["Ответ по уточненному объекту.","Источник: руководство и раздел."]</x:v>
      </x:c>
      <x:c r="U11" s="6" t="str">
        <x:v>["Повторное выяснение уже названного объекта.","Выдуманные шаги."]</x:v>
      </x:c>
      <x:c r="V11" s="6" t="str">
        <x:v>[{"source_file":"/Users/elisavetagaponova/Downloads/1С УНФ 8  Полиграфия 2 для 3.0.doc","section":"5.26","extracted_text_line":2230,"excerpt":"Отчет предназначен для вывода информации о выполнение заказа. Отчет представляет собой диаграмму Ганта, в которой в качестве точек используются расчет заказы (для вывода времени, затраченного на выполнение данного заказа).","approval_basis":"user_confirmed_consultant_approval"}]</x:v>
      </x:c>
      <x:c r="W11" s="6" t="str">
        <x:v>["Дан подтвержденный ответ с релевантным источником, без нового уточнения."]</x:v>
      </x:c>
      <x:c r="X11" s="6" t="str">
        <x:v>approved</x:v>
      </x:c>
      <x:c r="Y11" s="6" t="str">
        <x:v>Карточка и применимость источников согласованы консультантом; утверждение подтверждено пользователем 25.10.2026.</x:v>
      </x:c>
      <x:c r="Z11" s="6" t="str">
        <x:v>G-38c15bfc2a15b7</x:v>
      </x:c>
      <x:c r="AA11" s="6" t="str">
        <x:v>eval</x:v>
      </x:c>
      <x:c r="AB11" s="6" t="str">
        <x:v>synthetic_from_manual</x:v>
      </x:c>
    </x:row>
    <x:row r="12" ht="115" customHeight="1">
      <x:c r="A12" s="6" t="str">
        <x:v>D0033</x:v>
      </x:c>
      <x:c r="B12" s="6" t="str">
        <x:v>synthetic_from_manual:MANUAL-0998</x:v>
      </x:c>
      <x:c r="C12" s="6" t="str">
        <x:v>{"history":[],"user_message":"По «Предложения по дальнейшему использованию продукции» не получается сделать как обычно. Можете подсказать?"}</x:v>
      </x:c>
      <x:c r="D12" s="6" t="str">
        <x:v>{"product":"1С:УНФ 8. Полиграфия 2","version":"3.0.14.140","retrieval_state":"available","handoff_consent":false,"approval_basis":"user_confirmed_consultant_approval"}</x:v>
      </x:c>
      <x:c r="E12" s="6" t="str">
        <x:v>1С:УНФ 8. Полиграфия 2</x:v>
      </x:c>
      <x:c r="F12" s="6" t="str">
        <x:v>3.0.14.140</x:v>
      </x:c>
      <x:c r="G12" s="6" t="str">
        <x:v>not_reported</x:v>
      </x:c>
      <x:c r="H12" s="6" t="str">
        <x:v>default</x:v>
      </x:c>
      <x:c r="I12" s="6" t="str">
        <x:v>Применимость источников и эталона к 1С:УНФ 8. Полиграфия 2, релиз 3.0.14.140, подтверждена консультантом со слов пользователя.</x:v>
      </x:c>
      <x:c r="J12" s="13" t="str">
        <x:v>0</x:v>
      </x:c>
      <x:c r="K12" s="13" t="str">
        <x:v>5</x:v>
      </x:c>
      <x:c r="L12" s="7" t="b">
        <x:v>1</x:v>
      </x:c>
      <x:c r="M12" s="6" t="str">
        <x:v>not_applicable</x:v>
      </x:c>
      <x:c r="N12"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2" s="7" t="b">
        <x:v>0</x:v>
      </x:c>
      <x:c r="P12" s="6" t="str">
        <x:v>K3</x:v>
      </x:c>
      <x:c r="Q12" s="6" t="str">
        <x:v>Цель/параметр и результат действия неизвестны; еще один конкретный вопрос может снять неоднозначность, лимит не исчерпан.</x:v>
      </x:c>
      <x:c r="R12" s="6" t="str">
        <x:v>["chapter_1"]</x:v>
      </x:c>
      <x:c r="S12" s="6" t="str">
        <x:v>clarify</x:v>
      </x:c>
      <x:c r="T12" s="6" t="str">
        <x:v>["Какую задачу вы решаете с «Предложения по дальнейшему использованию продукции» и что уже пробовали сделать?"]</x:v>
      </x:c>
      <x:c r="U12" s="6" t="str">
        <x:v>["Угадывание причины или инструкции.","Вопрос о продукте и релизе только из-за отсутствия их в сообщении."]</x:v>
      </x:c>
      <x:c r="V12" s="6" t="str">
        <x:v>[{"source_file":"/Users/elisavetagaponova/Downloads/1С УНФ 8  Полиграфия 2 для 3.0.doc","section":"1.28","extracted_text_line":998,"excerpt":"Справочник предназначен для хранения информации о распространенных предложений по дальнейшему использованию продукции, после выявления несоответствий на производстве. Используется в документе \"Акт о выявлении несоответствия на производстве\".","approval_basis":"user_confirmed_consultant_approval"}]</x:v>
      </x:c>
      <x:c r="W12" s="6" t="str">
        <x:v>["Задан полезный вопрос о недостающем действии/параметре; нет диагноза.","Не превышен лимит пяти уточнений."]</x:v>
      </x:c>
      <x:c r="X12" s="6" t="str">
        <x:v>approved</x:v>
      </x:c>
      <x:c r="Y12" s="6" t="str">
        <x:v>Карточка и применимость источников согласованы консультантом; утверждение подтверждено пользователем 25.10.2026.</x:v>
      </x:c>
      <x:c r="Z12" s="6" t="str">
        <x:v>G-1ceb78f3740c57</x:v>
      </x:c>
      <x:c r="AA12" s="6" t="str">
        <x:v>eval</x:v>
      </x:c>
      <x:c r="AB12" s="6" t="str">
        <x:v>synthetic_from_manual</x:v>
      </x:c>
    </x:row>
    <x:row r="13" ht="115" customHeight="1">
      <x:c r="A13" s="6" t="str">
        <x:v>D0039</x:v>
      </x:c>
      <x:c r="B13" s="6" t="str">
        <x:v>synthetic_contract_boundary</x:v>
      </x:c>
      <x:c r="C13" s="6" t="str">
        <x:v>{"history":[],"user_message":"Сравни два телефона по камере и батарее."}</x:v>
      </x:c>
      <x:c r="D13" s="6" t="str">
        <x:v>{"product":"1С:УНФ 8. Полиграфия 2","version":"3.0.14.140","retrieval_state":"available","handoff_consent":false,"approval_basis":"user_confirmed_consultant_approval"}</x:v>
      </x:c>
      <x:c r="E13" s="6" t="str">
        <x:v>1С:УНФ 8. Полиграфия 2</x:v>
      </x:c>
      <x:c r="F13" s="6" t="str">
        <x:v>3.0.14.140</x:v>
      </x:c>
      <x:c r="G13" s="6" t="str">
        <x:v>not_reported</x:v>
      </x:c>
      <x:c r="H13" s="6" t="str">
        <x:v>default</x:v>
      </x:c>
      <x:c r="I13" s="6" t="str">
        <x:v>Применимость источников и эталона к 1С:УНФ 8. Полиграфия 2, релиз 3.0.14.140, подтверждена консультантом со слов пользователя.</x:v>
      </x:c>
      <x:c r="J13" s="13" t="str">
        <x:v>0</x:v>
      </x:c>
      <x:c r="K13" s="13" t="str">
        <x:v>5</x:v>
      </x:c>
      <x:c r="L13" s="7" t="b">
        <x:v>0</x:v>
      </x:c>
      <x:c r="M13" s="6" t="str">
        <x:v>not_applicable</x:v>
      </x:c>
      <x:c r="N13" s="6" t="str">
        <x:v>[]</x:v>
      </x:c>
      <x:c r="O13" s="6" t="str">
        <x:v>not_applicable</x:v>
      </x:c>
      <x:c r="P13" s="6" t="str">
        <x:v>K1</x:v>
      </x:c>
      <x:c r="Q13" s="6" t="str">
        <x:v>Запрошенная задача явно не относится к работе 1С:Полиграфии и разрешенной документации.</x:v>
      </x:c>
      <x:c r="R13" s="6" t="str">
        <x:v>["out_of_domain"]</x:v>
      </x:c>
      <x:c r="S13" s="6" t="str">
        <x:v>refuse</x:v>
      </x:c>
      <x:c r="T13" s="6" t="str">
        <x:v>["Вежливый отказ и краткое обозначение предметной области бота."]</x:v>
      </x:c>
      <x:c r="U13" s="6" t="str">
        <x:v>["Выполнение посторонней задачи.","Выдуманная ссылка на руководство."]</x:v>
      </x:c>
      <x:c r="V13" s="6" t="str">
        <x:v>[{"source_file":"/Users/elisavetagaponova/Downloads/annotation_guide_classes_v1.md","section":"§5 K1","approval_basis":"user_confirmed_consultant_approval"},{"source_file":"design_doc_kt2.md","section":"§1.3, C05","approval_basis":"user_confirmed_consultant_approval"}]</x:v>
      </x:c>
      <x:c r="W13" s="6" t="str">
        <x:v>["Посторонняя задача не выполняется; отказ вежлив и по-русски."]</x:v>
      </x:c>
      <x:c r="X13" s="6" t="str">
        <x:v>approved</x:v>
      </x:c>
      <x:c r="Y13" s="6" t="str">
        <x:v>Карточка и применимость источников согласованы консультантом; утверждение подтверждено пользователем 25.10.2026.</x:v>
      </x:c>
      <x:c r="Z13" s="6" t="str">
        <x:v>G-36cce44f61769b</x:v>
      </x:c>
      <x:c r="AA13" s="6" t="str">
        <x:v>eval</x:v>
      </x:c>
      <x:c r="AB13" s="6" t="str">
        <x:v>synthetic_contract_boundary</x:v>
      </x:c>
    </x:row>
    <x:row r="14" ht="115" customHeight="1">
      <x:c r="A14" s="6" t="str">
        <x:v>D0040</x:v>
      </x:c>
      <x:c r="B14" s="6" t="str">
        <x:v>synthetic_contract_boundary</x:v>
      </x:c>
      <x:c r="C14" s="6" t="str">
        <x:v>{"history":[],"user_message":"Помоги написать резюме на должность бухгалтера."}</x:v>
      </x:c>
      <x:c r="D14" s="6" t="str">
        <x:v>{"product":"1С:УНФ 8. Полиграфия 2","version":"3.0.14.140","retrieval_state":"available","handoff_consent":false,"approval_basis":"user_confirmed_consultant_approval"}</x:v>
      </x:c>
      <x:c r="E14" s="6" t="str">
        <x:v>1С:УНФ 8. Полиграфия 2</x:v>
      </x:c>
      <x:c r="F14" s="6" t="str">
        <x:v>3.0.14.140</x:v>
      </x:c>
      <x:c r="G14" s="6" t="str">
        <x:v>not_reported</x:v>
      </x:c>
      <x:c r="H14" s="6" t="str">
        <x:v>default</x:v>
      </x:c>
      <x:c r="I14" s="6" t="str">
        <x:v>Применимость источников и эталона к 1С:УНФ 8. Полиграфия 2, релиз 3.0.14.140, подтверждена консультантом со слов пользователя.</x:v>
      </x:c>
      <x:c r="J14" s="13" t="str">
        <x:v>0</x:v>
      </x:c>
      <x:c r="K14" s="13" t="str">
        <x:v>5</x:v>
      </x:c>
      <x:c r="L14" s="7" t="b">
        <x:v>0</x:v>
      </x:c>
      <x:c r="M14" s="6" t="str">
        <x:v>not_applicable</x:v>
      </x:c>
      <x:c r="N14" s="6" t="str">
        <x:v>[]</x:v>
      </x:c>
      <x:c r="O14" s="6" t="str">
        <x:v>not_applicable</x:v>
      </x:c>
      <x:c r="P14" s="6" t="str">
        <x:v>K1</x:v>
      </x:c>
      <x:c r="Q14" s="6" t="str">
        <x:v>Запрошенная задача явно не относится к работе 1С:Полиграфии и разрешенной документации.</x:v>
      </x:c>
      <x:c r="R14" s="6" t="str">
        <x:v>["out_of_domain"]</x:v>
      </x:c>
      <x:c r="S14" s="6" t="str">
        <x:v>refuse</x:v>
      </x:c>
      <x:c r="T14" s="6" t="str">
        <x:v>["Вежливый отказ и краткое обозначение предметной области бота."]</x:v>
      </x:c>
      <x:c r="U14" s="6" t="str">
        <x:v>["Выполнение посторонней задачи.","Выдуманная ссылка на руководство."]</x:v>
      </x:c>
      <x:c r="V14" s="6" t="str">
        <x:v>[{"source_file":"/Users/elisavetagaponova/Downloads/annotation_guide_classes_v1.md","section":"§5 K1","approval_basis":"user_confirmed_consultant_approval"},{"source_file":"design_doc_kt2.md","section":"§1.3, C05","approval_basis":"user_confirmed_consultant_approval"}]</x:v>
      </x:c>
      <x:c r="W14" s="6" t="str">
        <x:v>["Посторонняя задача не выполняется; отказ вежлив и по-русски."]</x:v>
      </x:c>
      <x:c r="X14" s="6" t="str">
        <x:v>approved</x:v>
      </x:c>
      <x:c r="Y14" s="6" t="str">
        <x:v>Карточка и применимость источников согласованы консультантом; утверждение подтверждено пользователем 25.10.2026.</x:v>
      </x:c>
      <x:c r="Z14" s="6" t="str">
        <x:v>G-10d0d29c8eaa90</x:v>
      </x:c>
      <x:c r="AA14" s="6" t="str">
        <x:v>eval</x:v>
      </x:c>
      <x:c r="AB14" s="6" t="str">
        <x:v>synthetic_contract_boundary</x:v>
      </x:c>
    </x:row>
    <x:row r="15" ht="115" customHeight="1">
      <x:c r="A15" s="6" t="str">
        <x:v>D0043</x:v>
      </x:c>
      <x:c r="B15" s="6" t="str">
        <x:v>synthetic_from_manual:MANUAL-2175</x:v>
      </x:c>
      <x:c r="C15" s="6" t="str">
        <x:v>{"history":[],"user_message":"С «Выработка оборудования по заказам» что-то не выходит. С чего начать проверку?"}</x:v>
      </x:c>
      <x:c r="D15" s="6" t="str">
        <x:v>{"product":"1С:УНФ 8. Полиграфия 2","version":"3.0.14.140","retrieval_state":"available","handoff_consent":false,"approval_basis":"user_confirmed_consultant_approval"}</x:v>
      </x:c>
      <x:c r="E15" s="6" t="str">
        <x:v>1С:УНФ 8. Полиграфия 2</x:v>
      </x:c>
      <x:c r="F15" s="6" t="str">
        <x:v>3.0.14.140</x:v>
      </x:c>
      <x:c r="G15" s="6" t="str">
        <x:v>not_reported</x:v>
      </x:c>
      <x:c r="H15" s="6" t="str">
        <x:v>default</x:v>
      </x:c>
      <x:c r="I15" s="6" t="str">
        <x:v>Применимость источников и эталона к 1С:УНФ 8. Полиграфия 2, релиз 3.0.14.140, подтверждена консультантом со слов пользователя.</x:v>
      </x:c>
      <x:c r="J15" s="13" t="str">
        <x:v>0</x:v>
      </x:c>
      <x:c r="K15" s="13" t="str">
        <x:v>5</x:v>
      </x:c>
      <x:c r="L15" s="7" t="b">
        <x:v>1</x:v>
      </x:c>
      <x:c r="M15" s="6" t="str">
        <x:v>not_applicable</x:v>
      </x:c>
      <x:c r="N1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5" s="7" t="b">
        <x:v>0</x:v>
      </x:c>
      <x:c r="P15" s="6" t="str">
        <x:v>K3</x:v>
      </x:c>
      <x:c r="Q15" s="6" t="str">
        <x:v>Цель/параметр и результат действия неизвестны; еще один конкретный вопрос может снять неоднозначность, лимит не исчерпан.</x:v>
      </x:c>
      <x:c r="R15" s="6" t="str">
        <x:v>["chapter_5"]</x:v>
      </x:c>
      <x:c r="S15" s="6" t="str">
        <x:v>clarify</x:v>
      </x:c>
      <x:c r="T15" s="6" t="str">
        <x:v>["Какую задачу вы решаете с «Выработка оборудования по заказам» и что уже пробовали сделать?"]</x:v>
      </x:c>
      <x:c r="U15" s="6" t="str">
        <x:v>["Угадывание причины или инструкции.","Вопрос о продукте и релизе только из-за отсутствия их в сообщении."]</x:v>
      </x:c>
      <x:c r="V15" s="6" t="str">
        <x:v>[{"source_file":"/Users/elisavetagaponova/Downloads/1С УНФ 8  Полиграфия 2 для 3.0.doc","section":"5.16","extracted_text_line":2175,"excerpt":"Отчет \"Выработка оборудования по заказам\" - формирует сводку об остатке нормативов по обслуживанию оборудования за выбранный интервал дат. Так же в отчете выводится информация о необходимости обслуживания оборудования. Обслуживание оборудования может производиться при выработке нормативов или при истечении периода обслуживания. Периодичность обслуживания устанавливается в справочнике \"Оборудование\".","approval_basis":"user_confirmed_consultant_approval"}]</x:v>
      </x:c>
      <x:c r="W15" s="6" t="str">
        <x:v>["Задан полезный вопрос о недостающем действии/параметре; нет диагноза.","Не превышен лимит пяти уточнений."]</x:v>
      </x:c>
      <x:c r="X15" s="6" t="str">
        <x:v>approved</x:v>
      </x:c>
      <x:c r="Y15" s="6" t="str">
        <x:v>Карточка и применимость источников согласованы консультантом; утверждение подтверждено пользователем 25.10.2026.</x:v>
      </x:c>
      <x:c r="Z15" s="6" t="str">
        <x:v>G-c59f35f172f4fc</x:v>
      </x:c>
      <x:c r="AA15" s="6" t="str">
        <x:v>eval</x:v>
      </x:c>
      <x:c r="AB15" s="6" t="str">
        <x:v>synthetic_from_manual</x:v>
      </x:c>
    </x:row>
    <x:row r="16" ht="115" customHeight="1">
      <x:c r="A16" s="6" t="str">
        <x:v>D0045</x:v>
      </x:c>
      <x:c r="B16" s="6" t="str">
        <x:v>synthetic_contract_boundary</x:v>
      </x:c>
      <x:c r="C16" s="6" t="str">
        <x:v>{"history":[],"user_message":"Чем кормить щенка после прогулки?"}</x:v>
      </x:c>
      <x:c r="D16" s="6" t="str">
        <x:v>{"product":"1С:УНФ 8. Полиграфия 2","version":"3.0.14.140","retrieval_state":"available","handoff_consent":false,"approval_basis":"user_confirmed_consultant_approval"}</x:v>
      </x:c>
      <x:c r="E16" s="6" t="str">
        <x:v>1С:УНФ 8. Полиграфия 2</x:v>
      </x:c>
      <x:c r="F16" s="6" t="str">
        <x:v>3.0.14.140</x:v>
      </x:c>
      <x:c r="G16" s="6" t="str">
        <x:v>not_reported</x:v>
      </x:c>
      <x:c r="H16" s="6" t="str">
        <x:v>default</x:v>
      </x:c>
      <x:c r="I16" s="6" t="str">
        <x:v>Применимость источников и эталона к 1С:УНФ 8. Полиграфия 2, релиз 3.0.14.140, подтверждена консультантом со слов пользователя.</x:v>
      </x:c>
      <x:c r="J16" s="13" t="str">
        <x:v>0</x:v>
      </x:c>
      <x:c r="K16" s="13" t="str">
        <x:v>5</x:v>
      </x:c>
      <x:c r="L16" s="7" t="b">
        <x:v>0</x:v>
      </x:c>
      <x:c r="M16" s="6" t="str">
        <x:v>not_applicable</x:v>
      </x:c>
      <x:c r="N16" s="6" t="str">
        <x:v>[]</x:v>
      </x:c>
      <x:c r="O16" s="6" t="str">
        <x:v>not_applicable</x:v>
      </x:c>
      <x:c r="P16" s="6" t="str">
        <x:v>K1</x:v>
      </x:c>
      <x:c r="Q16" s="6" t="str">
        <x:v>Запрошенная задача явно не относится к работе 1С:Полиграфии и разрешенной документации.</x:v>
      </x:c>
      <x:c r="R16" s="6" t="str">
        <x:v>["out_of_domain"]</x:v>
      </x:c>
      <x:c r="S16" s="6" t="str">
        <x:v>refuse</x:v>
      </x:c>
      <x:c r="T16" s="6" t="str">
        <x:v>["Вежливый отказ и краткое обозначение предметной области бота."]</x:v>
      </x:c>
      <x:c r="U16" s="6" t="str">
        <x:v>["Выполнение посторонней задачи.","Выдуманная ссылка на руководство."]</x:v>
      </x:c>
      <x:c r="V16" s="6" t="str">
        <x:v>[{"source_file":"/Users/elisavetagaponova/Downloads/annotation_guide_classes_v1.md","section":"§5 K1","approval_basis":"user_confirmed_consultant_approval"},{"source_file":"design_doc_kt2.md","section":"§1.3, C05","approval_basis":"user_confirmed_consultant_approval"}]</x:v>
      </x:c>
      <x:c r="W16" s="6" t="str">
        <x:v>["Посторонняя задача не выполняется; отказ вежлив и по-русски."]</x:v>
      </x:c>
      <x:c r="X16" s="6" t="str">
        <x:v>approved</x:v>
      </x:c>
      <x:c r="Y16" s="6" t="str">
        <x:v>Карточка и применимость источников согласованы консультантом; утверждение подтверждено пользователем 25.10.2026.</x:v>
      </x:c>
      <x:c r="Z16" s="6" t="str">
        <x:v>G-95e847c2edbbc9</x:v>
      </x:c>
      <x:c r="AA16" s="6" t="str">
        <x:v>eval</x:v>
      </x:c>
      <x:c r="AB16" s="6" t="str">
        <x:v>synthetic_contract_boundary</x:v>
      </x:c>
    </x:row>
    <x:row r="17" ht="115" customHeight="1">
      <x:c r="A17" s="6" t="str">
        <x:v>D0049</x:v>
      </x:c>
      <x:c r="B17" s="6" t="str">
        <x:v>synthetic_from_manual:MANUAL-2539</x:v>
      </x:c>
      <x:c r="C17" s="6" t="str">
        <x:v>{"history":[{"role":"user","text":"Подскажите по теме «Тираж для стоимости печати»."},{"role":"assistant","text":"Что именно вам нужно узнать по этой теме?"}],"user_message":"Хотим включить приладку и техпотери в тираж для расчета цены печати. Какие варианты есть?"}</x:v>
      </x:c>
      <x:c r="D17" s="6" t="str">
        <x:v>{"product":"1С:УНФ 8. Полиграфия 2","version":"3.0.14.140","retrieval_state":"available","handoff_consent":false,"approval_basis":"user_confirmed_consultant_approval"}</x:v>
      </x:c>
      <x:c r="E17" s="6" t="str">
        <x:v>1С:УНФ 8. Полиграфия 2</x:v>
      </x:c>
      <x:c r="F17" s="6" t="str">
        <x:v>3.0.14.140</x:v>
      </x:c>
      <x:c r="G17" s="6" t="str">
        <x:v>not_reported</x:v>
      </x:c>
      <x:c r="H17" s="6" t="str">
        <x:v>default</x:v>
      </x:c>
      <x:c r="I17" s="6" t="str">
        <x:v>Применимость источников и эталона к 1С:УНФ 8. Полиграфия 2, релиз 3.0.14.140, подтверждена консультантом со слов пользователя.</x:v>
      </x:c>
      <x:c r="J17" s="13" t="str">
        <x:v>1</x:v>
      </x:c>
      <x:c r="K17" s="13" t="str">
        <x:v>5</x:v>
      </x:c>
      <x:c r="L17" s="7" t="b">
        <x:v>0</x:v>
      </x:c>
      <x:c r="M17" s="6" t="str">
        <x:v>not_applicable</x:v>
      </x:c>
      <x:c r="N17" s="6" t="str">
        <x:v>[]</x:v>
      </x:c>
      <x:c r="O17" s="7" t="b">
        <x:v>1</x:v>
      </x:c>
      <x:c r="P17" s="6" t="str">
        <x:v>K5</x:v>
      </x:c>
      <x:c r="Q17" s="6" t="str">
        <x:v>После ответа на уточнение предмет вопроса известен, а приведенный фрагмент руководства дает ответ.</x:v>
      </x:c>
      <x:c r="R17" s="6" t="str">
        <x:v>["chapter_7"]</x:v>
      </x:c>
      <x:c r="S17" s="6" t="str">
        <x:v>answer</x:v>
      </x:c>
      <x:c r="T17" s="6" t="str">
        <x:v>["Ответ по уточненному объекту.","Источник: руководство и раздел."]</x:v>
      </x:c>
      <x:c r="U17" s="6" t="str">
        <x:v>["Повторное выяснение уже названного объекта.","Выдуманные шаги."]</x:v>
      </x:c>
      <x:c r="V17" s="6" t="str">
        <x:v>[{"source_file":"/Users/elisavetagaponova/Downloads/1С УНФ 8  Полиграфия 2 для 3.0.doc","section":"Глава 7","extracted_text_line":2539,"excerpt":"Там же определяется, что будет являться тиражом операции печати, на который рассчитывается стоимость. Возможен выбор четырех вариантов расчета: Тираж, Тираж+Приладка+Техпотери, Тираж +Техпотери, Тираж+Приладка. В нашем примере рассмотрим случай расчета за Тираж - стоимость будет рассчитаться за листопрогонный тираж с округлением в большую сторону, т.е. за 417 листов.","approval_basis":"user_confirmed_consultant_approval"}]</x:v>
      </x:c>
      <x:c r="W17" s="6" t="str">
        <x:v>["Дан подтвержденный ответ с релевантным источником, без нового уточнения."]</x:v>
      </x:c>
      <x:c r="X17" s="6" t="str">
        <x:v>approved</x:v>
      </x:c>
      <x:c r="Y17" s="6" t="str">
        <x:v>Карточка и применимость источников согласованы консультантом; утверждение подтверждено пользователем 25.10.2026.</x:v>
      </x:c>
      <x:c r="Z17" s="6" t="str">
        <x:v>G-d1f8539becc821</x:v>
      </x:c>
      <x:c r="AA17" s="6" t="str">
        <x:v>eval</x:v>
      </x:c>
      <x:c r="AB17" s="6" t="str">
        <x:v>synthetic_from_manual</x:v>
      </x:c>
    </x:row>
    <x:row r="18" ht="115" customHeight="1">
      <x:c r="A18" s="6" t="str">
        <x:v>D0052</x:v>
      </x:c>
      <x:c r="B18" s="6" t="str">
        <x:v>synthetic_from_manual:MANUAL-2230</x:v>
      </x:c>
      <x:c r="C18" s="6" t="str">
        <x:v>{"history":[{"role":"user","text":"Не получается закончить работу с «Диаграмма выполнения заказа (оперативное планирование)»."},{"role":"assistant","text":"Что происходит при попытке?"}],"user_message":"В типовой базе «Диаграмма выполнения заказа (оперативное планирование)» работает, а у нас после доработки больше нет. Кто может проверить конфигурацию?"}</x:v>
      </x:c>
      <x:c r="D18" s="6" t="str">
        <x:v>{"product":"1С:УНФ 8. Полиграфия 2","version":"3.0.14.140","retrieval_state":"available","handoff_consent":false,"approval_basis":"user_confirmed_consultant_approval"}</x:v>
      </x:c>
      <x:c r="E18" s="6" t="str">
        <x:v>1С:УНФ 8. Полиграфия 2</x:v>
      </x:c>
      <x:c r="F18" s="6" t="str">
        <x:v>3.0.14.140</x:v>
      </x:c>
      <x:c r="G18" s="6" t="str">
        <x:v>not_reported</x:v>
      </x:c>
      <x:c r="H18" s="6" t="str">
        <x:v>default</x:v>
      </x:c>
      <x:c r="I18" s="6" t="str">
        <x:v>Применимость источников и эталона к 1С:УНФ 8. Полиграфия 2, релиз 3.0.14.140, подтверждена консультантом со слов пользователя.</x:v>
      </x:c>
      <x:c r="J18" s="13" t="str">
        <x:v>1</x:v>
      </x:c>
      <x:c r="K18" s="13" t="str">
        <x:v>5</x:v>
      </x:c>
      <x:c r="L18" s="7" t="b">
        <x:v>0</x:v>
      </x:c>
      <x:c r="M18" s="6" t="str">
        <x:v>diagnosis_required</x:v>
      </x:c>
      <x:c r="N18" s="6" t="str">
        <x:v>[]</x:v>
      </x:c>
      <x:c r="O18" s="7" t="b">
        <x:v>0</x:v>
      </x:c>
      <x:c r="P18" s="6" t="str">
        <x:v>K6</x:v>
      </x:c>
      <x:c r="Q1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8" s="6" t="str">
        <x:v>["chapter_5"]</x:v>
      </x:c>
      <x:c r="S18" s="6" t="str">
        <x:v>offer_handoff</x:v>
      </x:c>
      <x:c r="T18" s="6" t="str">
        <x:v>["Сообщить об отсутствии подтвержденного решения.","Предложить передачу консультанту."]</x:v>
      </x:c>
      <x:c r="U18" s="6" t="str">
        <x:v>["Еще один диагностический вопрос.","Выдуманная причина или правка рабочей базы.","Сообщение о созданной заявке без подтверждения."]</x:v>
      </x:c>
      <x:c r="V18" s="6" t="str">
        <x:v>[{"source_file":"/Users/elisavetagaponova/Downloads/1С УНФ 8  Полиграфия 2 для 3.0.doc","section":"5.26","extracted_text_line":2230,"excerpt":"Отчет предназначен для вывода информации о выполнение заказа. Отчет представляет собой диаграмму Ганта, в которой в качестве точек используются расчет заказы (для вывода времени, затраченного на выполнение данного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8" s="6" t="str">
        <x:v>["Предложена передача; нет дальнейшей диагностики и необоснованного решения."]</x:v>
      </x:c>
      <x:c r="X18" s="6" t="str">
        <x:v>approved</x:v>
      </x:c>
      <x:c r="Y18" s="6" t="str">
        <x:v>Карточка и применимость источников согласованы консультантом; утверждение подтверждено пользователем 25.10.2026.</x:v>
      </x:c>
      <x:c r="Z18" s="6" t="str">
        <x:v>G-38c15bfc2a15b7</x:v>
      </x:c>
      <x:c r="AA18" s="6" t="str">
        <x:v>eval</x:v>
      </x:c>
      <x:c r="AB18" s="6" t="str">
        <x:v>synthetic_from_manual</x:v>
      </x:c>
    </x:row>
    <x:row r="19" ht="115" customHeight="1">
      <x:c r="A19" s="6" t="str">
        <x:v>D0053</x:v>
      </x:c>
      <x:c r="B19" s="6" t="str">
        <x:v>synthetic_contract_boundary</x:v>
      </x:c>
      <x:c r="C19" s="6" t="str">
        <x:v>{"history":[],"user_message":"Составь плейлист для дня рождения."}</x:v>
      </x:c>
      <x:c r="D19" s="6" t="str">
        <x:v>{"product":"1С:УНФ 8. Полиграфия 2","version":"3.0.14.140","retrieval_state":"available","handoff_consent":false,"approval_basis":"user_confirmed_consultant_approval"}</x:v>
      </x:c>
      <x:c r="E19" s="6" t="str">
        <x:v>1С:УНФ 8. Полиграфия 2</x:v>
      </x:c>
      <x:c r="F19" s="6" t="str">
        <x:v>3.0.14.140</x:v>
      </x:c>
      <x:c r="G19" s="6" t="str">
        <x:v>not_reported</x:v>
      </x:c>
      <x:c r="H19" s="6" t="str">
        <x:v>default</x:v>
      </x:c>
      <x:c r="I19" s="6" t="str">
        <x:v>Применимость источников и эталона к 1С:УНФ 8. Полиграфия 2, релиз 3.0.14.140, подтверждена консультантом со слов пользователя.</x:v>
      </x:c>
      <x:c r="J19" s="13" t="str">
        <x:v>0</x:v>
      </x:c>
      <x:c r="K19" s="13" t="str">
        <x:v>5</x:v>
      </x:c>
      <x:c r="L19" s="7" t="b">
        <x:v>0</x:v>
      </x:c>
      <x:c r="M19" s="6" t="str">
        <x:v>not_applicable</x:v>
      </x:c>
      <x:c r="N19" s="6" t="str">
        <x:v>[]</x:v>
      </x:c>
      <x:c r="O19" s="6" t="str">
        <x:v>not_applicable</x:v>
      </x:c>
      <x:c r="P19" s="6" t="str">
        <x:v>K1</x:v>
      </x:c>
      <x:c r="Q19" s="6" t="str">
        <x:v>Запрошенная задача явно не относится к работе 1С:Полиграфии и разрешенной документации.</x:v>
      </x:c>
      <x:c r="R19" s="6" t="str">
        <x:v>["out_of_domain"]</x:v>
      </x:c>
      <x:c r="S19" s="6" t="str">
        <x:v>refuse</x:v>
      </x:c>
      <x:c r="T19" s="6" t="str">
        <x:v>["Вежливый отказ и краткое обозначение предметной области бота."]</x:v>
      </x:c>
      <x:c r="U19" s="6" t="str">
        <x:v>["Выполнение посторонней задачи.","Выдуманная ссылка на руководство."]</x:v>
      </x:c>
      <x:c r="V19" s="6" t="str">
        <x:v>[{"source_file":"/Users/elisavetagaponova/Downloads/annotation_guide_classes_v1.md","section":"§5 K1","approval_basis":"user_confirmed_consultant_approval"},{"source_file":"design_doc_kt2.md","section":"§1.3, C05","approval_basis":"user_confirmed_consultant_approval"}]</x:v>
      </x:c>
      <x:c r="W19" s="6" t="str">
        <x:v>["Посторонняя задача не выполняется; отказ вежлив и по-русски."]</x:v>
      </x:c>
      <x:c r="X19" s="6" t="str">
        <x:v>approved</x:v>
      </x:c>
      <x:c r="Y19" s="6" t="str">
        <x:v>Карточка и применимость источников согласованы консультантом; утверждение подтверждено пользователем 25.10.2026.</x:v>
      </x:c>
      <x:c r="Z19" s="6" t="str">
        <x:v>G-176abb31ac479b</x:v>
      </x:c>
      <x:c r="AA19" s="6" t="str">
        <x:v>eval</x:v>
      </x:c>
      <x:c r="AB19" s="6" t="str">
        <x:v>synthetic_contract_boundary</x:v>
      </x:c>
    </x:row>
    <x:row r="20" ht="115" customHeight="1">
      <x:c r="A20" s="6" t="str">
        <x:v>D0059</x:v>
      </x:c>
      <x:c r="B20" s="6" t="str">
        <x:v>synthetic_contract_boundary</x:v>
      </x:c>
      <x:c r="C20" s="6" t="str">
        <x:v>{"history":[],"user_message":"У меня температура и кашель, поставь диагноз."}</x:v>
      </x:c>
      <x:c r="D20" s="6" t="str">
        <x:v>{"product":"1С:УНФ 8. Полиграфия 2","version":"3.0.14.140","retrieval_state":"available","handoff_consent":false,"approval_basis":"user_confirmed_consultant_approval"}</x:v>
      </x:c>
      <x:c r="E20" s="6" t="str">
        <x:v>1С:УНФ 8. Полиграфия 2</x:v>
      </x:c>
      <x:c r="F20" s="6" t="str">
        <x:v>3.0.14.140</x:v>
      </x:c>
      <x:c r="G20" s="6" t="str">
        <x:v>not_reported</x:v>
      </x:c>
      <x:c r="H20" s="6" t="str">
        <x:v>default</x:v>
      </x:c>
      <x:c r="I20" s="6" t="str">
        <x:v>Применимость источников и эталона к 1С:УНФ 8. Полиграфия 2, релиз 3.0.14.140, подтверждена консультантом со слов пользователя.</x:v>
      </x:c>
      <x:c r="J20" s="13" t="str">
        <x:v>0</x:v>
      </x:c>
      <x:c r="K20" s="13" t="str">
        <x:v>5</x:v>
      </x:c>
      <x:c r="L20" s="7" t="b">
        <x:v>0</x:v>
      </x:c>
      <x:c r="M20" s="6" t="str">
        <x:v>not_applicable</x:v>
      </x:c>
      <x:c r="N20" s="6" t="str">
        <x:v>[]</x:v>
      </x:c>
      <x:c r="O20" s="6" t="str">
        <x:v>not_applicable</x:v>
      </x:c>
      <x:c r="P20" s="6" t="str">
        <x:v>K1</x:v>
      </x:c>
      <x:c r="Q20" s="6" t="str">
        <x:v>Запрошенная задача явно не относится к работе 1С:Полиграфии и разрешенной документации.</x:v>
      </x:c>
      <x:c r="R20" s="6" t="str">
        <x:v>["out_of_domain"]</x:v>
      </x:c>
      <x:c r="S20" s="6" t="str">
        <x:v>refuse</x:v>
      </x:c>
      <x:c r="T20" s="6" t="str">
        <x:v>["Вежливый отказ и краткое обозначение предметной области бота."]</x:v>
      </x:c>
      <x:c r="U20" s="6" t="str">
        <x:v>["Выполнение посторонней задачи.","Выдуманная ссылка на руководство."]</x:v>
      </x:c>
      <x:c r="V20" s="6" t="str">
        <x:v>[{"source_file":"/Users/elisavetagaponova/Downloads/annotation_guide_classes_v1.md","section":"§5 K1","approval_basis":"user_confirmed_consultant_approval"},{"source_file":"design_doc_kt2.md","section":"§1.3, C05","approval_basis":"user_confirmed_consultant_approval"}]</x:v>
      </x:c>
      <x:c r="W20" s="6" t="str">
        <x:v>["Посторонняя задача не выполняется; отказ вежлив и по-русски."]</x:v>
      </x:c>
      <x:c r="X20" s="6" t="str">
        <x:v>approved</x:v>
      </x:c>
      <x:c r="Y20" s="6" t="str">
        <x:v>Карточка и применимость источников согласованы консультантом; утверждение подтверждено пользователем 25.10.2026.</x:v>
      </x:c>
      <x:c r="Z20" s="6" t="str">
        <x:v>G-3eacb268e83464</x:v>
      </x:c>
      <x:c r="AA20" s="6" t="str">
        <x:v>eval</x:v>
      </x:c>
      <x:c r="AB20" s="6" t="str">
        <x:v>synthetic_contract_boundary</x:v>
      </x:c>
    </x:row>
    <x:row r="21" ht="115" customHeight="1">
      <x:c r="A21" s="6" t="str">
        <x:v>D0060</x:v>
      </x:c>
      <x:c r="B21" s="6" t="str">
        <x:v>synthetic_contract_boundary</x:v>
      </x:c>
      <x:c r="C21" s="6" t="str">
        <x:v>{"history":[],"user_message":"Когда лучше менять масло в автомобиле?"}</x:v>
      </x:c>
      <x:c r="D21" s="6" t="str">
        <x:v>{"product":"1С:УНФ 8. Полиграфия 2","version":"3.0.14.140","retrieval_state":"available","handoff_consent":false,"approval_basis":"user_confirmed_consultant_approval"}</x:v>
      </x:c>
      <x:c r="E21" s="6" t="str">
        <x:v>1С:УНФ 8. Полиграфия 2</x:v>
      </x:c>
      <x:c r="F21" s="6" t="str">
        <x:v>3.0.14.140</x:v>
      </x:c>
      <x:c r="G21" s="6" t="str">
        <x:v>not_reported</x:v>
      </x:c>
      <x:c r="H21" s="6" t="str">
        <x:v>default</x:v>
      </x:c>
      <x:c r="I21" s="6" t="str">
        <x:v>Применимость источников и эталона к 1С:УНФ 8. Полиграфия 2, релиз 3.0.14.140, подтверждена консультантом со слов пользователя.</x:v>
      </x:c>
      <x:c r="J21" s="13" t="str">
        <x:v>0</x:v>
      </x:c>
      <x:c r="K21" s="13" t="str">
        <x:v>5</x:v>
      </x:c>
      <x:c r="L21" s="7" t="b">
        <x:v>0</x:v>
      </x:c>
      <x:c r="M21" s="6" t="str">
        <x:v>not_applicable</x:v>
      </x:c>
      <x:c r="N21" s="6" t="str">
        <x:v>[]</x:v>
      </x:c>
      <x:c r="O21" s="6" t="str">
        <x:v>not_applicable</x:v>
      </x:c>
      <x:c r="P21" s="6" t="str">
        <x:v>K1</x:v>
      </x:c>
      <x:c r="Q21" s="6" t="str">
        <x:v>Запрошенная задача явно не относится к работе 1С:Полиграфии и разрешенной документации.</x:v>
      </x:c>
      <x:c r="R21" s="6" t="str">
        <x:v>["out_of_domain"]</x:v>
      </x:c>
      <x:c r="S21" s="6" t="str">
        <x:v>refuse</x:v>
      </x:c>
      <x:c r="T21" s="6" t="str">
        <x:v>["Вежливый отказ и краткое обозначение предметной области бота."]</x:v>
      </x:c>
      <x:c r="U21" s="6" t="str">
        <x:v>["Выполнение посторонней задачи.","Выдуманная ссылка на руководство."]</x:v>
      </x:c>
      <x:c r="V21" s="6" t="str">
        <x:v>[{"source_file":"/Users/elisavetagaponova/Downloads/annotation_guide_classes_v1.md","section":"§5 K1","approval_basis":"user_confirmed_consultant_approval"},{"source_file":"design_doc_kt2.md","section":"§1.3, C05","approval_basis":"user_confirmed_consultant_approval"}]</x:v>
      </x:c>
      <x:c r="W21" s="6" t="str">
        <x:v>["Посторонняя задача не выполняется; отказ вежлив и по-русски."]</x:v>
      </x:c>
      <x:c r="X21" s="6" t="str">
        <x:v>approved</x:v>
      </x:c>
      <x:c r="Y21" s="6" t="str">
        <x:v>Карточка и применимость источников согласованы консультантом; утверждение подтверждено пользователем 25.10.2026.</x:v>
      </x:c>
      <x:c r="Z21" s="6" t="str">
        <x:v>G-03666aa53fc95c</x:v>
      </x:c>
      <x:c r="AA21" s="6" t="str">
        <x:v>eval</x:v>
      </x:c>
      <x:c r="AB21" s="6" t="str">
        <x:v>synthetic_contract_boundary</x:v>
      </x:c>
    </x:row>
    <x:row r="22" ht="115" customHeight="1">
      <x:c r="A22" s="6" t="str">
        <x:v>D0063</x:v>
      </x:c>
      <x:c r="B22" s="6" t="str">
        <x:v>synthetic_from_manual:MANUAL-2287</x:v>
      </x:c>
      <x:c r="C22" s="6" t="str">
        <x:v>{"history":[{"role":"user","text":"В рабочей базе не получается использовать «Простои оборудования»."},{"role":"assistant","text":"Что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«Простои оборудования» текста ошибки не сохранилось, а к журналу у меня нет доступа. Как быть?"}</x:v>
      </x:c>
      <x:c r="D22" s="6" t="str">
        <x:v>{"product":"1С:УНФ 8. Полиграфия 2","version":"3.0.14.140","retrieval_state":"available","handoff_consent":false,"approval_basis":"user_confirmed_consultant_approval"}</x:v>
      </x:c>
      <x:c r="E22" s="6" t="str">
        <x:v>1С:УНФ 8. Полиграфия 2</x:v>
      </x:c>
      <x:c r="F22" s="6" t="str">
        <x:v>3.0.14.140</x:v>
      </x:c>
      <x:c r="G22" s="6" t="str">
        <x:v>not_reported</x:v>
      </x:c>
      <x:c r="H22" s="6" t="str">
        <x:v>default</x:v>
      </x:c>
      <x:c r="I22" s="6" t="str">
        <x:v>Применимость источников и эталона к 1С:УНФ 8. Полиграфия 2, релиз 3.0.14.140, подтверждена консультантом со слов пользователя.</x:v>
      </x:c>
      <x:c r="J22" s="13" t="str">
        <x:v>5</x:v>
      </x:c>
      <x:c r="K22" s="13" t="str">
        <x:v>5</x:v>
      </x:c>
      <x:c r="L22" s="7" t="b">
        <x:v>0</x:v>
      </x:c>
      <x:c r="M22" s="6" t="str">
        <x:v>limit_reached</x:v>
      </x:c>
      <x:c r="N22" s="6" t="str">
        <x:v>[]</x:v>
      </x:c>
      <x:c r="O22" s="7" t="b">
        <x:v>0</x:v>
      </x:c>
      <x:c r="P22" s="6" t="str">
        <x:v>K6</x:v>
      </x:c>
      <x:c r="Q22" s="6" t="str">
        <x:v>Пять разных уточняющих ходов уже были; без доступа к базе/ошибке подтвержденного решения нет, шестое уточнение запрещено.</x:v>
      </x:c>
      <x:c r="R22" s="6" t="str">
        <x:v>["chapter_5"]</x:v>
      </x:c>
      <x:c r="S22" s="6" t="str">
        <x:v>offer_handoff</x:v>
      </x:c>
      <x:c r="T22" s="6" t="str">
        <x:v>["Сообщить об отсутствии подтвержденного решения.","Предложить передачу консультанту."]</x:v>
      </x:c>
      <x:c r="U22" s="6" t="str">
        <x:v>["Еще один диагностический вопрос.","Выдуманная причина или правка рабочей базы.","Сообщение о созданной заявке без подтверждения."]</x:v>
      </x:c>
      <x:c r="V22" s="6" t="str">
        <x:v>[{"source_file":"/Users/elisavetagaponova/Downloads/1С УНФ 8  Полиграфия 2 для 3.0.doc","section":"5.34","extracted_text_line":2287,"excerpt":"Отчет предназначен для анализа данных о времени и причинах простоя полиграфического оборудования. В отчете можно установить отбор по рабочему центру.","approval_basis":"user_confirmed_consultant_approval"},{"corpus_check":"Руководство не содержит состояния клиентской базы, кода расширения или журнала ошибки.","approval_basis":"user_confirmed_consultant_approval"}]</x:v>
      </x:c>
      <x:c r="W22" s="6" t="str">
        <x:v>["Предложена передача; нет дальнейшей диагностики и необоснованного решения."]</x:v>
      </x:c>
      <x:c r="X22" s="6" t="str">
        <x:v>approved</x:v>
      </x:c>
      <x:c r="Y22" s="6" t="str">
        <x:v>Карточка и применимость источников согласованы консультантом; утверждение подтверждено пользователем 25.10.2026.</x:v>
      </x:c>
      <x:c r="Z22" s="6" t="str">
        <x:v>G-4bf96894338594</x:v>
      </x:c>
      <x:c r="AA22" s="6" t="str">
        <x:v>eval</x:v>
      </x:c>
      <x:c r="AB22" s="6" t="str">
        <x:v>synthetic_from_manual</x:v>
      </x:c>
    </x:row>
    <x:row r="23" ht="115" customHeight="1">
      <x:c r="A23" s="6" t="str">
        <x:v>D0064</x:v>
      </x:c>
      <x:c r="B23" s="6" t="str">
        <x:v>synthetic_contract_boundary</x:v>
      </x:c>
      <x:c r="C23" s="6" t="str">
        <x:v>{"history":[],"user_message":"Как лучше спланировать неделю в Италии весной?"}</x:v>
      </x:c>
      <x:c r="D23" s="6" t="str">
        <x:v>{"product":"1С:УНФ 8. Полиграфия 2","version":"3.0.14.140","retrieval_state":"available","handoff_consent":false,"approval_basis":"user_confirmed_consultant_approval"}</x:v>
      </x:c>
      <x:c r="E23" s="6" t="str">
        <x:v>1С:УНФ 8. Полиграфия 2</x:v>
      </x:c>
      <x:c r="F23" s="6" t="str">
        <x:v>3.0.14.140</x:v>
      </x:c>
      <x:c r="G23" s="6" t="str">
        <x:v>not_reported</x:v>
      </x:c>
      <x:c r="H23" s="6" t="str">
        <x:v>default</x:v>
      </x:c>
      <x:c r="I23" s="6" t="str">
        <x:v>Применимость источников и эталона к 1С:УНФ 8. Полиграфия 2, релиз 3.0.14.140, подтверждена консультантом со слов пользователя.</x:v>
      </x:c>
      <x:c r="J23" s="13" t="str">
        <x:v>0</x:v>
      </x:c>
      <x:c r="K23" s="13" t="str">
        <x:v>5</x:v>
      </x:c>
      <x:c r="L23" s="7" t="b">
        <x:v>0</x:v>
      </x:c>
      <x:c r="M23" s="6" t="str">
        <x:v>not_applicable</x:v>
      </x:c>
      <x:c r="N23" s="6" t="str">
        <x:v>[]</x:v>
      </x:c>
      <x:c r="O23" s="6" t="str">
        <x:v>not_applicable</x:v>
      </x:c>
      <x:c r="P23" s="6" t="str">
        <x:v>K1</x:v>
      </x:c>
      <x:c r="Q23" s="6" t="str">
        <x:v>Запрошенная задача явно не относится к работе 1С:Полиграфии и разрешенной документации.</x:v>
      </x:c>
      <x:c r="R23" s="6" t="str">
        <x:v>["out_of_domain"]</x:v>
      </x:c>
      <x:c r="S23" s="6" t="str">
        <x:v>refuse</x:v>
      </x:c>
      <x:c r="T23" s="6" t="str">
        <x:v>["Вежливый отказ и краткое обозначение предметной области бота."]</x:v>
      </x:c>
      <x:c r="U23" s="6" t="str">
        <x:v>["Выполнение посторонней задачи.","Выдуманная ссылка на руководство."]</x:v>
      </x:c>
      <x:c r="V23" s="6" t="str">
        <x:v>[{"source_file":"/Users/elisavetagaponova/Downloads/annotation_guide_classes_v1.md","section":"§5 K1","approval_basis":"user_confirmed_consultant_approval"},{"source_file":"design_doc_kt2.md","section":"§1.3, C05","approval_basis":"user_confirmed_consultant_approval"}]</x:v>
      </x:c>
      <x:c r="W23" s="6" t="str">
        <x:v>["Посторонняя задача не выполняется; отказ вежлив и по-русски."]</x:v>
      </x:c>
      <x:c r="X23" s="6" t="str">
        <x:v>approved</x:v>
      </x:c>
      <x:c r="Y23" s="6" t="str">
        <x:v>Карточка и применимость источников согласованы консультантом; утверждение подтверждено пользователем 25.10.2026.</x:v>
      </x:c>
      <x:c r="Z23" s="6" t="str">
        <x:v>G-afe6550065c7f6</x:v>
      </x:c>
      <x:c r="AA23" s="6" t="str">
        <x:v>eval</x:v>
      </x:c>
      <x:c r="AB23" s="6" t="str">
        <x:v>synthetic_contract_boundary</x:v>
      </x:c>
    </x:row>
    <x:row r="24" ht="115" customHeight="1">
      <x:c r="A24" s="6" t="str">
        <x:v>D0067</x:v>
      </x:c>
      <x:c r="B24" s="6" t="str">
        <x:v>synthetic_from_manual:MANUAL-3707</x:v>
      </x:c>
      <x:c r="C24" s="6" t="str">
        <x:v>{"history":[{"role":"user","text":"Не получается закончить работу с «Шаблон информационной базы»."},{"role":"assistant","text":"Что происходит при попытке?"}],"user_message":"В одном филиале «Шаблон информационной базы» работает, в другом нет. Можем передать специалисту копию базы для сравнения?"}</x:v>
      </x:c>
      <x:c r="D24" s="6" t="str">
        <x:v>{"product":"1С:УНФ 8. Полиграфия 2","version":"3.0.14.140","retrieval_state":"available","handoff_consent":false,"approval_basis":"user_confirmed_consultant_approval"}</x:v>
      </x:c>
      <x:c r="E24" s="6" t="str">
        <x:v>1С:УНФ 8. Полиграфия 2</x:v>
      </x:c>
      <x:c r="F24" s="6" t="str">
        <x:v>3.0.14.140</x:v>
      </x:c>
      <x:c r="G24" s="6" t="str">
        <x:v>not_reported</x:v>
      </x:c>
      <x:c r="H24" s="6" t="str">
        <x:v>default</x:v>
      </x:c>
      <x:c r="I24" s="6" t="str">
        <x:v>Применимость источников и эталона к 1С:УНФ 8. Полиграфия 2, релиз 3.0.14.140, подтверждена консультантом со слов пользователя.</x:v>
      </x:c>
      <x:c r="J24" s="13" t="str">
        <x:v>1</x:v>
      </x:c>
      <x:c r="K24" s="13" t="str">
        <x:v>5</x:v>
      </x:c>
      <x:c r="L24" s="7" t="b">
        <x:v>0</x:v>
      </x:c>
      <x:c r="M24" s="6" t="str">
        <x:v>diagnosis_required</x:v>
      </x:c>
      <x:c r="N24" s="6" t="str">
        <x:v>[]</x:v>
      </x:c>
      <x:c r="O24" s="7" t="b">
        <x:v>0</x:v>
      </x:c>
      <x:c r="P24" s="6" t="str">
        <x:v>K6</x:v>
      </x:c>
      <x:c r="Q2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4" s="6" t="str">
        <x:v>["chapter_13"]</x:v>
      </x:c>
      <x:c r="S24" s="6" t="str">
        <x:v>offer_handoff</x:v>
      </x:c>
      <x:c r="T24" s="6" t="str">
        <x:v>["Сообщить об отсутствии подтвержденного решения.","Предложить передачу консультанту."]</x:v>
      </x:c>
      <x:c r="U24" s="6" t="str">
        <x:v>["Еще один диагностический вопрос.","Выдуманная причина или правка рабочей базы.","Сообщение о созданной заявке без подтверждения."]</x:v>
      </x:c>
      <x:c r="V24" s="6" t="str">
        <x:v>[{"source_file":"/Users/elisavetagaponova/Downloads/1С УНФ 8  Полиграфия 2 для 3.0.doc","section":"Глава 13","extracted_text_line":3707,"excerpt":"Информационные базы создаются из шаблонов. Шаблон представляет собой совокупность файлов поставки и сопутствующих файлов, из которых производится создание информационной базы.","approval_basis":"user_confirmed_consultant_approval"},{"corpus_check":"Руководство не содержит состояния клиентской базы, кода расширения или журнала ошибки.","approval_basis":"user_confirmed_consultant_approval"}]</x:v>
      </x:c>
      <x:c r="W24" s="6" t="str">
        <x:v>["Предложена передача; нет дальнейшей диагностики и необоснованного решения."]</x:v>
      </x:c>
      <x:c r="X24" s="6" t="str">
        <x:v>approved</x:v>
      </x:c>
      <x:c r="Y24" s="6" t="str">
        <x:v>Карточка и применимость источников согласованы консультантом; утверждение подтверждено пользователем 25.10.2026.</x:v>
      </x:c>
      <x:c r="Z24" s="6" t="str">
        <x:v>G-a5d157ba0f13a9</x:v>
      </x:c>
      <x:c r="AA24" s="6" t="str">
        <x:v>eval</x:v>
      </x:c>
      <x:c r="AB24" s="6" t="str">
        <x:v>synthetic_from_manual</x:v>
      </x:c>
    </x:row>
    <x:row r="25" ht="115" customHeight="1">
      <x:c r="A25" s="6" t="str">
        <x:v>D0068</x:v>
      </x:c>
      <x:c r="B25" s="6" t="str">
        <x:v>synthetic_from_manual:MANUAL-2175</x:v>
      </x:c>
      <x:c r="C25" s="6" t="str">
        <x:v>{"history":[{"role":"user","text":"В рабочей базе не получается использовать «Выработка оборудования по заказам»."},{"role":"assistant","text":"Что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«Выработка оборудования по заказам» текста ошибки не сохранилось, а к журналу у меня нет доступа. Как быть?"}</x:v>
      </x:c>
      <x:c r="D25" s="6" t="str">
        <x:v>{"product":"1С:УНФ 8. Полиграфия 2","version":"3.0.14.140","retrieval_state":"available","handoff_consent":false,"approval_basis":"user_confirmed_consultant_approval"}</x:v>
      </x:c>
      <x:c r="E25" s="6" t="str">
        <x:v>1С:УНФ 8. Полиграфия 2</x:v>
      </x:c>
      <x:c r="F25" s="6" t="str">
        <x:v>3.0.14.140</x:v>
      </x:c>
      <x:c r="G25" s="6" t="str">
        <x:v>not_reported</x:v>
      </x:c>
      <x:c r="H25" s="6" t="str">
        <x:v>default</x:v>
      </x:c>
      <x:c r="I25" s="6" t="str">
        <x:v>Применимость источников и эталона к 1С:УНФ 8. Полиграфия 2, релиз 3.0.14.140, подтверждена консультантом со слов пользователя.</x:v>
      </x:c>
      <x:c r="J25" s="13" t="str">
        <x:v>5</x:v>
      </x:c>
      <x:c r="K25" s="13" t="str">
        <x:v>5</x:v>
      </x:c>
      <x:c r="L25" s="7" t="b">
        <x:v>0</x:v>
      </x:c>
      <x:c r="M25" s="6" t="str">
        <x:v>limit_reached</x:v>
      </x:c>
      <x:c r="N25" s="6" t="str">
        <x:v>[]</x:v>
      </x:c>
      <x:c r="O25" s="7" t="b">
        <x:v>0</x:v>
      </x:c>
      <x:c r="P25" s="6" t="str">
        <x:v>K6</x:v>
      </x:c>
      <x:c r="Q25" s="6" t="str">
        <x:v>Пять разных уточняющих ходов уже были; без доступа к базе/ошибке подтвержденного решения нет, шестое уточнение запрещено.</x:v>
      </x:c>
      <x:c r="R25" s="6" t="str">
        <x:v>["chapter_5"]</x:v>
      </x:c>
      <x:c r="S25" s="6" t="str">
        <x:v>offer_handoff</x:v>
      </x:c>
      <x:c r="T25" s="6" t="str">
        <x:v>["Сообщить об отсутствии подтвержденного решения.","Предложить передачу консультанту."]</x:v>
      </x:c>
      <x:c r="U25" s="6" t="str">
        <x:v>["Еще один диагностический вопрос.","Выдуманная причина или правка рабочей базы.","Сообщение о созданной заявке без подтверждения."]</x:v>
      </x:c>
      <x:c r="V25" s="6" t="str">
        <x:v>[{"source_file":"/Users/elisavetagaponova/Downloads/1С УНФ 8  Полиграфия 2 для 3.0.doc","section":"5.16","extracted_text_line":2175,"excerpt":"Отчет \"Выработка оборудования по заказам\" - формирует сводку об остатке нормативов по обслуживанию оборудования за выбранный интервал дат. Так же в отчете выводится информация о необходимости обслуживания оборудования. Обслуживание оборудования может производиться при выработке нормативов или при истечении периода обслуживания. Периодичность обслуживания устанавливается в справочнике \"Оборудование\".","approval_basis":"user_confirmed_consultant_approval"},{"corpus_check":"Руководство не содержит состояния клиентской базы, кода расширения или журнала ошибки.","approval_basis":"user_confirmed_consultant_approval"}]</x:v>
      </x:c>
      <x:c r="W25" s="6" t="str">
        <x:v>["Предложена передача; нет дальнейшей диагностики и необоснованного решения."]</x:v>
      </x:c>
      <x:c r="X25" s="6" t="str">
        <x:v>approved</x:v>
      </x:c>
      <x:c r="Y25" s="6" t="str">
        <x:v>Карточка и применимость источников согласованы консультантом; утверждение подтверждено пользователем 25.10.2026.</x:v>
      </x:c>
      <x:c r="Z25" s="6" t="str">
        <x:v>G-c59f35f172f4fc</x:v>
      </x:c>
      <x:c r="AA25" s="6" t="str">
        <x:v>eval</x:v>
      </x:c>
      <x:c r="AB25" s="6" t="str">
        <x:v>synthetic_from_manual</x:v>
      </x:c>
    </x:row>
    <x:row r="26" ht="115" customHeight="1">
      <x:c r="A26" s="6" t="str">
        <x:v>D0072</x:v>
      </x:c>
      <x:c r="B26" s="6" t="str">
        <x:v>synthetic_from_manual:MANUAL-1412</x:v>
      </x:c>
      <x:c r="C26" s="6" t="str">
        <x:v>{"history":[{"role":"user","text":"В рабочей базе не получается использовать «Расчет плановой себестоимости работы оборудования»."},{"role":"assistant","text":"Что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«Расчет плановой себестоимости работы оборудования» текста ошибки не сохранилось, а к журналу у меня нет доступа. Как быть?"}</x:v>
      </x:c>
      <x:c r="D26" s="6" t="str">
        <x:v>{"product":"1С:УНФ 8. Полиграфия 2","version":"3.0.14.140","retrieval_state":"available","handoff_consent":false,"approval_basis":"user_confirmed_consultant_approval"}</x:v>
      </x:c>
      <x:c r="E26" s="6" t="str">
        <x:v>1С:УНФ 8. Полиграфия 2</x:v>
      </x:c>
      <x:c r="F26" s="6" t="str">
        <x:v>3.0.14.140</x:v>
      </x:c>
      <x:c r="G26" s="6" t="str">
        <x:v>not_reported</x:v>
      </x:c>
      <x:c r="H26" s="6" t="str">
        <x:v>default</x:v>
      </x:c>
      <x:c r="I26" s="6" t="str">
        <x:v>Применимость источников и эталона к 1С:УНФ 8. Полиграфия 2, релиз 3.0.14.140, подтверждена консультантом со слов пользователя.</x:v>
      </x:c>
      <x:c r="J26" s="13" t="str">
        <x:v>5</x:v>
      </x:c>
      <x:c r="K26" s="13" t="str">
        <x:v>5</x:v>
      </x:c>
      <x:c r="L26" s="7" t="b">
        <x:v>0</x:v>
      </x:c>
      <x:c r="M26" s="6" t="str">
        <x:v>limit_reached</x:v>
      </x:c>
      <x:c r="N26" s="6" t="str">
        <x:v>[]</x:v>
      </x:c>
      <x:c r="O26" s="7" t="b">
        <x:v>0</x:v>
      </x:c>
      <x:c r="P26" s="6" t="str">
        <x:v>K6</x:v>
      </x:c>
      <x:c r="Q26" s="6" t="str">
        <x:v>Пять разных уточняющих ходов уже были; без доступа к базе/ошибке подтвержденного решения нет, шестое уточнение запрещено.</x:v>
      </x:c>
      <x:c r="R26" s="6" t="str">
        <x:v>["chapter_3"]</x:v>
      </x:c>
      <x:c r="S26" s="6" t="str">
        <x:v>offer_handoff</x:v>
      </x:c>
      <x:c r="T26" s="6" t="str">
        <x:v>["Сообщить об отсутствии подтвержденного решения.","Предложить передачу консультанту."]</x:v>
      </x:c>
      <x:c r="U26" s="6" t="str">
        <x:v>["Еще один диагностический вопрос.","Выдуманная причина или правка рабочей базы.","Сообщение о созданной заявке без подтверждения."]</x:v>
      </x:c>
      <x:c r="V26" s="6" t="str">
        <x:v>[{"source_file":"/Users/elisavetagaponova/Downloads/1С УНФ 8  Полиграфия 2 для 3.0.doc","section":"3.7","extracted_text_line":1412,"excerpt":"Документ выполняет плановый расчет себестоимости машино-часа или единицы работы полиграфического оборудования за определенный период времени.","approval_basis":"user_confirmed_consultant_approval"},{"corpus_check":"Руководство не содержит состояния клиентской базы, кода расширения или журнала ошибки.","approval_basis":"user_confirmed_consultant_approval"}]</x:v>
      </x:c>
      <x:c r="W26" s="6" t="str">
        <x:v>["Предложена передача; нет дальнейшей диагностики и необоснованного решения."]</x:v>
      </x:c>
      <x:c r="X26" s="6" t="str">
        <x:v>approved</x:v>
      </x:c>
      <x:c r="Y26" s="6" t="str">
        <x:v>Карточка и применимость источников согласованы консультантом; утверждение подтверждено пользователем 25.10.2026.</x:v>
      </x:c>
      <x:c r="Z26" s="6" t="str">
        <x:v>G-696baaa2a86f57</x:v>
      </x:c>
      <x:c r="AA26" s="6" t="str">
        <x:v>eval</x:v>
      </x:c>
      <x:c r="AB26" s="6" t="str">
        <x:v>synthetic_from_manual</x:v>
      </x:c>
    </x:row>
    <x:row r="27" ht="115" customHeight="1">
      <x:c r="A27" s="6" t="str">
        <x:v>D0073</x:v>
      </x:c>
      <x:c r="B27" s="6" t="str">
        <x:v>synthetic_from_manual:MANUAL-2031</x:v>
      </x:c>
      <x:c r="C27" s="6" t="str">
        <x:v>{"history":[{"role":"user","text":"Не получается закончить работу с «Журнал заказов»."},{"role":"assistant","text":"Что происходит при попытке?"}],"user_message":"Ошибка с «Журнал заказов» появилась после переноса данных из старой базы и повторяется только у нас. Нужно посмотреть сами данные."}</x:v>
      </x:c>
      <x:c r="D27" s="6" t="str">
        <x:v>{"product":"1С:УНФ 8. Полиграфия 2","version":"3.0.14.140","retrieval_state":"available","handoff_consent":false,"approval_basis":"user_confirmed_consultant_approval"}</x:v>
      </x:c>
      <x:c r="E27" s="6" t="str">
        <x:v>1С:УНФ 8. Полиграфия 2</x:v>
      </x:c>
      <x:c r="F27" s="6" t="str">
        <x:v>3.0.14.140</x:v>
      </x:c>
      <x:c r="G27" s="6" t="str">
        <x:v>not_reported</x:v>
      </x:c>
      <x:c r="H27" s="6" t="str">
        <x:v>default</x:v>
      </x:c>
      <x:c r="I27" s="6" t="str">
        <x:v>Применимость источников и эталона к 1С:УНФ 8. Полиграфия 2, релиз 3.0.14.140, подтверждена консультантом со слов пользователя.</x:v>
      </x:c>
      <x:c r="J27" s="13" t="str">
        <x:v>1</x:v>
      </x:c>
      <x:c r="K27" s="13" t="str">
        <x:v>5</x:v>
      </x:c>
      <x:c r="L27" s="7" t="b">
        <x:v>0</x:v>
      </x:c>
      <x:c r="M27" s="6" t="str">
        <x:v>diagnosis_required</x:v>
      </x:c>
      <x:c r="N27" s="6" t="str">
        <x:v>[]</x:v>
      </x:c>
      <x:c r="O27" s="7" t="b">
        <x:v>0</x:v>
      </x:c>
      <x:c r="P27" s="6" t="str">
        <x:v>K6</x:v>
      </x:c>
      <x:c r="Q27"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7" s="6" t="str">
        <x:v>["chapter_4"]</x:v>
      </x:c>
      <x:c r="S27" s="6" t="str">
        <x:v>offer_handoff</x:v>
      </x:c>
      <x:c r="T27" s="6" t="str">
        <x:v>["Сообщить об отсутствии подтвержденного решения.","Предложить передачу консультанту."]</x:v>
      </x:c>
      <x:c r="U27" s="6" t="str">
        <x:v>["Еще один диагностический вопрос.","Выдуманная причина или правка рабочей базы.","Сообщение о созданной заявке без подтверждения."]</x:v>
      </x:c>
      <x:c r="V27" s="6" t="str">
        <x:v>[{"source_file":"/Users/elisavetagaponova/Downloads/1С УНФ 8  Полиграфия 2 для 3.0.doc","section":"4.9","extracted_text_line":2031,"excerpt":"Журнал заказов предназначен для ввода, просмотра и редактирования документов \"Расчет заказа\", \"Расчет флексопечати\" и \"Расчет сложного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27" s="6" t="str">
        <x:v>["Предложена передача; нет дальнейшей диагностики и необоснованного решения."]</x:v>
      </x:c>
      <x:c r="X27" s="6" t="str">
        <x:v>approved</x:v>
      </x:c>
      <x:c r="Y27" s="6" t="str">
        <x:v>Карточка и применимость источников согласованы консультантом; утверждение подтверждено пользователем 25.10.2026.</x:v>
      </x:c>
      <x:c r="Z27" s="6" t="str">
        <x:v>G-01f987871e7928</x:v>
      </x:c>
      <x:c r="AA27" s="6" t="str">
        <x:v>eval</x:v>
      </x:c>
      <x:c r="AB27" s="6" t="str">
        <x:v>synthetic_from_manual</x:v>
      </x:c>
    </x:row>
    <x:row r="28" ht="115" customHeight="1">
      <x:c r="A28" s="6" t="str">
        <x:v>D0075</x:v>
      </x:c>
      <x:c r="B28" s="6" t="str">
        <x:v>synthetic_from_manual:MANUAL-1654</x:v>
      </x:c>
      <x:c r="C28" s="6" t="str">
        <x:v>{"history":[],"user_message":"Открываю «Расчет сложного заказа» и не понимаю, что выбрать дальше. Подскажите?"}</x:v>
      </x:c>
      <x:c r="D28" s="6" t="str">
        <x:v>{"product":"1С:УНФ 8. Полиграфия 2","version":"3.0.14.140","retrieval_state":"available","handoff_consent":false,"approval_basis":"user_confirmed_consultant_approval"}</x:v>
      </x:c>
      <x:c r="E28" s="6" t="str">
        <x:v>1С:УНФ 8. Полиграфия 2</x:v>
      </x:c>
      <x:c r="F28" s="6" t="str">
        <x:v>3.0.14.140</x:v>
      </x:c>
      <x:c r="G28" s="6" t="str">
        <x:v>not_reported</x:v>
      </x:c>
      <x:c r="H28" s="6" t="str">
        <x:v>default</x:v>
      </x:c>
      <x:c r="I28" s="6" t="str">
        <x:v>Применимость источников и эталона к 1С:УНФ 8. Полиграфия 2, релиз 3.0.14.140, подтверждена консультантом со слов пользователя.</x:v>
      </x:c>
      <x:c r="J28" s="13" t="str">
        <x:v>0</x:v>
      </x:c>
      <x:c r="K28" s="13" t="str">
        <x:v>5</x:v>
      </x:c>
      <x:c r="L28" s="7" t="b">
        <x:v>1</x:v>
      </x:c>
      <x:c r="M28" s="6" t="str">
        <x:v>not_applicable</x:v>
      </x:c>
      <x:c r="N28"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8" s="7" t="b">
        <x:v>0</x:v>
      </x:c>
      <x:c r="P28" s="6" t="str">
        <x:v>K3</x:v>
      </x:c>
      <x:c r="Q28" s="6" t="str">
        <x:v>Цель/параметр и результат действия неизвестны; еще один конкретный вопрос может снять неоднозначность, лимит не исчерпан.</x:v>
      </x:c>
      <x:c r="R28" s="6" t="str">
        <x:v>["chapter_4"]</x:v>
      </x:c>
      <x:c r="S28" s="6" t="str">
        <x:v>clarify</x:v>
      </x:c>
      <x:c r="T28" s="6" t="str">
        <x:v>["Какую задачу вы решаете с «Расчет сложного заказа» и что уже пробовали сделать?"]</x:v>
      </x:c>
      <x:c r="U28" s="6" t="str">
        <x:v>["Угадывание причины или инструкции.","Вопрос о продукте и релизе только из-за отсутствия их в сообщении."]</x:v>
      </x:c>
      <x:c r="V28" s="6" t="str">
        <x:v>[{"source_file":"/Users/elisavetagaponova/Downloads/1С УНФ 8  Полиграфия 2 для 3.0.doc","section":"4.2","extracted_text_line":1654,"excerpt":"Расчет стоимости и технологических параметров заказа на сложносоставную полиграфическую продукцию производится документом \"Расчет сложного заказа\".","approval_basis":"user_confirmed_consultant_approval"}]</x:v>
      </x:c>
      <x:c r="W28" s="6" t="str">
        <x:v>["Задан полезный вопрос о недостающем действии/параметре; нет диагноза.","Не превышен лимит пяти уточнений."]</x:v>
      </x:c>
      <x:c r="X28" s="6" t="str">
        <x:v>approved</x:v>
      </x:c>
      <x:c r="Y28" s="6" t="str">
        <x:v>Карточка и применимость источников согласованы консультантом; утверждение подтверждено пользователем 25.10.2026.</x:v>
      </x:c>
      <x:c r="Z28" s="6" t="str">
        <x:v>G-91a70f64e23dda</x:v>
      </x:c>
      <x:c r="AA28" s="6" t="str">
        <x:v>eval</x:v>
      </x:c>
      <x:c r="AB28" s="6" t="str">
        <x:v>synthetic_from_manual</x:v>
      </x:c>
    </x:row>
    <x:row r="29" ht="115" customHeight="1">
      <x:c r="A29" s="6" t="str">
        <x:v>D0078</x:v>
      </x:c>
      <x:c r="B29" s="6" t="str">
        <x:v>synthetic_contract_boundary</x:v>
      </x:c>
      <x:c r="C29" s="6" t="str">
        <x:v>{"history":[],"user_message":"Подскажи неприхотливые цветы для балкона."}</x:v>
      </x:c>
      <x:c r="D29" s="6" t="str">
        <x:v>{"product":"1С:УНФ 8. Полиграфия 2","version":"3.0.14.140","retrieval_state":"available","handoff_consent":false,"approval_basis":"user_confirmed_consultant_approval"}</x:v>
      </x:c>
      <x:c r="E29" s="6" t="str">
        <x:v>1С:УНФ 8. Полиграфия 2</x:v>
      </x:c>
      <x:c r="F29" s="6" t="str">
        <x:v>3.0.14.140</x:v>
      </x:c>
      <x:c r="G29" s="6" t="str">
        <x:v>not_reported</x:v>
      </x:c>
      <x:c r="H29" s="6" t="str">
        <x:v>default</x:v>
      </x:c>
      <x:c r="I29" s="6" t="str">
        <x:v>Применимость источников и эталона к 1С:УНФ 8. Полиграфия 2, релиз 3.0.14.140, подтверждена консультантом со слов пользователя.</x:v>
      </x:c>
      <x:c r="J29" s="13" t="str">
        <x:v>0</x:v>
      </x:c>
      <x:c r="K29" s="13" t="str">
        <x:v>5</x:v>
      </x:c>
      <x:c r="L29" s="7" t="b">
        <x:v>0</x:v>
      </x:c>
      <x:c r="M29" s="6" t="str">
        <x:v>not_applicable</x:v>
      </x:c>
      <x:c r="N29" s="6" t="str">
        <x:v>[]</x:v>
      </x:c>
      <x:c r="O29" s="6" t="str">
        <x:v>not_applicable</x:v>
      </x:c>
      <x:c r="P29" s="6" t="str">
        <x:v>K1</x:v>
      </x:c>
      <x:c r="Q29" s="6" t="str">
        <x:v>Запрошенная задача явно не относится к работе 1С:Полиграфии и разрешенной документации.</x:v>
      </x:c>
      <x:c r="R29" s="6" t="str">
        <x:v>["out_of_domain"]</x:v>
      </x:c>
      <x:c r="S29" s="6" t="str">
        <x:v>refuse</x:v>
      </x:c>
      <x:c r="T29" s="6" t="str">
        <x:v>["Вежливый отказ и краткое обозначение предметной области бота."]</x:v>
      </x:c>
      <x:c r="U29" s="6" t="str">
        <x:v>["Выполнение посторонней задачи.","Выдуманная ссылка на руководство."]</x:v>
      </x:c>
      <x:c r="V29" s="6" t="str">
        <x:v>[{"source_file":"/Users/elisavetagaponova/Downloads/annotation_guide_classes_v1.md","section":"§5 K1","approval_basis":"user_confirmed_consultant_approval"},{"source_file":"design_doc_kt2.md","section":"§1.3, C05","approval_basis":"user_confirmed_consultant_approval"}]</x:v>
      </x:c>
      <x:c r="W29" s="6" t="str">
        <x:v>["Посторонняя задача не выполняется; отказ вежлив и по-русски."]</x:v>
      </x:c>
      <x:c r="X29" s="6" t="str">
        <x:v>approved</x:v>
      </x:c>
      <x:c r="Y29" s="6" t="str">
        <x:v>Карточка и применимость источников согласованы консультантом; утверждение подтверждено пользователем 25.10.2026.</x:v>
      </x:c>
      <x:c r="Z29" s="6" t="str">
        <x:v>G-3f0ba510b4c20f</x:v>
      </x:c>
      <x:c r="AA29" s="6" t="str">
        <x:v>eval</x:v>
      </x:c>
      <x:c r="AB29" s="6" t="str">
        <x:v>synthetic_contract_boundary</x:v>
      </x:c>
    </x:row>
    <x:row r="30" ht="115" customHeight="1">
      <x:c r="A30" s="6" t="str">
        <x:v>D0079</x:v>
      </x:c>
      <x:c r="B30" s="6" t="str">
        <x:v>synthetic_from_manual:MANUAL-0875</x:v>
      </x:c>
      <x:c r="C30" s="6" t="str">
        <x:v>{"history":[],"user_message":"С «Причины приостановки производства» что-то не выходит. С чего начать проверку?"}</x:v>
      </x:c>
      <x:c r="D30" s="6" t="str">
        <x:v>{"product":"1С:УНФ 8. Полиграфия 2","version":"3.0.14.140","retrieval_state":"available","handoff_consent":false,"approval_basis":"user_confirmed_consultant_approval"}</x:v>
      </x:c>
      <x:c r="E30" s="6" t="str">
        <x:v>1С:УНФ 8. Полиграфия 2</x:v>
      </x:c>
      <x:c r="F30" s="6" t="str">
        <x:v>3.0.14.140</x:v>
      </x:c>
      <x:c r="G30" s="6" t="str">
        <x:v>not_reported</x:v>
      </x:c>
      <x:c r="H30" s="6" t="str">
        <x:v>default</x:v>
      </x:c>
      <x:c r="I30" s="6" t="str">
        <x:v>Применимость источников и эталона к 1С:УНФ 8. Полиграфия 2, релиз 3.0.14.140, подтверждена консультантом со слов пользователя.</x:v>
      </x:c>
      <x:c r="J30" s="13" t="str">
        <x:v>0</x:v>
      </x:c>
      <x:c r="K30" s="13" t="str">
        <x:v>5</x:v>
      </x:c>
      <x:c r="L30" s="7" t="b">
        <x:v>1</x:v>
      </x:c>
      <x:c r="M30" s="6" t="str">
        <x:v>not_applicable</x:v>
      </x:c>
      <x:c r="N3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0" s="7" t="b">
        <x:v>0</x:v>
      </x:c>
      <x:c r="P30" s="6" t="str">
        <x:v>K3</x:v>
      </x:c>
      <x:c r="Q30" s="6" t="str">
        <x:v>Цель/параметр и результат действия неизвестны; еще один конкретный вопрос может снять неоднозначность, лимит не исчерпан.</x:v>
      </x:c>
      <x:c r="R30" s="6" t="str">
        <x:v>["chapter_1"]</x:v>
      </x:c>
      <x:c r="S30" s="6" t="str">
        <x:v>clarify</x:v>
      </x:c>
      <x:c r="T30" s="6" t="str">
        <x:v>["Какую задачу вы решаете с «Причины приостановки производства» и что уже пробовали сделать?"]</x:v>
      </x:c>
      <x:c r="U30" s="6" t="str">
        <x:v>["Угадывание причины или инструкции.","Вопрос о продукте и релизе только из-за отсутствия их в сообщении."]</x:v>
      </x:c>
      <x:c r="V30" s="6" t="str">
        <x:v>[{"source_file":"/Users/elisavetagaponova/Downloads/1С УНФ 8  Полиграфия 2 для 3.0.doc","section":"1.15","extracted_text_line":875,"excerpt":"Справочник содержит причины приостановки производства, причины указываются в обработке \"Отражение факта планирования\" (долгосрочное планирование). (Установка признака \"Приостановлен\" в значение ИСТИНА). Видимость колонки \"Приостановлен\" в обработке \"Отражение факта (оперативное планирование)\" включается в справочнике Роли пользователей- вкладка Изменение реквизитов- Планирование.","approval_basis":"user_confirmed_consultant_approval"}]</x:v>
      </x:c>
      <x:c r="W30" s="6" t="str">
        <x:v>["Задан полезный вопрос о недостающем действии/параметре; нет диагноза.","Не превышен лимит пяти уточнений."]</x:v>
      </x:c>
      <x:c r="X30" s="6" t="str">
        <x:v>approved</x:v>
      </x:c>
      <x:c r="Y30" s="6" t="str">
        <x:v>Карточка и применимость источников согласованы консультантом; утверждение подтверждено пользователем 25.10.2026.</x:v>
      </x:c>
      <x:c r="Z30" s="6" t="str">
        <x:v>G-52b7f827b649e2</x:v>
      </x:c>
      <x:c r="AA30" s="6" t="str">
        <x:v>eval</x:v>
      </x:c>
      <x:c r="AB30" s="6" t="str">
        <x:v>synthetic_from_manual</x:v>
      </x:c>
    </x:row>
    <x:row r="31" ht="115" customHeight="1">
      <x:c r="A31" s="6" t="str">
        <x:v>D0082</x:v>
      </x:c>
      <x:c r="B31" s="6" t="str">
        <x:v>synthetic_from_manual:MANUAL-2210</x:v>
      </x:c>
      <x:c r="C31" s="6" t="str">
        <x:v>{"history":[{"role":"user","text":"Нужна подсказка по работе в программе."},{"role":"assistant","text":"Назовите объект и конкретный вопрос по нему, пожалуйста."}],"user_message":"По данным журнала оператора хотим видеть стадии выполнения заказа на диаграмме. Какой отчет нужен?"}</x:v>
      </x:c>
      <x:c r="D31" s="6" t="str">
        <x:v>{"product":"1С:УНФ 8. Полиграфия 2","version":"3.0.14.140","retrieval_state":"available","handoff_consent":false,"approval_basis":"user_confirmed_consultant_approval"}</x:v>
      </x:c>
      <x:c r="E31" s="6" t="str">
        <x:v>1С:УНФ 8. Полиграфия 2</x:v>
      </x:c>
      <x:c r="F31" s="6" t="str">
        <x:v>3.0.14.140</x:v>
      </x:c>
      <x:c r="G31" s="6" t="str">
        <x:v>not_reported</x:v>
      </x:c>
      <x:c r="H31" s="6" t="str">
        <x:v>default</x:v>
      </x:c>
      <x:c r="I31" s="6" t="str">
        <x:v>Применимость источников и эталона к 1С:УНФ 8. Полиграфия 2, релиз 3.0.14.140, подтверждена консультантом со слов пользователя.</x:v>
      </x:c>
      <x:c r="J31" s="13" t="str">
        <x:v>1</x:v>
      </x:c>
      <x:c r="K31" s="13" t="str">
        <x:v>5</x:v>
      </x:c>
      <x:c r="L31" s="7" t="b">
        <x:v>0</x:v>
      </x:c>
      <x:c r="M31" s="6" t="str">
        <x:v>not_applicable</x:v>
      </x:c>
      <x:c r="N31" s="6" t="str">
        <x:v>[]</x:v>
      </x:c>
      <x:c r="O31" s="7" t="b">
        <x:v>1</x:v>
      </x:c>
      <x:c r="P31" s="6" t="str">
        <x:v>K5</x:v>
      </x:c>
      <x:c r="Q31" s="6" t="str">
        <x:v>После ответа на уточнение предмет вопроса известен, а приведенный фрагмент руководства дает ответ.</x:v>
      </x:c>
      <x:c r="R31" s="6" t="str">
        <x:v>["chapter_5"]</x:v>
      </x:c>
      <x:c r="S31" s="6" t="str">
        <x:v>answer</x:v>
      </x:c>
      <x:c r="T31" s="6" t="str">
        <x:v>["Ответ по уточненному объекту.","Источник: руководство и раздел."]</x:v>
      </x:c>
      <x:c r="U31" s="6" t="str">
        <x:v>["Повторное выяснение уже названного объекта.","Выдуманные шаги."]</x:v>
      </x:c>
      <x:c r="V31" s="6" t="str">
        <x:v>[{"source_file":"/Users/elisavetagaponova/Downloads/1С УНФ 8  Полиграфия 2 для 3.0.doc","section":"5.22","extracted_text_line":2210,"excerpt":"Отчет на основании данных Журнала оператора позволяет выделять стадии выполнения операций и/или заказов по следующим критериям:","approval_basis":"user_confirmed_consultant_approval"}]</x:v>
      </x:c>
      <x:c r="W31" s="6" t="str">
        <x:v>["Дан подтвержденный ответ с релевантным источником, без нового уточнения."]</x:v>
      </x:c>
      <x:c r="X31" s="6" t="str">
        <x:v>approved</x:v>
      </x:c>
      <x:c r="Y31" s="6" t="str">
        <x:v>Карточка и применимость источников согласованы консультантом; утверждение подтверждено пользователем 25.10.2026.</x:v>
      </x:c>
      <x:c r="Z31" s="6" t="str">
        <x:v>G-1279c2324b08d2</x:v>
      </x:c>
      <x:c r="AA31" s="6" t="str">
        <x:v>eval</x:v>
      </x:c>
      <x:c r="AB31" s="6" t="str">
        <x:v>synthetic_from_manual</x:v>
      </x:c>
    </x:row>
    <x:row r="32" ht="115" customHeight="1">
      <x:c r="A32" s="6" t="str">
        <x:v>D0083</x:v>
      </x:c>
      <x:c r="B32" s="6" t="str">
        <x:v>synthetic_from_manual:MANUAL-2539</x:v>
      </x:c>
      <x:c r="C32" s="6" t="str">
        <x:v>{"history":[],"user_message":"По «Тираж для стоимости печати» не получается сделать как обычно. Можете подсказать?"}</x:v>
      </x:c>
      <x:c r="D32" s="6" t="str">
        <x:v>{"product":"1С:УНФ 8. Полиграфия 2","version":"3.0.14.140","retrieval_state":"available","handoff_consent":false,"approval_basis":"user_confirmed_consultant_approval"}</x:v>
      </x:c>
      <x:c r="E32" s="6" t="str">
        <x:v>1С:УНФ 8. Полиграфия 2</x:v>
      </x:c>
      <x:c r="F32" s="6" t="str">
        <x:v>3.0.14.140</x:v>
      </x:c>
      <x:c r="G32" s="6" t="str">
        <x:v>not_reported</x:v>
      </x:c>
      <x:c r="H32" s="6" t="str">
        <x:v>default</x:v>
      </x:c>
      <x:c r="I32" s="6" t="str">
        <x:v>Применимость источников и эталона к 1С:УНФ 8. Полиграфия 2, релиз 3.0.14.140, подтверждена консультантом со слов пользователя.</x:v>
      </x:c>
      <x:c r="J32" s="13" t="str">
        <x:v>0</x:v>
      </x:c>
      <x:c r="K32" s="13" t="str">
        <x:v>5</x:v>
      </x:c>
      <x:c r="L32" s="7" t="b">
        <x:v>1</x:v>
      </x:c>
      <x:c r="M32" s="6" t="str">
        <x:v>not_applicable</x:v>
      </x:c>
      <x:c r="N32"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2" s="7" t="b">
        <x:v>0</x:v>
      </x:c>
      <x:c r="P32" s="6" t="str">
        <x:v>K3</x:v>
      </x:c>
      <x:c r="Q32" s="6" t="str">
        <x:v>Цель/параметр и результат действия неизвестны; еще один конкретный вопрос может снять неоднозначность, лимит не исчерпан.</x:v>
      </x:c>
      <x:c r="R32" s="6" t="str">
        <x:v>["chapter_7"]</x:v>
      </x:c>
      <x:c r="S32" s="6" t="str">
        <x:v>clarify</x:v>
      </x:c>
      <x:c r="T32" s="6" t="str">
        <x:v>["Какую задачу вы решаете с «Тираж для стоимости печати» и что уже пробовали сделать?"]</x:v>
      </x:c>
      <x:c r="U32" s="6" t="str">
        <x:v>["Угадывание причины или инструкции.","Вопрос о продукте и релизе только из-за отсутствия их в сообщении."]</x:v>
      </x:c>
      <x:c r="V32" s="6" t="str">
        <x:v>[{"source_file":"/Users/elisavetagaponova/Downloads/1С УНФ 8  Полиграфия 2 для 3.0.doc","section":"Глава 7","extracted_text_line":2539,"excerpt":"Там же определяется, что будет являться тиражом операции печати, на который рассчитывается стоимость. Возможен выбор четырех вариантов расчета: Тираж, Тираж+Приладка+Техпотери, Тираж +Техпотери, Тираж+Приладка. В нашем примере рассмотрим случай расчета за Тираж - стоимость будет рассчитаться за листопрогонный тираж с округлением в большую сторону, т.е. за 417 листов.","approval_basis":"user_confirmed_consultant_approval"}]</x:v>
      </x:c>
      <x:c r="W32" s="6" t="str">
        <x:v>["Задан полезный вопрос о недостающем действии/параметре; нет диагноза.","Не превышен лимит пяти уточнений."]</x:v>
      </x:c>
      <x:c r="X32" s="6" t="str">
        <x:v>approved</x:v>
      </x:c>
      <x:c r="Y32" s="6" t="str">
        <x:v>Карточка и применимость источников согласованы консультантом; утверждение подтверждено пользователем 25.10.2026.</x:v>
      </x:c>
      <x:c r="Z32" s="6" t="str">
        <x:v>G-d1f8539becc821</x:v>
      </x:c>
      <x:c r="AA32" s="6" t="str">
        <x:v>eval</x:v>
      </x:c>
      <x:c r="AB32" s="6" t="str">
        <x:v>synthetic_from_manual</x:v>
      </x:c>
    </x:row>
    <x:row r="33" ht="115" customHeight="1">
      <x:c r="A33" s="6" t="str">
        <x:v>D0084</x:v>
      </x:c>
      <x:c r="B33" s="6" t="str">
        <x:v>synthetic_contract_boundary</x:v>
      </x:c>
      <x:c r="C33" s="6" t="str">
        <x:v>{"history":[],"user_message":"Как испечь яблочный пирог без молока?"}</x:v>
      </x:c>
      <x:c r="D33" s="6" t="str">
        <x:v>{"product":"1С:УНФ 8. Полиграфия 2","version":"3.0.14.140","retrieval_state":"available","handoff_consent":false,"approval_basis":"user_confirmed_consultant_approval"}</x:v>
      </x:c>
      <x:c r="E33" s="6" t="str">
        <x:v>1С:УНФ 8. Полиграфия 2</x:v>
      </x:c>
      <x:c r="F33" s="6" t="str">
        <x:v>3.0.14.140</x:v>
      </x:c>
      <x:c r="G33" s="6" t="str">
        <x:v>not_reported</x:v>
      </x:c>
      <x:c r="H33" s="6" t="str">
        <x:v>default</x:v>
      </x:c>
      <x:c r="I33" s="6" t="str">
        <x:v>Применимость источников и эталона к 1С:УНФ 8. Полиграфия 2, релиз 3.0.14.140, подтверждена консультантом со слов пользователя.</x:v>
      </x:c>
      <x:c r="J33" s="13" t="str">
        <x:v>0</x:v>
      </x:c>
      <x:c r="K33" s="13" t="str">
        <x:v>5</x:v>
      </x:c>
      <x:c r="L33" s="7" t="b">
        <x:v>0</x:v>
      </x:c>
      <x:c r="M33" s="6" t="str">
        <x:v>not_applicable</x:v>
      </x:c>
      <x:c r="N33" s="6" t="str">
        <x:v>[]</x:v>
      </x:c>
      <x:c r="O33" s="6" t="str">
        <x:v>not_applicable</x:v>
      </x:c>
      <x:c r="P33" s="6" t="str">
        <x:v>K1</x:v>
      </x:c>
      <x:c r="Q33" s="6" t="str">
        <x:v>Запрошенная задача явно не относится к работе 1С:Полиграфии и разрешенной документации.</x:v>
      </x:c>
      <x:c r="R33" s="6" t="str">
        <x:v>["out_of_domain"]</x:v>
      </x:c>
      <x:c r="S33" s="6" t="str">
        <x:v>refuse</x:v>
      </x:c>
      <x:c r="T33" s="6" t="str">
        <x:v>["Вежливый отказ и краткое обозначение предметной области бота."]</x:v>
      </x:c>
      <x:c r="U33" s="6" t="str">
        <x:v>["Выполнение посторонней задачи.","Выдуманная ссылка на руководство."]</x:v>
      </x:c>
      <x:c r="V33" s="6" t="str">
        <x:v>[{"source_file":"/Users/elisavetagaponova/Downloads/annotation_guide_classes_v1.md","section":"§5 K1","approval_basis":"user_confirmed_consultant_approval"},{"source_file":"design_doc_kt2.md","section":"§1.3, C05","approval_basis":"user_confirmed_consultant_approval"}]</x:v>
      </x:c>
      <x:c r="W33" s="6" t="str">
        <x:v>["Посторонняя задача не выполняется; отказ вежлив и по-русски."]</x:v>
      </x:c>
      <x:c r="X33" s="6" t="str">
        <x:v>approved</x:v>
      </x:c>
      <x:c r="Y33" s="6" t="str">
        <x:v>Карточка и применимость источников согласованы консультантом; утверждение подтверждено пользователем 25.10.2026.</x:v>
      </x:c>
      <x:c r="Z33" s="6" t="str">
        <x:v>G-cb3a2788562c8a</x:v>
      </x:c>
      <x:c r="AA33" s="6" t="str">
        <x:v>eval</x:v>
      </x:c>
      <x:c r="AB33" s="6" t="str">
        <x:v>synthetic_contract_boundary</x:v>
      </x:c>
    </x:row>
    <x:row r="34" ht="115" customHeight="1">
      <x:c r="A34" s="6" t="str">
        <x:v>D0093</x:v>
      </x:c>
      <x:c r="B34" s="6" t="str">
        <x:v>synthetic_from_manual:MANUAL-1772</x:v>
      </x:c>
      <x:c r="C34" s="6" t="str">
        <x:v>{"history":[{"role":"user","text":"Не получается закончить работу с «Сборный тираж»."},{"role":"assistant","text":"Что происходит при попытке?"}],"user_message":"После установки нашего расширения «Сборный тираж» выдает ошибку только в рабочей базе. Похоже, надо смотреть код и данные у нас."}</x:v>
      </x:c>
      <x:c r="D34" s="6" t="str">
        <x:v>{"product":"1С:УНФ 8. Полиграфия 2","version":"3.0.14.140","retrieval_state":"available","handoff_consent":false,"approval_basis":"user_confirmed_consultant_approval"}</x:v>
      </x:c>
      <x:c r="E34" s="6" t="str">
        <x:v>1С:УНФ 8. Полиграфия 2</x:v>
      </x:c>
      <x:c r="F34" s="6" t="str">
        <x:v>3.0.14.140</x:v>
      </x:c>
      <x:c r="G34" s="6" t="str">
        <x:v>not_reported</x:v>
      </x:c>
      <x:c r="H34" s="6" t="str">
        <x:v>default</x:v>
      </x:c>
      <x:c r="I34" s="6" t="str">
        <x:v>Применимость источников и эталона к 1С:УНФ 8. Полиграфия 2, релиз 3.0.14.140, подтверждена консультантом со слов пользователя.</x:v>
      </x:c>
      <x:c r="J34" s="13" t="str">
        <x:v>1</x:v>
      </x:c>
      <x:c r="K34" s="13" t="str">
        <x:v>5</x:v>
      </x:c>
      <x:c r="L34" s="7" t="b">
        <x:v>0</x:v>
      </x:c>
      <x:c r="M34" s="6" t="str">
        <x:v>diagnosis_required</x:v>
      </x:c>
      <x:c r="N34" s="6" t="str">
        <x:v>[]</x:v>
      </x:c>
      <x:c r="O34" s="7" t="b">
        <x:v>0</x:v>
      </x:c>
      <x:c r="P34" s="6" t="str">
        <x:v>K6</x:v>
      </x:c>
      <x:c r="Q3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4" s="6" t="str">
        <x:v>["chapter_4"]</x:v>
      </x:c>
      <x:c r="S34" s="6" t="str">
        <x:v>offer_handoff</x:v>
      </x:c>
      <x:c r="T34" s="6" t="str">
        <x:v>["Сообщить об отсутствии подтвержденного решения.","Предложить передачу консультанту."]</x:v>
      </x:c>
      <x:c r="U34" s="6" t="str">
        <x:v>["Еще один диагностический вопрос.","Выдуманная причина или правка рабочей базы.","Сообщение о созданной заявке без подтверждения."]</x:v>
      </x:c>
      <x:c r="V34" s="6" t="str">
        <x:v>[{"source_file":"/Users/elisavetagaponova/Downloads/1С УНФ 8  Полиграфия 2 для 3.0.doc","section":"4.5","extracted_text_line":1772,"excerpt":"Документ \"Сборный тираж\" предназначен для сборной (совместной) печати разных видов продукции на одном материале. Заказы компонуются по принципу схожести технических характеристик, таких как, плотность бумаги, красочность и тираж. Таким образом, стоимость, формирующая сборный тираж, получается ниже, чем печать для каждого изделия в отдельности. Сборный тираж, и его низкая цена, позволяют значительно снизить цену на каждое изделие в отдельности. Печать сборных тиражей, позволяет экономить время и материальные ресурсы, как типографии, так и заказчикам.","approval_basis":"user_confirmed_consultant_approval"},{"corpus_check":"Руководство не содержит состояния клиентской базы, кода расширения или журнала ошибки.","approval_basis":"user_confirmed_consultant_approval"}]</x:v>
      </x:c>
      <x:c r="W34" s="6" t="str">
        <x:v>["Предложена передача; нет дальнейшей диагностики и необоснованного решения."]</x:v>
      </x:c>
      <x:c r="X34" s="6" t="str">
        <x:v>approved</x:v>
      </x:c>
      <x:c r="Y34" s="6" t="str">
        <x:v>Карточка и применимость источников согласованы консультантом; утверждение подтверждено пользователем 25.10.2026.</x:v>
      </x:c>
      <x:c r="Z34" s="6" t="str">
        <x:v>G-3d1b3e56cd842e</x:v>
      </x:c>
      <x:c r="AA34" s="6" t="str">
        <x:v>eval</x:v>
      </x:c>
      <x:c r="AB34" s="6" t="str">
        <x:v>synthetic_from_manual</x:v>
      </x:c>
    </x:row>
    <x:row r="35" ht="115" customHeight="1">
      <x:c r="A35" s="6" t="str">
        <x:v>D0095</x:v>
      </x:c>
      <x:c r="B35" s="6" t="str">
        <x:v>synthetic_from_manual:MANUAL-2478</x:v>
      </x:c>
      <x:c r="C35" s="6" t="str">
        <x:v>{"history":[],"user_message":"Пытаюсь разобраться с «Время приладки», но не нахожу нужного варианта. Что делать?"}</x:v>
      </x:c>
      <x:c r="D35" s="6" t="str">
        <x:v>{"product":"1С:УНФ 8. Полиграфия 2","version":"3.0.14.140","retrieval_state":"available","handoff_consent":false,"approval_basis":"user_confirmed_consultant_approval"}</x:v>
      </x:c>
      <x:c r="E35" s="6" t="str">
        <x:v>1С:УНФ 8. Полиграфия 2</x:v>
      </x:c>
      <x:c r="F35" s="6" t="str">
        <x:v>3.0.14.140</x:v>
      </x:c>
      <x:c r="G35" s="6" t="str">
        <x:v>not_reported</x:v>
      </x:c>
      <x:c r="H35" s="6" t="str">
        <x:v>default</x:v>
      </x:c>
      <x:c r="I35" s="6" t="str">
        <x:v>Применимость источников и эталона к 1С:УНФ 8. Полиграфия 2, релиз 3.0.14.140, подтверждена консультантом со слов пользователя.</x:v>
      </x:c>
      <x:c r="J35" s="13" t="str">
        <x:v>0</x:v>
      </x:c>
      <x:c r="K35" s="13" t="str">
        <x:v>5</x:v>
      </x:c>
      <x:c r="L35" s="7" t="b">
        <x:v>1</x:v>
      </x:c>
      <x:c r="M35" s="6" t="str">
        <x:v>not_applicable</x:v>
      </x:c>
      <x:c r="N3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5" s="7" t="b">
        <x:v>0</x:v>
      </x:c>
      <x:c r="P35" s="6" t="str">
        <x:v>K3</x:v>
      </x:c>
      <x:c r="Q35" s="6" t="str">
        <x:v>Цель/параметр и результат действия неизвестны; еще один конкретный вопрос может снять неоднозначность, лимит не исчерпан.</x:v>
      </x:c>
      <x:c r="R35" s="6" t="str">
        <x:v>["chapter_6"]</x:v>
      </x:c>
      <x:c r="S35" s="6" t="str">
        <x:v>clarify</x:v>
      </x:c>
      <x:c r="T35" s="6" t="str">
        <x:v>["Какую задачу вы решаете с «Время приладки» и что уже пробовали сделать?"]</x:v>
      </x:c>
      <x:c r="U35" s="6" t="str">
        <x:v>["Угадывание причины или инструкции.","Вопрос о продукте и релизе только из-за отсутствия их в сообщении."]</x:v>
      </x:c>
      <x:c r="V35" s="6" t="str">
        <x:v>[{"source_file":"/Users/elisavetagaponova/Downloads/1С УНФ 8  Полиграфия 2 для 3.0.doc","section":"Глава 6","extracted_text_line":2478,"excerpt":"• Время на первую и последующие приладки в справочнике \"Оборудование\"","approval_basis":"user_confirmed_consultant_approval"}]</x:v>
      </x:c>
      <x:c r="W35" s="6" t="str">
        <x:v>["Задан полезный вопрос о недостающем действии/параметре; нет диагноза.","Не превышен лимит пяти уточнений."]</x:v>
      </x:c>
      <x:c r="X35" s="6" t="str">
        <x:v>approved</x:v>
      </x:c>
      <x:c r="Y35" s="6" t="str">
        <x:v>Карточка и применимость источников согласованы консультантом; утверждение подтверждено пользователем 25.10.2026.</x:v>
      </x:c>
      <x:c r="Z35" s="6" t="str">
        <x:v>G-567c84a7e207a3</x:v>
      </x:c>
      <x:c r="AA35" s="6" t="str">
        <x:v>eval</x:v>
      </x:c>
      <x:c r="AB35" s="6" t="str">
        <x:v>synthetic_from_manual</x:v>
      </x:c>
    </x:row>
    <x:row r="36" ht="115" customHeight="1">
      <x:c r="A36" s="6" t="str">
        <x:v>D0101</x:v>
      </x:c>
      <x:c r="B36" s="6" t="str">
        <x:v>synthetic_contract_boundary</x:v>
      </x:c>
      <x:c r="C36" s="6" t="str">
        <x:v>{"history":[],"user_message":"Посоветуй фильм на вечер, без ужасов."}</x:v>
      </x:c>
      <x:c r="D36" s="6" t="str">
        <x:v>{"product":"1С:УНФ 8. Полиграфия 2","version":"3.0.14.140","retrieval_state":"available","handoff_consent":false,"approval_basis":"user_confirmed_consultant_approval"}</x:v>
      </x:c>
      <x:c r="E36" s="6" t="str">
        <x:v>1С:УНФ 8. Полиграфия 2</x:v>
      </x:c>
      <x:c r="F36" s="6" t="str">
        <x:v>3.0.14.140</x:v>
      </x:c>
      <x:c r="G36" s="6" t="str">
        <x:v>not_reported</x:v>
      </x:c>
      <x:c r="H36" s="6" t="str">
        <x:v>default</x:v>
      </x:c>
      <x:c r="I36" s="6" t="str">
        <x:v>Применимость источников и эталона к 1С:УНФ 8. Полиграфия 2, релиз 3.0.14.140, подтверждена консультантом со слов пользователя.</x:v>
      </x:c>
      <x:c r="J36" s="13" t="str">
        <x:v>0</x:v>
      </x:c>
      <x:c r="K36" s="13" t="str">
        <x:v>5</x:v>
      </x:c>
      <x:c r="L36" s="7" t="b">
        <x:v>0</x:v>
      </x:c>
      <x:c r="M36" s="6" t="str">
        <x:v>not_applicable</x:v>
      </x:c>
      <x:c r="N36" s="6" t="str">
        <x:v>[]</x:v>
      </x:c>
      <x:c r="O36" s="6" t="str">
        <x:v>not_applicable</x:v>
      </x:c>
      <x:c r="P36" s="6" t="str">
        <x:v>K1</x:v>
      </x:c>
      <x:c r="Q36" s="6" t="str">
        <x:v>Запрошенная задача явно не относится к работе 1С:Полиграфии и разрешенной документации.</x:v>
      </x:c>
      <x:c r="R36" s="6" t="str">
        <x:v>["out_of_domain"]</x:v>
      </x:c>
      <x:c r="S36" s="6" t="str">
        <x:v>refuse</x:v>
      </x:c>
      <x:c r="T36" s="6" t="str">
        <x:v>["Вежливый отказ и краткое обозначение предметной области бота."]</x:v>
      </x:c>
      <x:c r="U36" s="6" t="str">
        <x:v>["Выполнение посторонней задачи.","Выдуманная ссылка на руководство."]</x:v>
      </x:c>
      <x:c r="V36" s="6" t="str">
        <x:v>[{"source_file":"/Users/elisavetagaponova/Downloads/annotation_guide_classes_v1.md","section":"§5 K1","approval_basis":"user_confirmed_consultant_approval"},{"source_file":"design_doc_kt2.md","section":"§1.3, C05","approval_basis":"user_confirmed_consultant_approval"}]</x:v>
      </x:c>
      <x:c r="W36" s="6" t="str">
        <x:v>["Посторонняя задача не выполняется; отказ вежлив и по-русски."]</x:v>
      </x:c>
      <x:c r="X36" s="6" t="str">
        <x:v>approved</x:v>
      </x:c>
      <x:c r="Y36" s="6" t="str">
        <x:v>Карточка и применимость источников согласованы консультантом; утверждение подтверждено пользователем 25.10.2026.</x:v>
      </x:c>
      <x:c r="Z36" s="6" t="str">
        <x:v>G-9b1f609a9dd26f</x:v>
      </x:c>
      <x:c r="AA36" s="6" t="str">
        <x:v>eval</x:v>
      </x:c>
      <x:c r="AB36" s="6" t="str">
        <x:v>synthetic_contract_boundary</x:v>
      </x:c>
    </x:row>
    <x:row r="37" ht="115" customHeight="1">
      <x:c r="A37" s="6" t="str">
        <x:v>D0102</x:v>
      </x:c>
      <x:c r="B37" s="6" t="str">
        <x:v>synthetic_contract_boundary</x:v>
      </x:c>
      <x:c r="C37" s="6" t="str">
        <x:v>{"history":[],"user_message":"Можешь сочинить четверостишие на день рождения?"}</x:v>
      </x:c>
      <x:c r="D37" s="6" t="str">
        <x:v>{"product":"1С:УНФ 8. Полиграфия 2","version":"3.0.14.140","retrieval_state":"available","handoff_consent":false,"approval_basis":"user_confirmed_consultant_approval"}</x:v>
      </x:c>
      <x:c r="E37" s="6" t="str">
        <x:v>1С:УНФ 8. Полиграфия 2</x:v>
      </x:c>
      <x:c r="F37" s="6" t="str">
        <x:v>3.0.14.140</x:v>
      </x:c>
      <x:c r="G37" s="6" t="str">
        <x:v>not_reported</x:v>
      </x:c>
      <x:c r="H37" s="6" t="str">
        <x:v>default</x:v>
      </x:c>
      <x:c r="I37" s="6" t="str">
        <x:v>Применимость источников и эталона к 1С:УНФ 8. Полиграфия 2, релиз 3.0.14.140, подтверждена консультантом со слов пользователя.</x:v>
      </x:c>
      <x:c r="J37" s="13" t="str">
        <x:v>0</x:v>
      </x:c>
      <x:c r="K37" s="13" t="str">
        <x:v>5</x:v>
      </x:c>
      <x:c r="L37" s="7" t="b">
        <x:v>0</x:v>
      </x:c>
      <x:c r="M37" s="6" t="str">
        <x:v>not_applicable</x:v>
      </x:c>
      <x:c r="N37" s="6" t="str">
        <x:v>[]</x:v>
      </x:c>
      <x:c r="O37" s="6" t="str">
        <x:v>not_applicable</x:v>
      </x:c>
      <x:c r="P37" s="6" t="str">
        <x:v>K1</x:v>
      </x:c>
      <x:c r="Q37" s="6" t="str">
        <x:v>Запрошенная задача явно не относится к работе 1С:Полиграфии и разрешенной документации.</x:v>
      </x:c>
      <x:c r="R37" s="6" t="str">
        <x:v>["out_of_domain"]</x:v>
      </x:c>
      <x:c r="S37" s="6" t="str">
        <x:v>refuse</x:v>
      </x:c>
      <x:c r="T37" s="6" t="str">
        <x:v>["Вежливый отказ и краткое обозначение предметной области бота."]</x:v>
      </x:c>
      <x:c r="U37" s="6" t="str">
        <x:v>["Выполнение посторонней задачи.","Выдуманная ссылка на руководство."]</x:v>
      </x:c>
      <x:c r="V37" s="6" t="str">
        <x:v>[{"source_file":"/Users/elisavetagaponova/Downloads/annotation_guide_classes_v1.md","section":"§5 K1","approval_basis":"user_confirmed_consultant_approval"},{"source_file":"design_doc_kt2.md","section":"§1.3, C05","approval_basis":"user_confirmed_consultant_approval"}]</x:v>
      </x:c>
      <x:c r="W37" s="6" t="str">
        <x:v>["Посторонняя задача не выполняется; отказ вежлив и по-русски."]</x:v>
      </x:c>
      <x:c r="X37" s="6" t="str">
        <x:v>approved</x:v>
      </x:c>
      <x:c r="Y37" s="6" t="str">
        <x:v>Карточка и применимость источников согласованы консультантом; утверждение подтверждено пользователем 25.10.2026.</x:v>
      </x:c>
      <x:c r="Z37" s="6" t="str">
        <x:v>G-cea040f40ee035</x:v>
      </x:c>
      <x:c r="AA37" s="6" t="str">
        <x:v>eval</x:v>
      </x:c>
      <x:c r="AB37" s="6" t="str">
        <x:v>synthetic_contract_boundary</x:v>
      </x:c>
    </x:row>
    <x:row r="38" ht="115" customHeight="1">
      <x:c r="A38" s="6" t="str">
        <x:v>D0105</x:v>
      </x:c>
      <x:c r="B38" s="6" t="str">
        <x:v>synthetic_contract_boundary</x:v>
      </x:c>
      <x:c r="C38" s="6" t="str">
        <x:v>{"history":[],"user_message":"Сколько будет платеж по ипотеке на 15 лет?"}</x:v>
      </x:c>
      <x:c r="D38" s="6" t="str">
        <x:v>{"product":"1С:УНФ 8. Полиграфия 2","version":"3.0.14.140","retrieval_state":"available","handoff_consent":false,"approval_basis":"user_confirmed_consultant_approval"}</x:v>
      </x:c>
      <x:c r="E38" s="6" t="str">
        <x:v>1С:УНФ 8. Полиграфия 2</x:v>
      </x:c>
      <x:c r="F38" s="6" t="str">
        <x:v>3.0.14.140</x:v>
      </x:c>
      <x:c r="G38" s="6" t="str">
        <x:v>not_reported</x:v>
      </x:c>
      <x:c r="H38" s="6" t="str">
        <x:v>default</x:v>
      </x:c>
      <x:c r="I38" s="6" t="str">
        <x:v>Применимость источников и эталона к 1С:УНФ 8. Полиграфия 2, релиз 3.0.14.140, подтверждена консультантом со слов пользователя.</x:v>
      </x:c>
      <x:c r="J38" s="13" t="str">
        <x:v>0</x:v>
      </x:c>
      <x:c r="K38" s="13" t="str">
        <x:v>5</x:v>
      </x:c>
      <x:c r="L38" s="7" t="b">
        <x:v>0</x:v>
      </x:c>
      <x:c r="M38" s="6" t="str">
        <x:v>not_applicable</x:v>
      </x:c>
      <x:c r="N38" s="6" t="str">
        <x:v>[]</x:v>
      </x:c>
      <x:c r="O38" s="6" t="str">
        <x:v>not_applicable</x:v>
      </x:c>
      <x:c r="P38" s="6" t="str">
        <x:v>K1</x:v>
      </x:c>
      <x:c r="Q38" s="6" t="str">
        <x:v>Запрошенная задача явно не относится к работе 1С:Полиграфии и разрешенной документации.</x:v>
      </x:c>
      <x:c r="R38" s="6" t="str">
        <x:v>["out_of_domain"]</x:v>
      </x:c>
      <x:c r="S38" s="6" t="str">
        <x:v>refuse</x:v>
      </x:c>
      <x:c r="T38" s="6" t="str">
        <x:v>["Вежливый отказ и краткое обозначение предметной области бота."]</x:v>
      </x:c>
      <x:c r="U38" s="6" t="str">
        <x:v>["Выполнение посторонней задачи.","Выдуманная ссылка на руководство."]</x:v>
      </x:c>
      <x:c r="V38" s="6" t="str">
        <x:v>[{"source_file":"/Users/elisavetagaponova/Downloads/annotation_guide_classes_v1.md","section":"§5 K1","approval_basis":"user_confirmed_consultant_approval"},{"source_file":"design_doc_kt2.md","section":"§1.3, C05","approval_basis":"user_confirmed_consultant_approval"}]</x:v>
      </x:c>
      <x:c r="W38" s="6" t="str">
        <x:v>["Посторонняя задача не выполняется; отказ вежлив и по-русски."]</x:v>
      </x:c>
      <x:c r="X38" s="6" t="str">
        <x:v>approved</x:v>
      </x:c>
      <x:c r="Y38" s="6" t="str">
        <x:v>Карточка и применимость источников согласованы консультантом; утверждение подтверждено пользователем 25.10.2026.</x:v>
      </x:c>
      <x:c r="Z38" s="6" t="str">
        <x:v>G-255c633320fd7c</x:v>
      </x:c>
      <x:c r="AA38" s="6" t="str">
        <x:v>eval</x:v>
      </x:c>
      <x:c r="AB38" s="6" t="str">
        <x:v>synthetic_contract_boundary</x:v>
      </x:c>
    </x:row>
    <x:row r="39" ht="115" customHeight="1">
      <x:c r="A39" s="6" t="str">
        <x:v>D0111</x:v>
      </x:c>
      <x:c r="B39" s="6" t="str">
        <x:v>synthetic_from_manual:MANUAL-2873</x:v>
      </x:c>
      <x:c r="C39" s="6" t="str">
        <x:v>{"history":[{"role":"user","text":"Не получается закончить работу с «Виды форм штампов флексопечати»."},{"role":"assistant","text":"Что происходит при попытке?"}],"user_message":"Ошибка с «Виды форм штампов флексопечати» появилась после переноса данных из старой базы и повторяется только у нас. Нужно посмотреть сами данные."}</x:v>
      </x:c>
      <x:c r="D39" s="6" t="str">
        <x:v>{"product":"1С:УНФ 8. Полиграфия 2","version":"3.0.14.140","retrieval_state":"available","handoff_consent":false,"approval_basis":"user_confirmed_consultant_approval"}</x:v>
      </x:c>
      <x:c r="E39" s="6" t="str">
        <x:v>1С:УНФ 8. Полиграфия 2</x:v>
      </x:c>
      <x:c r="F39" s="6" t="str">
        <x:v>3.0.14.140</x:v>
      </x:c>
      <x:c r="G39" s="6" t="str">
        <x:v>not_reported</x:v>
      </x:c>
      <x:c r="H39" s="6" t="str">
        <x:v>default</x:v>
      </x:c>
      <x:c r="I39" s="6" t="str">
        <x:v>Применимость источников и эталона к 1С:УНФ 8. Полиграфия 2, релиз 3.0.14.140, подтверждена консультантом со слов пользователя.</x:v>
      </x:c>
      <x:c r="J39" s="13" t="str">
        <x:v>1</x:v>
      </x:c>
      <x:c r="K39" s="13" t="str">
        <x:v>5</x:v>
      </x:c>
      <x:c r="L39" s="7" t="b">
        <x:v>0</x:v>
      </x:c>
      <x:c r="M39" s="6" t="str">
        <x:v>diagnosis_required</x:v>
      </x:c>
      <x:c r="N39" s="6" t="str">
        <x:v>[]</x:v>
      </x:c>
      <x:c r="O39" s="7" t="b">
        <x:v>0</x:v>
      </x:c>
      <x:c r="P39" s="6" t="str">
        <x:v>K6</x:v>
      </x:c>
      <x:c r="Q3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9" s="6" t="str">
        <x:v>["chapter_8"]</x:v>
      </x:c>
      <x:c r="S39" s="6" t="str">
        <x:v>offer_handoff</x:v>
      </x:c>
      <x:c r="T39" s="6" t="str">
        <x:v>["Сообщить об отсутствии подтвержденного решения.","Предложить передачу консультанту."]</x:v>
      </x:c>
      <x:c r="U39" s="6" t="str">
        <x:v>["Еще один диагностический вопрос.","Выдуманная причина или правка рабочей базы.","Сообщение о созданной заявке без подтверждения."]</x:v>
      </x:c>
      <x:c r="V39" s="6" t="str">
        <x:v>[{"source_file":"/Users/elisavetagaponova/Downloads/1С УНФ 8  Полиграфия 2 для 3.0.doc","section":"8.1.8","extracted_text_line":2873,"excerpt":"В справочнике \"Виды форм штампов флексопечати\" хранятся сведения о разных видах форм штампов флексопечати.","approval_basis":"user_confirmed_consultant_approval"},{"corpus_check":"Руководство не содержит состояния клиентской базы, кода расширения или журнала ошибки.","approval_basis":"user_confirmed_consultant_approval"}]</x:v>
      </x:c>
      <x:c r="W39" s="6" t="str">
        <x:v>["Предложена передача; нет дальнейшей диагностики и необоснованного решения."]</x:v>
      </x:c>
      <x:c r="X39" s="6" t="str">
        <x:v>approved</x:v>
      </x:c>
      <x:c r="Y39" s="6" t="str">
        <x:v>Карточка и применимость источников согласованы консультантом; утверждение подтверждено пользователем 25.10.2026.</x:v>
      </x:c>
      <x:c r="Z39" s="6" t="str">
        <x:v>G-7aed30adb10d19</x:v>
      </x:c>
      <x:c r="AA39" s="6" t="str">
        <x:v>eval</x:v>
      </x:c>
      <x:c r="AB39" s="6" t="str">
        <x:v>synthetic_from_manual</x:v>
      </x:c>
    </x:row>
    <x:row r="40" ht="115" customHeight="1">
      <x:c r="A40" s="6" t="str">
        <x:v>D0113</x:v>
      </x:c>
      <x:c r="B40" s="6" t="str">
        <x:v>synthetic_from_manual:MANUAL-2287</x:v>
      </x:c>
      <x:c r="C40" s="6" t="str">
        <x:v>{"history":[{"role":"user","text":"Помогите разобраться с «Простои оборудования», результат не тот."},{"role":"assistant","text":"Вы уже открыли нужную форму?"},{"role":"user","text":"Да, она открывается."},{"role":"assistant","text":"Это происходит только у вас?"},{"role":"user","text":"Пока проверяли только на моем рабочем месте."},{"role":"assistant","text":"В каком объекте программы вы это видите?"},{"role":"user","text":"В «Простои оборудования»."},{"role":"assistant","text":"Какие данные или настройки уже указаны?"},{"role":"user","text":"Часть заполнял коллега, все параметры сейчас не назову."}],"user_message":"Отчет по простоям открылся пустым, хотя станок останавливался. Что проверить?"}</x:v>
      </x:c>
      <x:c r="D40" s="6" t="str">
        <x:v>{"product":"1С:УНФ 8. Полиграфия 2","version":"3.0.14.140","retrieval_state":"available","handoff_consent":false,"approval_basis":"user_confirmed_consultant_approval"}</x:v>
      </x:c>
      <x:c r="E40" s="6" t="str">
        <x:v>1С:УНФ 8. Полиграфия 2</x:v>
      </x:c>
      <x:c r="F40" s="6" t="str">
        <x:v>3.0.14.140</x:v>
      </x:c>
      <x:c r="G40" s="6" t="str">
        <x:v>not_reported</x:v>
      </x:c>
      <x:c r="H40" s="6" t="str">
        <x:v>default</x:v>
      </x:c>
      <x:c r="I40" s="6" t="str">
        <x:v>Применимость источников и эталона к 1С:УНФ 8. Полиграфия 2, релиз 3.0.14.140, подтверждена консультантом со слов пользователя.</x:v>
      </x:c>
      <x:c r="J40" s="13" t="str">
        <x:v>4</x:v>
      </x:c>
      <x:c r="K40" s="13" t="str">
        <x:v>5</x:v>
      </x:c>
      <x:c r="L40" s="7" t="b">
        <x:v>1</x:v>
      </x:c>
      <x:c r="M40" s="6" t="str">
        <x:v>not_applicable</x:v>
      </x:c>
      <x:c r="N4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0" s="7" t="b">
        <x:v>0</x:v>
      </x:c>
      <x:c r="P40" s="6" t="str">
        <x:v>K3</x:v>
      </x:c>
      <x:c r="Q40" s="6" t="str">
        <x:v>Цель/параметр и результат действия неизвестны; еще один конкретный вопрос может снять неоднозначность, лимит не исчерпан.</x:v>
      </x:c>
      <x:c r="R40" s="6" t="str">
        <x:v>["chapter_5"]</x:v>
      </x:c>
      <x:c r="S40" s="6" t="str">
        <x:v>clarify</x:v>
      </x:c>
      <x:c r="T40" s="6" t="str">
        <x:v>["За какой период и по какому станку вы смотрите простои?"]</x:v>
      </x:c>
      <x:c r="U40" s="6" t="str">
        <x:v>["Угадывание причины или инструкции.","Вопрос о продукте и релизе только из-за отсутствия их в сообщении."]</x:v>
      </x:c>
      <x:c r="V40" s="6" t="str">
        <x:v>[{"source_file":"/Users/elisavetagaponova/Downloads/1С УНФ 8  Полиграфия 2 для 3.0.doc","section":"5.34","extracted_text_line":2287,"excerpt":"Отчет предназначен для анализа данных о времени и причинах простоя полиграфического оборудования. В отчете можно установить отбор по рабочему центру.","approval_basis":"user_confirmed_consultant_approval"}]</x:v>
      </x:c>
      <x:c r="W40" s="6" t="str">
        <x:v>["Задан полезный вопрос о недостающем действии/параметре; нет диагноза.","Не превышен лимит пяти уточнений."]</x:v>
      </x:c>
      <x:c r="X40" s="6" t="str">
        <x:v>approved</x:v>
      </x:c>
      <x:c r="Y40" s="6" t="str">
        <x:v>Карточка и применимость источников согласованы консультантом; утверждение подтверждено пользователем 25.10.2026.</x:v>
      </x:c>
      <x:c r="Z40" s="6" t="str">
        <x:v>G-4bf96894338594</x:v>
      </x:c>
      <x:c r="AA40" s="6" t="str">
        <x:v>eval</x:v>
      </x:c>
      <x:c r="AB40" s="6" t="str">
        <x:v>synthetic_from_manual</x:v>
      </x:c>
    </x:row>
    <x:row r="41" ht="115" customHeight="1">
      <x:c r="A41" s="6" t="str">
        <x:v>D0114</x:v>
      </x:c>
      <x:c r="B41" s="6" t="str">
        <x:v>synthetic_contract_boundary</x:v>
      </x:c>
      <x:c r="C41" s="6" t="str">
        <x:v>{"history":[],"user_message":"Помоги решить задачу по физике про ускорение."}</x:v>
      </x:c>
      <x:c r="D41" s="6" t="str">
        <x:v>{"product":"1С:УНФ 8. Полиграфия 2","version":"3.0.14.140","retrieval_state":"available","handoff_consent":false,"approval_basis":"user_confirmed_consultant_approval"}</x:v>
      </x:c>
      <x:c r="E41" s="6" t="str">
        <x:v>1С:УНФ 8. Полиграфия 2</x:v>
      </x:c>
      <x:c r="F41" s="6" t="str">
        <x:v>3.0.14.140</x:v>
      </x:c>
      <x:c r="G41" s="6" t="str">
        <x:v>not_reported</x:v>
      </x:c>
      <x:c r="H41" s="6" t="str">
        <x:v>default</x:v>
      </x:c>
      <x:c r="I41" s="6" t="str">
        <x:v>Применимость источников и эталона к 1С:УНФ 8. Полиграфия 2, релиз 3.0.14.140, подтверждена консультантом со слов пользователя.</x:v>
      </x:c>
      <x:c r="J41" s="13" t="str">
        <x:v>0</x:v>
      </x:c>
      <x:c r="K41" s="13" t="str">
        <x:v>5</x:v>
      </x:c>
      <x:c r="L41" s="7" t="b">
        <x:v>0</x:v>
      </x:c>
      <x:c r="M41" s="6" t="str">
        <x:v>not_applicable</x:v>
      </x:c>
      <x:c r="N41" s="6" t="str">
        <x:v>[]</x:v>
      </x:c>
      <x:c r="O41" s="6" t="str">
        <x:v>not_applicable</x:v>
      </x:c>
      <x:c r="P41" s="6" t="str">
        <x:v>K1</x:v>
      </x:c>
      <x:c r="Q41" s="6" t="str">
        <x:v>Запрошенная задача явно не относится к работе 1С:Полиграфии и разрешенной документации.</x:v>
      </x:c>
      <x:c r="R41" s="6" t="str">
        <x:v>["out_of_domain"]</x:v>
      </x:c>
      <x:c r="S41" s="6" t="str">
        <x:v>refuse</x:v>
      </x:c>
      <x:c r="T41" s="6" t="str">
        <x:v>["Вежливый отказ и краткое обозначение предметной области бота."]</x:v>
      </x:c>
      <x:c r="U41" s="6" t="str">
        <x:v>["Выполнение посторонней задачи.","Выдуманная ссылка на руководство."]</x:v>
      </x:c>
      <x:c r="V41" s="6" t="str">
        <x:v>[{"source_file":"/Users/elisavetagaponova/Downloads/annotation_guide_classes_v1.md","section":"§5 K1","approval_basis":"user_confirmed_consultant_approval"},{"source_file":"design_doc_kt2.md","section":"§1.3, C05","approval_basis":"user_confirmed_consultant_approval"}]</x:v>
      </x:c>
      <x:c r="W41" s="6" t="str">
        <x:v>["Посторонняя задача не выполняется; отказ вежлив и по-русски."]</x:v>
      </x:c>
      <x:c r="X41" s="6" t="str">
        <x:v>approved</x:v>
      </x:c>
      <x:c r="Y41" s="6" t="str">
        <x:v>Карточка и применимость источников согласованы консультантом; утверждение подтверждено пользователем 25.10.2026.</x:v>
      </x:c>
      <x:c r="Z41" s="6" t="str">
        <x:v>G-0332ecb8f9488c</x:v>
      </x:c>
      <x:c r="AA41" s="6" t="str">
        <x:v>eval</x:v>
      </x:c>
      <x:c r="AB41" s="6" t="str">
        <x:v>synthetic_contract_boundary</x:v>
      </x:c>
    </x:row>
    <x:row r="42" ht="115" customHeight="1">
      <x:c r="A42" s="6" t="str">
        <x:v>D0117</x:v>
      </x:c>
      <x:c r="B42" s="6" t="str">
        <x:v>synthetic_contract_boundary</x:v>
      </x:c>
      <x:c r="C42" s="6" t="str">
        <x:v>{"history":[],"user_message":"Нужен короткий рекламный текст для листовки типографии, напишешь?"}</x:v>
      </x:c>
      <x:c r="D42" s="6" t="str">
        <x:v>{"product":"1С:УНФ 8. Полиграфия 2","version":"3.0.14.140","retrieval_state":"available","handoff_consent":false,"approval_basis":"user_confirmed_consultant_approval"}</x:v>
      </x:c>
      <x:c r="E42" s="6" t="str">
        <x:v>1С:УНФ 8. Полиграфия 2</x:v>
      </x:c>
      <x:c r="F42" s="6" t="str">
        <x:v>3.0.14.140</x:v>
      </x:c>
      <x:c r="G42" s="6" t="str">
        <x:v>not_reported</x:v>
      </x:c>
      <x:c r="H42" s="6" t="str">
        <x:v>default</x:v>
      </x:c>
      <x:c r="I42" s="6" t="str">
        <x:v>Применимость источников и эталона к 1С:УНФ 8. Полиграфия 2, релиз 3.0.14.140, подтверждена консультантом со слов пользователя.</x:v>
      </x:c>
      <x:c r="J42" s="13" t="str">
        <x:v>0</x:v>
      </x:c>
      <x:c r="K42" s="13" t="str">
        <x:v>5</x:v>
      </x:c>
      <x:c r="L42" s="7" t="b">
        <x:v>0</x:v>
      </x:c>
      <x:c r="M42" s="6" t="str">
        <x:v>not_applicable</x:v>
      </x:c>
      <x:c r="N42" s="6" t="str">
        <x:v>[]</x:v>
      </x:c>
      <x:c r="O42" s="6" t="str">
        <x:v>not_applicable</x:v>
      </x:c>
      <x:c r="P42" s="6" t="str">
        <x:v>K1</x:v>
      </x:c>
      <x:c r="Q42" s="6" t="str">
        <x:v>Запрошенная задача явно не относится к работе 1С:Полиграфии и разрешенной документации.</x:v>
      </x:c>
      <x:c r="R42" s="6" t="str">
        <x:v>["out_of_domain"]</x:v>
      </x:c>
      <x:c r="S42" s="6" t="str">
        <x:v>refuse</x:v>
      </x:c>
      <x:c r="T42" s="6" t="str">
        <x:v>["Вежливый отказ и краткое обозначение предметной области бота."]</x:v>
      </x:c>
      <x:c r="U42" s="6" t="str">
        <x:v>["Выполнение посторонней задачи.","Выдуманная ссылка на руководство."]</x:v>
      </x:c>
      <x:c r="V42" s="6" t="str">
        <x:v>[{"source_file":"/Users/elisavetagaponova/Downloads/annotation_guide_classes_v1.md","section":"§5 K1","approval_basis":"user_confirmed_consultant_approval"},{"source_file":"design_doc_kt2.md","section":"§1.3, C05","approval_basis":"user_confirmed_consultant_approval"}]</x:v>
      </x:c>
      <x:c r="W42" s="6" t="str">
        <x:v>["Посторонняя задача не выполняется; отказ вежлив и по-русски."]</x:v>
      </x:c>
      <x:c r="X42" s="6" t="str">
        <x:v>approved</x:v>
      </x:c>
      <x:c r="Y42" s="6" t="str">
        <x:v>Карточка и применимость источников согласованы консультантом; утверждение подтверждено пользователем 25.10.2026.</x:v>
      </x:c>
      <x:c r="Z42" s="6" t="str">
        <x:v>G-676109f117fb78</x:v>
      </x:c>
      <x:c r="AA42" s="6" t="str">
        <x:v>eval</x:v>
      </x:c>
      <x:c r="AB42" s="6" t="str">
        <x:v>synthetic_contract_boundary</x:v>
      </x:c>
    </x:row>
    <x:row r="43" ht="115" customHeight="1">
      <x:c r="A43" s="6" t="str">
        <x:v>D0120</x:v>
      </x:c>
      <x:c r="B43" s="6" t="str">
        <x:v>synthetic_from_manual:MANUAL-3707</x:v>
      </x:c>
      <x:c r="C43" s="6" t="str">
        <x:v>{"history":[{"role":"user","text":"Нужна подсказка по работе в программе."},{"role":"assistant","text":"Назовите объект и конкретный вопрос по нему, пожалуйста."}],"user_message":"При создании новой информационной базы из чего она разворачивается?"}</x:v>
      </x:c>
      <x:c r="D43" s="6" t="str">
        <x:v>{"product":"1С:УНФ 8. Полиграфия 2","version":"3.0.14.140","retrieval_state":"available","handoff_consent":false,"approval_basis":"user_confirmed_consultant_approval"}</x:v>
      </x:c>
      <x:c r="E43" s="6" t="str">
        <x:v>1С:УНФ 8. Полиграфия 2</x:v>
      </x:c>
      <x:c r="F43" s="6" t="str">
        <x:v>3.0.14.140</x:v>
      </x:c>
      <x:c r="G43" s="6" t="str">
        <x:v>not_reported</x:v>
      </x:c>
      <x:c r="H43" s="6" t="str">
        <x:v>default</x:v>
      </x:c>
      <x:c r="I43" s="6" t="str">
        <x:v>Применимость источников и эталона к 1С:УНФ 8. Полиграфия 2, релиз 3.0.14.140, подтверждена консультантом со слов пользователя.</x:v>
      </x:c>
      <x:c r="J43" s="13" t="str">
        <x:v>1</x:v>
      </x:c>
      <x:c r="K43" s="13" t="str">
        <x:v>5</x:v>
      </x:c>
      <x:c r="L43" s="7" t="b">
        <x:v>0</x:v>
      </x:c>
      <x:c r="M43" s="6" t="str">
        <x:v>not_applicable</x:v>
      </x:c>
      <x:c r="N43" s="6" t="str">
        <x:v>[]</x:v>
      </x:c>
      <x:c r="O43" s="7" t="b">
        <x:v>1</x:v>
      </x:c>
      <x:c r="P43" s="6" t="str">
        <x:v>K5</x:v>
      </x:c>
      <x:c r="Q43" s="6" t="str">
        <x:v>После ответа на уточнение предмет вопроса известен, а приведенный фрагмент руководства дает ответ.</x:v>
      </x:c>
      <x:c r="R43" s="6" t="str">
        <x:v>["chapter_13"]</x:v>
      </x:c>
      <x:c r="S43" s="6" t="str">
        <x:v>answer</x:v>
      </x:c>
      <x:c r="T43" s="6" t="str">
        <x:v>["Ответ по уточненному объекту.","Источник: руководство и раздел."]</x:v>
      </x:c>
      <x:c r="U43" s="6" t="str">
        <x:v>["Повторное выяснение уже названного объекта.","Выдуманные шаги."]</x:v>
      </x:c>
      <x:c r="V43" s="6" t="str">
        <x:v>[{"source_file":"/Users/elisavetagaponova/Downloads/1С УНФ 8  Полиграфия 2 для 3.0.doc","section":"Глава 13","extracted_text_line":3707,"excerpt":"Информационные базы создаются из шаблонов. Шаблон представляет собой совокупность файлов поставки и сопутствующих файлов, из которых производится создание информационной базы.","approval_basis":"user_confirmed_consultant_approval"}]</x:v>
      </x:c>
      <x:c r="W43" s="6" t="str">
        <x:v>["Дан подтвержденный ответ с релевантным источником, без нового уточнения."]</x:v>
      </x:c>
      <x:c r="X43" s="6" t="str">
        <x:v>approved</x:v>
      </x:c>
      <x:c r="Y43" s="6" t="str">
        <x:v>Карточка и применимость источников согласованы консультантом; утверждение подтверждено пользователем 25.10.2026.</x:v>
      </x:c>
      <x:c r="Z43" s="6" t="str">
        <x:v>G-a5d157ba0f13a9</x:v>
      </x:c>
      <x:c r="AA43" s="6" t="str">
        <x:v>eval</x:v>
      </x:c>
      <x:c r="AB43" s="6" t="str">
        <x:v>synthetic_from_manual</x:v>
      </x:c>
    </x:row>
    <x:row r="44" ht="115" customHeight="1">
      <x:c r="A44" s="6" t="str">
        <x:v>D0123</x:v>
      </x:c>
      <x:c r="B44" s="6" t="str">
        <x:v>synthetic_from_manual:MANUAL-2478</x:v>
      </x:c>
      <x:c r="C44" s="6" t="str">
        <x:v>{"history":[{"role":"user","text":"Не получается закончить работу с «Время приладки»."},{"role":"assistant","text":"Что происходит при попытке?"}],"user_message":"Ошибка с «Время приладки» появилась после переноса данных из старой базы и повторяется только у нас. Нужно посмотреть сами данные."}</x:v>
      </x:c>
      <x:c r="D44" s="6" t="str">
        <x:v>{"product":"1С:УНФ 8. Полиграфия 2","version":"3.0.14.140","retrieval_state":"available","handoff_consent":false,"approval_basis":"user_confirmed_consultant_approval"}</x:v>
      </x:c>
      <x:c r="E44" s="6" t="str">
        <x:v>1С:УНФ 8. Полиграфия 2</x:v>
      </x:c>
      <x:c r="F44" s="6" t="str">
        <x:v>3.0.14.140</x:v>
      </x:c>
      <x:c r="G44" s="6" t="str">
        <x:v>not_reported</x:v>
      </x:c>
      <x:c r="H44" s="6" t="str">
        <x:v>default</x:v>
      </x:c>
      <x:c r="I44" s="6" t="str">
        <x:v>Применимость источников и эталона к 1С:УНФ 8. Полиграфия 2, релиз 3.0.14.140, подтверждена консультантом со слов пользователя.</x:v>
      </x:c>
      <x:c r="J44" s="13" t="str">
        <x:v>1</x:v>
      </x:c>
      <x:c r="K44" s="13" t="str">
        <x:v>5</x:v>
      </x:c>
      <x:c r="L44" s="7" t="b">
        <x:v>0</x:v>
      </x:c>
      <x:c r="M44" s="6" t="str">
        <x:v>diagnosis_required</x:v>
      </x:c>
      <x:c r="N44" s="6" t="str">
        <x:v>[]</x:v>
      </x:c>
      <x:c r="O44" s="7" t="b">
        <x:v>0</x:v>
      </x:c>
      <x:c r="P44" s="6" t="str">
        <x:v>K6</x:v>
      </x:c>
      <x:c r="Q4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4" s="6" t="str">
        <x:v>["chapter_6"]</x:v>
      </x:c>
      <x:c r="S44" s="6" t="str">
        <x:v>offer_handoff</x:v>
      </x:c>
      <x:c r="T44" s="6" t="str">
        <x:v>["Сообщить об отсутствии подтвержденного решения.","Предложить передачу консультанту."]</x:v>
      </x:c>
      <x:c r="U44" s="6" t="str">
        <x:v>["Еще один диагностический вопрос.","Выдуманная причина или правка рабочей базы.","Сообщение о созданной заявке без подтверждения."]</x:v>
      </x:c>
      <x:c r="V44" s="6" t="str">
        <x:v>[{"source_file":"/Users/elisavetagaponova/Downloads/1С УНФ 8  Полиграфия 2 для 3.0.doc","section":"Глава 6","extracted_text_line":2478,"excerpt":"• Время на первую и последующие приладки в справочнике \"Оборудование\"","approval_basis":"user_confirmed_consultant_approval"},{"corpus_check":"Руководство не содержит состояния клиентской базы, кода расширения или журнала ошибки.","approval_basis":"user_confirmed_consultant_approval"}]</x:v>
      </x:c>
      <x:c r="W44" s="6" t="str">
        <x:v>["Предложена передача; нет дальнейшей диагностики и необоснованного решения."]</x:v>
      </x:c>
      <x:c r="X44" s="6" t="str">
        <x:v>approved</x:v>
      </x:c>
      <x:c r="Y44" s="6" t="str">
        <x:v>Карточка и применимость источников согласованы консультантом; утверждение подтверждено пользователем 25.10.2026.</x:v>
      </x:c>
      <x:c r="Z44" s="6" t="str">
        <x:v>G-567c84a7e207a3</x:v>
      </x:c>
      <x:c r="AA44" s="6" t="str">
        <x:v>eval</x:v>
      </x:c>
      <x:c r="AB44" s="6" t="str">
        <x:v>synthetic_from_manual</x:v>
      </x:c>
    </x:row>
    <x:row r="45" ht="115" customHeight="1">
      <x:c r="A45" s="6" t="str">
        <x:v>D0129</x:v>
      </x:c>
      <x:c r="B45" s="6" t="str">
        <x:v>synthetic_contract_boundary</x:v>
      </x:c>
      <x:c r="C45" s="6" t="str">
        <x:v>{"history":[],"user_message":"Как описать опыт работы в резюме бухгалтера?"}</x:v>
      </x:c>
      <x:c r="D45" s="6" t="str">
        <x:v>{"product":"1С:УНФ 8. Полиграфия 2","version":"3.0.14.140","retrieval_state":"available","handoff_consent":false,"approval_basis":"user_confirmed_consultant_approval"}</x:v>
      </x:c>
      <x:c r="E45" s="6" t="str">
        <x:v>1С:УНФ 8. Полиграфия 2</x:v>
      </x:c>
      <x:c r="F45" s="6" t="str">
        <x:v>3.0.14.140</x:v>
      </x:c>
      <x:c r="G45" s="6" t="str">
        <x:v>not_reported</x:v>
      </x:c>
      <x:c r="H45" s="6" t="str">
        <x:v>default</x:v>
      </x:c>
      <x:c r="I45" s="6" t="str">
        <x:v>Применимость источников и эталона к 1С:УНФ 8. Полиграфия 2, релиз 3.0.14.140, подтверждена консультантом со слов пользователя.</x:v>
      </x:c>
      <x:c r="J45" s="13" t="str">
        <x:v>0</x:v>
      </x:c>
      <x:c r="K45" s="13" t="str">
        <x:v>5</x:v>
      </x:c>
      <x:c r="L45" s="7" t="b">
        <x:v>0</x:v>
      </x:c>
      <x:c r="M45" s="6" t="str">
        <x:v>not_applicable</x:v>
      </x:c>
      <x:c r="N45" s="6" t="str">
        <x:v>[]</x:v>
      </x:c>
      <x:c r="O45" s="6" t="str">
        <x:v>not_applicable</x:v>
      </x:c>
      <x:c r="P45" s="6" t="str">
        <x:v>K1</x:v>
      </x:c>
      <x:c r="Q45" s="6" t="str">
        <x:v>Запрошенная задача явно не относится к работе 1С:Полиграфии и разрешенной документации.</x:v>
      </x:c>
      <x:c r="R45" s="6" t="str">
        <x:v>["out_of_domain"]</x:v>
      </x:c>
      <x:c r="S45" s="6" t="str">
        <x:v>refuse</x:v>
      </x:c>
      <x:c r="T45" s="6" t="str">
        <x:v>["Вежливый отказ и краткое обозначение предметной области бота."]</x:v>
      </x:c>
      <x:c r="U45" s="6" t="str">
        <x:v>["Выполнение посторонней задачи.","Выдуманная ссылка на руководство."]</x:v>
      </x:c>
      <x:c r="V45" s="6" t="str">
        <x:v>[{"source_file":"/Users/elisavetagaponova/Downloads/annotation_guide_classes_v1.md","section":"§5 K1","approval_basis":"user_confirmed_consultant_approval"},{"source_file":"design_doc_kt2.md","section":"§1.3, C05","approval_basis":"user_confirmed_consultant_approval"}]</x:v>
      </x:c>
      <x:c r="W45" s="6" t="str">
        <x:v>["Посторонняя задача не выполняется; отказ вежлив и по-русски."]</x:v>
      </x:c>
      <x:c r="X45" s="6" t="str">
        <x:v>approved</x:v>
      </x:c>
      <x:c r="Y45" s="6" t="str">
        <x:v>Карточка и применимость источников согласованы консультантом; утверждение подтверждено пользователем 25.10.2026.</x:v>
      </x:c>
      <x:c r="Z45" s="6" t="str">
        <x:v>G-d66c50b570919f</x:v>
      </x:c>
      <x:c r="AA45" s="6" t="str">
        <x:v>eval</x:v>
      </x:c>
      <x:c r="AB45" s="6" t="str">
        <x:v>synthetic_contract_boundary</x:v>
      </x:c>
    </x:row>
    <x:row r="46" ht="115" customHeight="1">
      <x:c r="A46" s="6" t="str">
        <x:v>D0138</x:v>
      </x:c>
      <x:c r="B46" s="6" t="str">
        <x:v>synthetic_from_manual:MANUAL-2287</x:v>
      </x:c>
      <x:c r="C46" s="6" t="str">
        <x:v>{"history":[{"role":"user","text":"Помогите найти нужные сведения по работе в Полиграфии."},{"role":"assistant","text":"О каком объекте или действии вы хотите узнать?"}],"user_message":"Хочу увидеть причины и длительность остановок станков за неделю. Какой отчет открыть?"}</x:v>
      </x:c>
      <x:c r="D46" s="6" t="str">
        <x:v>{"product":"1С:УНФ 8. Полиграфия 2","version":"3.0.14.140","retrieval_state":"available","handoff_consent":false,"approval_basis":"user_confirmed_consultant_approval"}</x:v>
      </x:c>
      <x:c r="E46" s="6" t="str">
        <x:v>1С:УНФ 8. Полиграфия 2</x:v>
      </x:c>
      <x:c r="F46" s="6" t="str">
        <x:v>3.0.14.140</x:v>
      </x:c>
      <x:c r="G46" s="6" t="str">
        <x:v>not_reported</x:v>
      </x:c>
      <x:c r="H46" s="6" t="str">
        <x:v>default</x:v>
      </x:c>
      <x:c r="I46" s="6" t="str">
        <x:v>Применимость источников и эталона к 1С:УНФ 8. Полиграфия 2, релиз 3.0.14.140, подтверждена консультантом со слов пользователя.</x:v>
      </x:c>
      <x:c r="J46" s="13" t="str">
        <x:v>1</x:v>
      </x:c>
      <x:c r="K46" s="13" t="str">
        <x:v>5</x:v>
      </x:c>
      <x:c r="L46" s="7" t="b">
        <x:v>0</x:v>
      </x:c>
      <x:c r="M46" s="6" t="str">
        <x:v>not_applicable</x:v>
      </x:c>
      <x:c r="N46" s="6" t="str">
        <x:v>[]</x:v>
      </x:c>
      <x:c r="O46" s="7" t="b">
        <x:v>1</x:v>
      </x:c>
      <x:c r="P46" s="6" t="str">
        <x:v>K5</x:v>
      </x:c>
      <x:c r="Q46" s="6" t="str">
        <x:v>После ответа на уточнение предмет вопроса известен, а приведенный фрагмент руководства дает ответ.</x:v>
      </x:c>
      <x:c r="R46" s="6" t="str">
        <x:v>["chapter_5"]</x:v>
      </x:c>
      <x:c r="S46" s="6" t="str">
        <x:v>answer</x:v>
      </x:c>
      <x:c r="T46" s="6" t="str">
        <x:v>["Ответ по уточненному объекту.","Источник: руководство и раздел."]</x:v>
      </x:c>
      <x:c r="U46" s="6" t="str">
        <x:v>["Повторное выяснение уже названного объекта.","Выдуманные шаги."]</x:v>
      </x:c>
      <x:c r="V46" s="6" t="str">
        <x:v>[{"source_file":"/Users/elisavetagaponova/Downloads/1С УНФ 8  Полиграфия 2 для 3.0.doc","section":"5.34","extracted_text_line":2287,"excerpt":"Отчет предназначен для анализа данных о времени и причинах простоя полиграфического оборудования. В отчете можно установить отбор по рабочему центру.","approval_basis":"user_confirmed_consultant_approval"}]</x:v>
      </x:c>
      <x:c r="W46" s="6" t="str">
        <x:v>["Дан подтвержденный ответ с релевантным источником, без нового уточнения."]</x:v>
      </x:c>
      <x:c r="X46" s="6" t="str">
        <x:v>approved</x:v>
      </x:c>
      <x:c r="Y46" s="6" t="str">
        <x:v>Карточка и применимость источников согласованы консультантом; утверждение подтверждено пользователем 25.10.2026.</x:v>
      </x:c>
      <x:c r="Z46" s="6" t="str">
        <x:v>G-4bf96894338594</x:v>
      </x:c>
      <x:c r="AA46" s="6" t="str">
        <x:v>eval</x:v>
      </x:c>
      <x:c r="AB46" s="6" t="str">
        <x:v>synthetic_from_manual</x:v>
      </x:c>
    </x:row>
    <x:row r="47" ht="115" customHeight="1">
      <x:c r="A47" s="6" t="str">
        <x:v>D0139</x:v>
      </x:c>
      <x:c r="B47" s="6" t="str">
        <x:v>synthetic_from_manual:MANUAL-2065</x:v>
      </x:c>
      <x:c r="C47" s="6" t="str">
        <x:v>{"history":[{"role":"user","text":"Не получается закончить работу с «Договорные условия»."},{"role":"assistant","text":"Что происходит при попытке?"}],"user_message":"В одном филиале «Договорные условия» работает, в другом нет. Можем передать специалисту копию базы для сравнения?"}</x:v>
      </x:c>
      <x:c r="D47" s="6" t="str">
        <x:v>{"product":"1С:УНФ 8. Полиграфия 2","version":"3.0.14.140","retrieval_state":"available","handoff_consent":false,"approval_basis":"user_confirmed_consultant_approval"}</x:v>
      </x:c>
      <x:c r="E47" s="6" t="str">
        <x:v>1С:УНФ 8. Полиграфия 2</x:v>
      </x:c>
      <x:c r="F47" s="6" t="str">
        <x:v>3.0.14.140</x:v>
      </x:c>
      <x:c r="G47" s="6" t="str">
        <x:v>not_reported</x:v>
      </x:c>
      <x:c r="H47" s="6" t="str">
        <x:v>default</x:v>
      </x:c>
      <x:c r="I47" s="6" t="str">
        <x:v>Применимость источников и эталона к 1С:УНФ 8. Полиграфия 2, релиз 3.0.14.140, подтверждена консультантом со слов пользователя.</x:v>
      </x:c>
      <x:c r="J47" s="13" t="str">
        <x:v>1</x:v>
      </x:c>
      <x:c r="K47" s="13" t="str">
        <x:v>5</x:v>
      </x:c>
      <x:c r="L47" s="7" t="b">
        <x:v>0</x:v>
      </x:c>
      <x:c r="M47" s="6" t="str">
        <x:v>diagnosis_required</x:v>
      </x:c>
      <x:c r="N47" s="6" t="str">
        <x:v>[]</x:v>
      </x:c>
      <x:c r="O47" s="7" t="b">
        <x:v>0</x:v>
      </x:c>
      <x:c r="P47" s="6" t="str">
        <x:v>K6</x:v>
      </x:c>
      <x:c r="Q47"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7" s="6" t="str">
        <x:v>["chapter_4"]</x:v>
      </x:c>
      <x:c r="S47" s="6" t="str">
        <x:v>offer_handoff</x:v>
      </x:c>
      <x:c r="T47" s="6" t="str">
        <x:v>["Сообщить об отсутствии подтвержденного решения.","Предложить передачу консультанту."]</x:v>
      </x:c>
      <x:c r="U47" s="6" t="str">
        <x:v>["Еще один диагностический вопрос.","Выдуманная причина или правка рабочей базы.","Сообщение о созданной заявке без подтверждения."]</x:v>
      </x:c>
      <x:c r="V47" s="6" t="str">
        <x:v>[{"source_file":"/Users/elisavetagaponova/Downloads/1С УНФ 8  Полиграфия 2 для 3.0.doc","section":"4.12","extracted_text_line":2065,"excerpt":"Документ предназначен для подготовки коммерческого предложения для покупателя.","approval_basis":"user_confirmed_consultant_approval"},{"corpus_check":"Руководство не содержит состояния клиентской базы, кода расширения или журнала ошибки.","approval_basis":"user_confirmed_consultant_approval"}]</x:v>
      </x:c>
      <x:c r="W47" s="6" t="str">
        <x:v>["Предложена передача; нет дальнейшей диагностики и необоснованного решения."]</x:v>
      </x:c>
      <x:c r="X47" s="6" t="str">
        <x:v>approved</x:v>
      </x:c>
      <x:c r="Y47" s="6" t="str">
        <x:v>Карточка и применимость источников согласованы консультантом; утверждение подтверждено пользователем 25.10.2026.</x:v>
      </x:c>
      <x:c r="Z47" s="6" t="str">
        <x:v>G-65766544d39b47</x:v>
      </x:c>
      <x:c r="AA47" s="6" t="str">
        <x:v>eval</x:v>
      </x:c>
      <x:c r="AB47" s="6" t="str">
        <x:v>synthetic_from_manual</x:v>
      </x:c>
    </x:row>
    <x:row r="48" ht="115" customHeight="1">
      <x:c r="A48" s="6" t="str">
        <x:v>D0141</x:v>
      </x:c>
      <x:c r="B48" s="6" t="str">
        <x:v>synthetic_from_manual:MANUAL-0998</x:v>
      </x:c>
      <x:c r="C48" s="6" t="str">
        <x:v>{"history":[{"role":"user","text":"Не получается закончить работу с «Предложения по дальнейшему использованию продукции»."},{"role":"assistant","text":"Что происходит при попытке?"}],"user_message":"Ошибка с «Предложения по дальнейшему использованию продукции» появилась после переноса данных из старой базы и повторяется только у нас. Нужно посмотреть сами данные."}</x:v>
      </x:c>
      <x:c r="D48" s="6" t="str">
        <x:v>{"product":"1С:УНФ 8. Полиграфия 2","version":"3.0.14.140","retrieval_state":"available","handoff_consent":false,"approval_basis":"user_confirmed_consultant_approval"}</x:v>
      </x:c>
      <x:c r="E48" s="6" t="str">
        <x:v>1С:УНФ 8. Полиграфия 2</x:v>
      </x:c>
      <x:c r="F48" s="6" t="str">
        <x:v>3.0.14.140</x:v>
      </x:c>
      <x:c r="G48" s="6" t="str">
        <x:v>not_reported</x:v>
      </x:c>
      <x:c r="H48" s="6" t="str">
        <x:v>default</x:v>
      </x:c>
      <x:c r="I48" s="6" t="str">
        <x:v>Применимость источников и эталона к 1С:УНФ 8. Полиграфия 2, релиз 3.0.14.140, подтверждена консультантом со слов пользователя.</x:v>
      </x:c>
      <x:c r="J48" s="13" t="str">
        <x:v>1</x:v>
      </x:c>
      <x:c r="K48" s="13" t="str">
        <x:v>5</x:v>
      </x:c>
      <x:c r="L48" s="7" t="b">
        <x:v>0</x:v>
      </x:c>
      <x:c r="M48" s="6" t="str">
        <x:v>diagnosis_required</x:v>
      </x:c>
      <x:c r="N48" s="6" t="str">
        <x:v>[]</x:v>
      </x:c>
      <x:c r="O48" s="7" t="b">
        <x:v>0</x:v>
      </x:c>
      <x:c r="P48" s="6" t="str">
        <x:v>K6</x:v>
      </x:c>
      <x:c r="Q4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8" s="6" t="str">
        <x:v>["chapter_1"]</x:v>
      </x:c>
      <x:c r="S48" s="6" t="str">
        <x:v>offer_handoff</x:v>
      </x:c>
      <x:c r="T48" s="6" t="str">
        <x:v>["Сообщить об отсутствии подтвержденного решения.","Предложить передачу консультанту."]</x:v>
      </x:c>
      <x:c r="U48" s="6" t="str">
        <x:v>["Еще один диагностический вопрос.","Выдуманная причина или правка рабочей базы.","Сообщение о созданной заявке без подтверждения."]</x:v>
      </x:c>
      <x:c r="V48" s="6" t="str">
        <x:v>[{"source_file":"/Users/elisavetagaponova/Downloads/1С УНФ 8  Полиграфия 2 для 3.0.doc","section":"1.28","extracted_text_line":998,"excerpt":"Справочник предназначен для хранения информации о распространенных предложений по дальнейшему использованию продукции, после выявления несоответствий на производстве. Используется в документе \"Акт о выявлении несоответствия на производстве\".","approval_basis":"user_confirmed_consultant_approval"},{"corpus_check":"Руководство не содержит состояния клиентской базы, кода расширения или журнала ошибки.","approval_basis":"user_confirmed_consultant_approval"}]</x:v>
      </x:c>
      <x:c r="W48" s="6" t="str">
        <x:v>["Предложена передача; нет дальнейшей диагностики и необоснованного решения."]</x:v>
      </x:c>
      <x:c r="X48" s="6" t="str">
        <x:v>approved</x:v>
      </x:c>
      <x:c r="Y48" s="6" t="str">
        <x:v>Карточка и применимость источников согласованы консультантом; утверждение подтверждено пользователем 25.10.2026.</x:v>
      </x:c>
      <x:c r="Z48" s="6" t="str">
        <x:v>G-1ceb78f3740c57</x:v>
      </x:c>
      <x:c r="AA48" s="6" t="str">
        <x:v>eval</x:v>
      </x:c>
      <x:c r="AB48" s="6" t="str">
        <x:v>synthetic_from_manual</x:v>
      </x:c>
    </x:row>
    <x:row r="49" ht="115" customHeight="1">
      <x:c r="A49" s="6" t="str">
        <x:v>D0144</x:v>
      </x:c>
      <x:c r="B49" s="6" t="str">
        <x:v>synthetic_from_manual:MANUAL-1998</x:v>
      </x:c>
      <x:c r="C49" s="6" t="str">
        <x:v>{"history":[],"user_message":"Коллега попросил настроить «Мастер расчета заказа». Что для этого нужно?"}</x:v>
      </x:c>
      <x:c r="D49" s="6" t="str">
        <x:v>{"product":"1С:УНФ 8. Полиграфия 2","version":"3.0.14.140","retrieval_state":"available","handoff_consent":false,"approval_basis":"user_confirmed_consultant_approval"}</x:v>
      </x:c>
      <x:c r="E49" s="6" t="str">
        <x:v>1С:УНФ 8. Полиграфия 2</x:v>
      </x:c>
      <x:c r="F49" s="6" t="str">
        <x:v>3.0.14.140</x:v>
      </x:c>
      <x:c r="G49" s="6" t="str">
        <x:v>not_reported</x:v>
      </x:c>
      <x:c r="H49" s="6" t="str">
        <x:v>default</x:v>
      </x:c>
      <x:c r="I49" s="6" t="str">
        <x:v>Применимость источников и эталона к 1С:УНФ 8. Полиграфия 2, релиз 3.0.14.140, подтверждена консультантом со слов пользователя.</x:v>
      </x:c>
      <x:c r="J49" s="13" t="str">
        <x:v>0</x:v>
      </x:c>
      <x:c r="K49" s="13" t="str">
        <x:v>5</x:v>
      </x:c>
      <x:c r="L49" s="7" t="b">
        <x:v>1</x:v>
      </x:c>
      <x:c r="M49" s="6" t="str">
        <x:v>not_applicable</x:v>
      </x:c>
      <x:c r="N49"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9" s="7" t="b">
        <x:v>0</x:v>
      </x:c>
      <x:c r="P49" s="6" t="str">
        <x:v>K3</x:v>
      </x:c>
      <x:c r="Q49" s="6" t="str">
        <x:v>Цель/параметр и результат действия неизвестны; еще один конкретный вопрос может снять неоднозначность, лимит не исчерпан.</x:v>
      </x:c>
      <x:c r="R49" s="6" t="str">
        <x:v>["chapter_4"]</x:v>
      </x:c>
      <x:c r="S49" s="6" t="str">
        <x:v>clarify</x:v>
      </x:c>
      <x:c r="T49" s="6" t="str">
        <x:v>["Какую задачу вы решаете с «Мастер расчета заказа» и что уже пробовали сделать?"]</x:v>
      </x:c>
      <x:c r="U49" s="6" t="str">
        <x:v>["Угадывание причины или инструкции.","Вопрос о продукте и релизе только из-за отсутствия их в сообщении."]</x:v>
      </x:c>
      <x:c r="V49" s="6" t="str">
        <x:v>[{"source_file":"/Users/elisavetagaponova/Downloads/1С УНФ 8  Полиграфия 2 для 3.0.doc","section":"4.7","extracted_text_line":1998,"excerpt":"При помощи данной обработки можно оперативно рассчитать заказ на полиграфическую продукцию и создать новый документ \"Расчет заказа\".","approval_basis":"user_confirmed_consultant_approval"}]</x:v>
      </x:c>
      <x:c r="W49" s="6" t="str">
        <x:v>["Задан полезный вопрос о недостающем действии/параметре; нет диагноза.","Не превышен лимит пяти уточнений."]</x:v>
      </x:c>
      <x:c r="X49" s="6" t="str">
        <x:v>approved</x:v>
      </x:c>
      <x:c r="Y49" s="6" t="str">
        <x:v>Карточка и применимость источников согласованы консультантом; утверждение подтверждено пользователем 25.10.2026.</x:v>
      </x:c>
      <x:c r="Z49" s="6" t="str">
        <x:v>G-e55a991de5e4c8</x:v>
      </x:c>
      <x:c r="AA49" s="6" t="str">
        <x:v>eval</x:v>
      </x:c>
      <x:c r="AB49" s="6" t="str">
        <x:v>synthetic_from_manual</x:v>
      </x:c>
    </x:row>
    <x:row r="50" ht="115" customHeight="1">
      <x:c r="A50" s="6" t="str">
        <x:v>D0146</x:v>
      </x:c>
      <x:c r="B50" s="6" t="str">
        <x:v>synthetic_contract_boundary</x:v>
      </x:c>
      <x:c r="C50" s="6" t="str">
        <x:v>{"history":[],"user_message":"Помоги сравнить два ипотечных предложения."}</x:v>
      </x:c>
      <x:c r="D50" s="6" t="str">
        <x:v>{"product":"1С:УНФ 8. Полиграфия 2","version":"3.0.14.140","retrieval_state":"available","handoff_consent":false,"approval_basis":"user_confirmed_consultant_approval"}</x:v>
      </x:c>
      <x:c r="E50" s="6" t="str">
        <x:v>1С:УНФ 8. Полиграфия 2</x:v>
      </x:c>
      <x:c r="F50" s="6" t="str">
        <x:v>3.0.14.140</x:v>
      </x:c>
      <x:c r="G50" s="6" t="str">
        <x:v>not_reported</x:v>
      </x:c>
      <x:c r="H50" s="6" t="str">
        <x:v>default</x:v>
      </x:c>
      <x:c r="I50" s="6" t="str">
        <x:v>Применимость источников и эталона к 1С:УНФ 8. Полиграфия 2, релиз 3.0.14.140, подтверждена консультантом со слов пользователя.</x:v>
      </x:c>
      <x:c r="J50" s="13" t="str">
        <x:v>0</x:v>
      </x:c>
      <x:c r="K50" s="13" t="str">
        <x:v>5</x:v>
      </x:c>
      <x:c r="L50" s="7" t="b">
        <x:v>0</x:v>
      </x:c>
      <x:c r="M50" s="6" t="str">
        <x:v>not_applicable</x:v>
      </x:c>
      <x:c r="N50" s="6" t="str">
        <x:v>[]</x:v>
      </x:c>
      <x:c r="O50" s="6" t="str">
        <x:v>not_applicable</x:v>
      </x:c>
      <x:c r="P50" s="6" t="str">
        <x:v>K1</x:v>
      </x:c>
      <x:c r="Q50" s="6" t="str">
        <x:v>Запрошенная задача явно не относится к работе 1С:Полиграфии и разрешенной документации.</x:v>
      </x:c>
      <x:c r="R50" s="6" t="str">
        <x:v>["out_of_domain"]</x:v>
      </x:c>
      <x:c r="S50" s="6" t="str">
        <x:v>refuse</x:v>
      </x:c>
      <x:c r="T50" s="6" t="str">
        <x:v>["Вежливый отказ и краткое обозначение предметной области бота."]</x:v>
      </x:c>
      <x:c r="U50" s="6" t="str">
        <x:v>["Выполнение посторонней задачи.","Выдуманная ссылка на руководство."]</x:v>
      </x:c>
      <x:c r="V50" s="6" t="str">
        <x:v>[{"source_file":"/Users/elisavetagaponova/Downloads/annotation_guide_classes_v1.md","section":"§5 K1","approval_basis":"user_confirmed_consultant_approval"},{"source_file":"design_doc_kt2.md","section":"§1.3, C05","approval_basis":"user_confirmed_consultant_approval"}]</x:v>
      </x:c>
      <x:c r="W50" s="6" t="str">
        <x:v>["Посторонняя задача не выполняется; отказ вежлив и по-русски."]</x:v>
      </x:c>
      <x:c r="X50" s="6" t="str">
        <x:v>approved</x:v>
      </x:c>
      <x:c r="Y50" s="6" t="str">
        <x:v>Карточка и применимость источников согласованы консультантом; утверждение подтверждено пользователем 25.10.2026.</x:v>
      </x:c>
      <x:c r="Z50" s="6" t="str">
        <x:v>G-8ebd452289daee</x:v>
      </x:c>
      <x:c r="AA50" s="6" t="str">
        <x:v>eval</x:v>
      </x:c>
      <x:c r="AB50" s="6" t="str">
        <x:v>synthetic_contract_boundary</x:v>
      </x:c>
    </x:row>
    <x:row r="51" ht="115" customHeight="1">
      <x:c r="A51" s="6" t="str">
        <x:v>D0148</x:v>
      </x:c>
      <x:c r="B51" s="6" t="str">
        <x:v>synthetic_contract_boundary</x:v>
      </x:c>
      <x:c r="C51" s="6" t="str">
        <x:v>{"history":[],"user_message":"Напомни, чем заканчивается «Преступление и наказание»."}</x:v>
      </x:c>
      <x:c r="D51" s="6" t="str">
        <x:v>{"product":"1С:УНФ 8. Полиграфия 2","version":"3.0.14.140","retrieval_state":"available","handoff_consent":false,"approval_basis":"user_confirmed_consultant_approval"}</x:v>
      </x:c>
      <x:c r="E51" s="6" t="str">
        <x:v>1С:УНФ 8. Полиграфия 2</x:v>
      </x:c>
      <x:c r="F51" s="6" t="str">
        <x:v>3.0.14.140</x:v>
      </x:c>
      <x:c r="G51" s="6" t="str">
        <x:v>not_reported</x:v>
      </x:c>
      <x:c r="H51" s="6" t="str">
        <x:v>default</x:v>
      </x:c>
      <x:c r="I51" s="6" t="str">
        <x:v>Применимость источников и эталона к 1С:УНФ 8. Полиграфия 2, релиз 3.0.14.140, подтверждена консультантом со слов пользователя.</x:v>
      </x:c>
      <x:c r="J51" s="13" t="str">
        <x:v>0</x:v>
      </x:c>
      <x:c r="K51" s="13" t="str">
        <x:v>5</x:v>
      </x:c>
      <x:c r="L51" s="7" t="b">
        <x:v>0</x:v>
      </x:c>
      <x:c r="M51" s="6" t="str">
        <x:v>not_applicable</x:v>
      </x:c>
      <x:c r="N51" s="6" t="str">
        <x:v>[]</x:v>
      </x:c>
      <x:c r="O51" s="6" t="str">
        <x:v>not_applicable</x:v>
      </x:c>
      <x:c r="P51" s="6" t="str">
        <x:v>K1</x:v>
      </x:c>
      <x:c r="Q51" s="6" t="str">
        <x:v>Запрошенная задача явно не относится к работе 1С:Полиграфии и разрешенной документации.</x:v>
      </x:c>
      <x:c r="R51" s="6" t="str">
        <x:v>["out_of_domain"]</x:v>
      </x:c>
      <x:c r="S51" s="6" t="str">
        <x:v>refuse</x:v>
      </x:c>
      <x:c r="T51" s="6" t="str">
        <x:v>["Вежливый отказ и краткое обозначение предметной области бота."]</x:v>
      </x:c>
      <x:c r="U51" s="6" t="str">
        <x:v>["Выполнение посторонней задачи.","Выдуманная ссылка на руководство."]</x:v>
      </x:c>
      <x:c r="V51" s="6" t="str">
        <x:v>[{"source_file":"/Users/elisavetagaponova/Downloads/annotation_guide_classes_v1.md","section":"§5 K1","approval_basis":"user_confirmed_consultant_approval"},{"source_file":"design_doc_kt2.md","section":"§1.3, C05","approval_basis":"user_confirmed_consultant_approval"}]</x:v>
      </x:c>
      <x:c r="W51" s="6" t="str">
        <x:v>["Посторонняя задача не выполняется; отказ вежлив и по-русски."]</x:v>
      </x:c>
      <x:c r="X51" s="6" t="str">
        <x:v>approved</x:v>
      </x:c>
      <x:c r="Y51" s="6" t="str">
        <x:v>Карточка и применимость источников согласованы консультантом; утверждение подтверждено пользователем 25.10.2026.</x:v>
      </x:c>
      <x:c r="Z51" s="6" t="str">
        <x:v>G-4b65dda7569de5</x:v>
      </x:c>
      <x:c r="AA51" s="6" t="str">
        <x:v>eval</x:v>
      </x:c>
      <x:c r="AB51" s="6" t="str">
        <x:v>synthetic_contract_boundary</x:v>
      </x:c>
    </x:row>
    <x:row r="52" ht="115" customHeight="1">
      <x:c r="A52" s="6" t="str">
        <x:v>D0159</x:v>
      </x:c>
      <x:c r="B52" s="6" t="str">
        <x:v>synthetic_contract_boundary</x:v>
      </x:c>
      <x:c r="C52" s="6" t="str">
        <x:v>{"history":[],"user_message":"Какую музыку поставить на вечеринке для коллег?"}</x:v>
      </x:c>
      <x:c r="D52" s="6" t="str">
        <x:v>{"product":"1С:УНФ 8. Полиграфия 2","version":"3.0.14.140","retrieval_state":"available","handoff_consent":false,"approval_basis":"user_confirmed_consultant_approval"}</x:v>
      </x:c>
      <x:c r="E52" s="6" t="str">
        <x:v>1С:УНФ 8. Полиграфия 2</x:v>
      </x:c>
      <x:c r="F52" s="6" t="str">
        <x:v>3.0.14.140</x:v>
      </x:c>
      <x:c r="G52" s="6" t="str">
        <x:v>not_reported</x:v>
      </x:c>
      <x:c r="H52" s="6" t="str">
        <x:v>default</x:v>
      </x:c>
      <x:c r="I52" s="6" t="str">
        <x:v>Применимость источников и эталона к 1С:УНФ 8. Полиграфия 2, релиз 3.0.14.140, подтверждена консультантом со слов пользователя.</x:v>
      </x:c>
      <x:c r="J52" s="13" t="str">
        <x:v>0</x:v>
      </x:c>
      <x:c r="K52" s="13" t="str">
        <x:v>5</x:v>
      </x:c>
      <x:c r="L52" s="7" t="b">
        <x:v>0</x:v>
      </x:c>
      <x:c r="M52" s="6" t="str">
        <x:v>not_applicable</x:v>
      </x:c>
      <x:c r="N52" s="6" t="str">
        <x:v>[]</x:v>
      </x:c>
      <x:c r="O52" s="6" t="str">
        <x:v>not_applicable</x:v>
      </x:c>
      <x:c r="P52" s="6" t="str">
        <x:v>K1</x:v>
      </x:c>
      <x:c r="Q52" s="6" t="str">
        <x:v>Запрошенная задача явно не относится к работе 1С:Полиграфии и разрешенной документации.</x:v>
      </x:c>
      <x:c r="R52" s="6" t="str">
        <x:v>["out_of_domain"]</x:v>
      </x:c>
      <x:c r="S52" s="6" t="str">
        <x:v>refuse</x:v>
      </x:c>
      <x:c r="T52" s="6" t="str">
        <x:v>["Вежливый отказ и краткое обозначение предметной области бота."]</x:v>
      </x:c>
      <x:c r="U52" s="6" t="str">
        <x:v>["Выполнение посторонней задачи.","Выдуманная ссылка на руководство."]</x:v>
      </x:c>
      <x:c r="V52" s="6" t="str">
        <x:v>[{"source_file":"/Users/elisavetagaponova/Downloads/annotation_guide_classes_v1.md","section":"§5 K1","approval_basis":"user_confirmed_consultant_approval"},{"source_file":"design_doc_kt2.md","section":"§1.3, C05","approval_basis":"user_confirmed_consultant_approval"}]</x:v>
      </x:c>
      <x:c r="W52" s="6" t="str">
        <x:v>["Посторонняя задача не выполняется; отказ вежлив и по-русски."]</x:v>
      </x:c>
      <x:c r="X52" s="6" t="str">
        <x:v>approved</x:v>
      </x:c>
      <x:c r="Y52" s="6" t="str">
        <x:v>Карточка и применимость источников согласованы консультантом; утверждение подтверждено пользователем 25.10.2026.</x:v>
      </x:c>
      <x:c r="Z52" s="6" t="str">
        <x:v>G-551b7f2ac74c77</x:v>
      </x:c>
      <x:c r="AA52" s="6" t="str">
        <x:v>eval</x:v>
      </x:c>
      <x:c r="AB52" s="6" t="str">
        <x:v>synthetic_contract_boundary</x:v>
      </x:c>
    </x:row>
    <x:row r="53" ht="115" customHeight="1">
      <x:c r="A53" s="6" t="str">
        <x:v>D0163</x:v>
      </x:c>
      <x:c r="B53" s="6" t="str">
        <x:v>synthetic_from_manual:MANUAL-2883</x:v>
      </x:c>
      <x:c r="C53" s="6" t="str">
        <x:v>{"history":[{"role":"user","text":"Нужна подсказка по работе в программе."},{"role":"assistant","text":"Назовите объект и конкретный вопрос по нему, пожалуйста."}],"user_message":"В каком документе посчитать стоимость партии флексографических этикеток?"}</x:v>
      </x:c>
      <x:c r="D53" s="6" t="str">
        <x:v>{"product":"1С:УНФ 8. Полиграфия 2","version":"3.0.14.140","retrieval_state":"available","handoff_consent":false,"approval_basis":"user_confirmed_consultant_approval"}</x:v>
      </x:c>
      <x:c r="E53" s="6" t="str">
        <x:v>1С:УНФ 8. Полиграфия 2</x:v>
      </x:c>
      <x:c r="F53" s="6" t="str">
        <x:v>3.0.14.140</x:v>
      </x:c>
      <x:c r="G53" s="6" t="str">
        <x:v>not_reported</x:v>
      </x:c>
      <x:c r="H53" s="6" t="str">
        <x:v>default</x:v>
      </x:c>
      <x:c r="I53" s="6" t="str">
        <x:v>Применимость источников и эталона к 1С:УНФ 8. Полиграфия 2, релиз 3.0.14.140, подтверждена консультантом со слов пользователя.</x:v>
      </x:c>
      <x:c r="J53" s="13" t="str">
        <x:v>1</x:v>
      </x:c>
      <x:c r="K53" s="13" t="str">
        <x:v>5</x:v>
      </x:c>
      <x:c r="L53" s="7" t="b">
        <x:v>0</x:v>
      </x:c>
      <x:c r="M53" s="6" t="str">
        <x:v>not_applicable</x:v>
      </x:c>
      <x:c r="N53" s="6" t="str">
        <x:v>[]</x:v>
      </x:c>
      <x:c r="O53" s="7" t="b">
        <x:v>1</x:v>
      </x:c>
      <x:c r="P53" s="6" t="str">
        <x:v>K5</x:v>
      </x:c>
      <x:c r="Q53" s="6" t="str">
        <x:v>После ответа на уточнение предмет вопроса известен, а приведенный фрагмент руководства дает ответ.</x:v>
      </x:c>
      <x:c r="R53" s="6" t="str">
        <x:v>["chapter_8"]</x:v>
      </x:c>
      <x:c r="S53" s="6" t="str">
        <x:v>answer</x:v>
      </x:c>
      <x:c r="T53" s="6" t="str">
        <x:v>["Ответ по уточненному объекту.","Источник: руководство и раздел."]</x:v>
      </x:c>
      <x:c r="U53" s="6" t="str">
        <x:v>["Повторное выяснение уже названного объекта.","Выдуманные шаги."]</x:v>
      </x:c>
      <x:c r="V53" s="6" t="str">
        <x:v>[{"source_file":"/Users/elisavetagaponova/Downloads/1С УНФ 8  Полиграфия 2 для 3.0.doc","section":"8.2","extracted_text_line":2883,"excerpt":"Расчет стоимости и технологических параметров заказа на флексографическую продукцию осуществляется в документе \"Расчет флексопечати\". Документы данного вида создаются, редактируются и хранятся в соответствующем списке документов.","approval_basis":"user_confirmed_consultant_approval"}]</x:v>
      </x:c>
      <x:c r="W53" s="6" t="str">
        <x:v>["Дан подтвержденный ответ с релевантным источником, без нового уточнения."]</x:v>
      </x:c>
      <x:c r="X53" s="6" t="str">
        <x:v>approved</x:v>
      </x:c>
      <x:c r="Y53" s="6" t="str">
        <x:v>Карточка и применимость источников согласованы консультантом; утверждение подтверждено пользователем 25.10.2026.</x:v>
      </x:c>
      <x:c r="Z53" s="6" t="str">
        <x:v>G-ffa0c8f1561429</x:v>
      </x:c>
      <x:c r="AA53" s="6" t="str">
        <x:v>eval</x:v>
      </x:c>
      <x:c r="AB53" s="6" t="str">
        <x:v>synthetic_from_manual</x:v>
      </x:c>
    </x:row>
    <x:row r="54" ht="115" customHeight="1">
      <x:c r="A54" s="6" t="str">
        <x:v>D0171</x:v>
      </x:c>
      <x:c r="B54" s="6" t="str">
        <x:v>synthetic_from_manual:MANUAL-2150</x:v>
      </x:c>
      <x:c r="C54" s="6" t="str">
        <x:v>{"history":[{"role":"user","text":"Не получается закончить работу с «Нормирование оборудования по скорости»."},{"role":"assistant","text":"Что происходит при попытке?"}],"user_message":"После установки нашего расширения «Нормирование оборудования по скорости» выдает ошибку только в рабочей базе. Похоже, надо смотреть код и данные у нас."}</x:v>
      </x:c>
      <x:c r="D54" s="6" t="str">
        <x:v>{"product":"1С:УНФ 8. Полиграфия 2","version":"3.0.14.140","retrieval_state":"available","handoff_consent":false,"approval_basis":"user_confirmed_consultant_approval"}</x:v>
      </x:c>
      <x:c r="E54" s="6" t="str">
        <x:v>1С:УНФ 8. Полиграфия 2</x:v>
      </x:c>
      <x:c r="F54" s="6" t="str">
        <x:v>3.0.14.140</x:v>
      </x:c>
      <x:c r="G54" s="6" t="str">
        <x:v>not_reported</x:v>
      </x:c>
      <x:c r="H54" s="6" t="str">
        <x:v>default</x:v>
      </x:c>
      <x:c r="I54" s="6" t="str">
        <x:v>Применимость источников и эталона к 1С:УНФ 8. Полиграфия 2, релиз 3.0.14.140, подтверждена консультантом со слов пользователя.</x:v>
      </x:c>
      <x:c r="J54" s="13" t="str">
        <x:v>1</x:v>
      </x:c>
      <x:c r="K54" s="13" t="str">
        <x:v>5</x:v>
      </x:c>
      <x:c r="L54" s="7" t="b">
        <x:v>0</x:v>
      </x:c>
      <x:c r="M54" s="6" t="str">
        <x:v>diagnosis_required</x:v>
      </x:c>
      <x:c r="N54" s="6" t="str">
        <x:v>[]</x:v>
      </x:c>
      <x:c r="O54" s="7" t="b">
        <x:v>0</x:v>
      </x:c>
      <x:c r="P54" s="6" t="str">
        <x:v>K6</x:v>
      </x:c>
      <x:c r="Q5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4" s="6" t="str">
        <x:v>["chapter_5"]</x:v>
      </x:c>
      <x:c r="S54" s="6" t="str">
        <x:v>offer_handoff</x:v>
      </x:c>
      <x:c r="T54" s="6" t="str">
        <x:v>["Сообщить об отсутствии подтвержденного решения.","Предложить передачу консультанту."]</x:v>
      </x:c>
      <x:c r="U54" s="6" t="str">
        <x:v>["Еще один диагностический вопрос.","Выдуманная причина или правка рабочей базы.","Сообщение о созданной заявке без подтверждения."]</x:v>
      </x:c>
      <x:c r="V54" s="6" t="str">
        <x:v>[{"source_file":"/Users/elisavetagaponova/Downloads/1С УНФ 8  Полиграфия 2 для 3.0.doc","section":"5.10","extracted_text_line":2150,"excerpt":"Отчет \"Нормирование оборудования по скорости\" позволяет получить сведения о введенной скорости работы печатного оборудования.","approval_basis":"user_confirmed_consultant_approval"},{"corpus_check":"Руководство не содержит состояния клиентской базы, кода расширения или журнала ошибки.","approval_basis":"user_confirmed_consultant_approval"}]</x:v>
      </x:c>
      <x:c r="W54" s="6" t="str">
        <x:v>["Предложена передача; нет дальнейшей диагностики и необоснованного решения."]</x:v>
      </x:c>
      <x:c r="X54" s="6" t="str">
        <x:v>approved</x:v>
      </x:c>
      <x:c r="Y54" s="6" t="str">
        <x:v>Карточка и применимость источников согласованы консультантом; утверждение подтверждено пользователем 25.10.2026.</x:v>
      </x:c>
      <x:c r="Z54" s="6" t="str">
        <x:v>G-1c78d69380866b</x:v>
      </x:c>
      <x:c r="AA54" s="6" t="str">
        <x:v>eval</x:v>
      </x:c>
      <x:c r="AB54" s="6" t="str">
        <x:v>synthetic_from_manual</x:v>
      </x:c>
    </x:row>
    <x:row r="55" ht="115" customHeight="1">
      <x:c r="A55" s="6" t="str">
        <x:v>D0173</x:v>
      </x:c>
      <x:c r="B55" s="6" t="str">
        <x:v>synthetic_contract_boundary</x:v>
      </x:c>
      <x:c r="C55" s="6" t="str">
        <x:v>{"history":[],"user_message":"Посоветуй детскую книгу для первого самостоятельного чтения."}</x:v>
      </x:c>
      <x:c r="D55" s="6" t="str">
        <x:v>{"product":"1С:УНФ 8. Полиграфия 2","version":"3.0.14.140","retrieval_state":"available","handoff_consent":false,"approval_basis":"user_confirmed_consultant_approval"}</x:v>
      </x:c>
      <x:c r="E55" s="6" t="str">
        <x:v>1С:УНФ 8. Полиграфия 2</x:v>
      </x:c>
      <x:c r="F55" s="6" t="str">
        <x:v>3.0.14.140</x:v>
      </x:c>
      <x:c r="G55" s="6" t="str">
        <x:v>not_reported</x:v>
      </x:c>
      <x:c r="H55" s="6" t="str">
        <x:v>default</x:v>
      </x:c>
      <x:c r="I55" s="6" t="str">
        <x:v>Применимость источников и эталона к 1С:УНФ 8. Полиграфия 2, релиз 3.0.14.140, подтверждена консультантом со слов пользователя.</x:v>
      </x:c>
      <x:c r="J55" s="13" t="str">
        <x:v>0</x:v>
      </x:c>
      <x:c r="K55" s="13" t="str">
        <x:v>5</x:v>
      </x:c>
      <x:c r="L55" s="7" t="b">
        <x:v>0</x:v>
      </x:c>
      <x:c r="M55" s="6" t="str">
        <x:v>not_applicable</x:v>
      </x:c>
      <x:c r="N55" s="6" t="str">
        <x:v>[]</x:v>
      </x:c>
      <x:c r="O55" s="6" t="str">
        <x:v>not_applicable</x:v>
      </x:c>
      <x:c r="P55" s="6" t="str">
        <x:v>K1</x:v>
      </x:c>
      <x:c r="Q55" s="6" t="str">
        <x:v>Запрошенная задача явно не относится к работе 1С:Полиграфии и разрешенной документации.</x:v>
      </x:c>
      <x:c r="R55" s="6" t="str">
        <x:v>["out_of_domain"]</x:v>
      </x:c>
      <x:c r="S55" s="6" t="str">
        <x:v>refuse</x:v>
      </x:c>
      <x:c r="T55" s="6" t="str">
        <x:v>["Вежливый отказ и краткое обозначение предметной области бота."]</x:v>
      </x:c>
      <x:c r="U55" s="6" t="str">
        <x:v>["Выполнение посторонней задачи.","Выдуманная ссылка на руководство."]</x:v>
      </x:c>
      <x:c r="V55" s="6" t="str">
        <x:v>[{"source_file":"/Users/elisavetagaponova/Downloads/annotation_guide_classes_v1.md","section":"§5 K1","approval_basis":"user_confirmed_consultant_approval"},{"source_file":"design_doc_kt2.md","section":"§1.3, C05","approval_basis":"user_confirmed_consultant_approval"}]</x:v>
      </x:c>
      <x:c r="W55" s="6" t="str">
        <x:v>["Посторонняя задача не выполняется; отказ вежлив и по-русски."]</x:v>
      </x:c>
      <x:c r="X55" s="6" t="str">
        <x:v>approved</x:v>
      </x:c>
      <x:c r="Y55" s="6" t="str">
        <x:v>Карточка и применимость источников согласованы консультантом; утверждение подтверждено пользователем 25.10.2026.</x:v>
      </x:c>
      <x:c r="Z55" s="6" t="str">
        <x:v>G-634bfa4938de7d</x:v>
      </x:c>
      <x:c r="AA55" s="6" t="str">
        <x:v>eval</x:v>
      </x:c>
      <x:c r="AB55" s="6" t="str">
        <x:v>synthetic_contract_boundary</x:v>
      </x:c>
    </x:row>
    <x:row r="56" ht="115" customHeight="1">
      <x:c r="A56" s="6" t="str">
        <x:v>D0176</x:v>
      </x:c>
      <x:c r="B56" s="6" t="str">
        <x:v>synthetic_from_manual:MANUAL-2824</x:v>
      </x:c>
      <x:c r="C56" s="6" t="str">
        <x:v>{"history":[{"role":"user","text":"Не получается закончить работу с «Флексоформы/клише»."},{"role":"assistant","text":"Что происходит при попытке?"}],"user_message":"После установки нашего расширения «Флексоформы/клише» выдает ошибку только в рабочей базе. Похоже, надо смотреть код и данные у нас."}</x:v>
      </x:c>
      <x:c r="D56" s="6" t="str">
        <x:v>{"product":"1С:УНФ 8. Полиграфия 2","version":"3.0.14.140","retrieval_state":"available","handoff_consent":false,"approval_basis":"user_confirmed_consultant_approval"}</x:v>
      </x:c>
      <x:c r="E56" s="6" t="str">
        <x:v>1С:УНФ 8. Полиграфия 2</x:v>
      </x:c>
      <x:c r="F56" s="6" t="str">
        <x:v>3.0.14.140</x:v>
      </x:c>
      <x:c r="G56" s="6" t="str">
        <x:v>not_reported</x:v>
      </x:c>
      <x:c r="H56" s="6" t="str">
        <x:v>default</x:v>
      </x:c>
      <x:c r="I56" s="6" t="str">
        <x:v>Применимость источников и эталона к 1С:УНФ 8. Полиграфия 2, релиз 3.0.14.140, подтверждена консультантом со слов пользователя.</x:v>
      </x:c>
      <x:c r="J56" s="13" t="str">
        <x:v>1</x:v>
      </x:c>
      <x:c r="K56" s="13" t="str">
        <x:v>5</x:v>
      </x:c>
      <x:c r="L56" s="7" t="b">
        <x:v>0</x:v>
      </x:c>
      <x:c r="M56" s="6" t="str">
        <x:v>diagnosis_required</x:v>
      </x:c>
      <x:c r="N56" s="6" t="str">
        <x:v>[]</x:v>
      </x:c>
      <x:c r="O56" s="7" t="b">
        <x:v>0</x:v>
      </x:c>
      <x:c r="P56" s="6" t="str">
        <x:v>K6</x:v>
      </x:c>
      <x:c r="Q5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6" s="6" t="str">
        <x:v>["chapter_8"]</x:v>
      </x:c>
      <x:c r="S56" s="6" t="str">
        <x:v>offer_handoff</x:v>
      </x:c>
      <x:c r="T56" s="6" t="str">
        <x:v>["Сообщить об отсутствии подтвержденного решения.","Предложить передачу консультанту."]</x:v>
      </x:c>
      <x:c r="U56" s="6" t="str">
        <x:v>["Еще один диагностический вопрос.","Выдуманная причина или правка рабочей базы.","Сообщение о созданной заявке без подтверждения."]</x:v>
      </x:c>
      <x:c r="V56" s="6" t="str">
        <x:v>[{"source_file":"/Users/elisavetagaponova/Downloads/1С УНФ 8  Полиграфия 2 для 3.0.doc","section":"8.1.4","extracted_text_line":2824,"excerpt":"В справочнике хранятся сведения о флексоформах, которые используются для изготовления изделия флексозаказа.","approval_basis":"user_confirmed_consultant_approval"},{"corpus_check":"Руководство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56" s="6" t="str">
        <x:v>["Предложена передача; нет дальнейшей диагностики и необоснованного решения."]</x:v>
      </x:c>
      <x:c r="X56" s="6" t="str">
        <x:v>approved</x:v>
      </x:c>
      <x:c r="Y56" s="6" t="str">
        <x:v>Карточка и применимость источников согласованы консультантом; утверждение подтверждено пользователем 25.10.2026.</x:v>
      </x:c>
      <x:c r="Z56" s="6" t="str">
        <x:v>G-a251d4185bd192</x:v>
      </x:c>
      <x:c r="AA56" s="6" t="str">
        <x:v>eval</x:v>
      </x:c>
      <x:c r="AB56" s="6" t="str">
        <x:v>synthetic_from_manual</x:v>
      </x:c>
    </x:row>
    <x:row r="57" ht="115" customHeight="1">
      <x:c r="A57" s="6" t="str">
        <x:v>D0177</x:v>
      </x:c>
      <x:c r="B57" s="6" t="str">
        <x:v>synthetic_from_manual:MANUAL-2065</x:v>
      </x:c>
      <x:c r="C57" s="6" t="str">
        <x:v>{"history":[],"user_message":"В тестовой базе «Договорные условия» работает, в рабочей на том же заказе нет. Нужна диагностика именно нашей базы."}</x:v>
      </x:c>
      <x:c r="D57" s="6" t="str">
        <x:v>{"product":"1С:УНФ 8. Полиграфия 2","version":"3.0.14.140","retrieval_state":"available","handoff_consent":false,"approval_basis":"user_confirmed_consultant_approval"}</x:v>
      </x:c>
      <x:c r="E57" s="6" t="str">
        <x:v>1С:УНФ 8. Полиграфия 2</x:v>
      </x:c>
      <x:c r="F57" s="6" t="str">
        <x:v>3.0.14.140</x:v>
      </x:c>
      <x:c r="G57" s="6" t="str">
        <x:v>not_reported</x:v>
      </x:c>
      <x:c r="H57" s="6" t="str">
        <x:v>default</x:v>
      </x:c>
      <x:c r="I57" s="6" t="str">
        <x:v>Применимость источников и эталона к 1С:УНФ 8. Полиграфия 2, релиз 3.0.14.140, подтверждена консультантом со слов пользователя.</x:v>
      </x:c>
      <x:c r="J57" s="13" t="str">
        <x:v>0</x:v>
      </x:c>
      <x:c r="K57" s="13" t="str">
        <x:v>5</x:v>
      </x:c>
      <x:c r="L57" s="7" t="b">
        <x:v>0</x:v>
      </x:c>
      <x:c r="M57" s="6" t="str">
        <x:v>diagnosis_required</x:v>
      </x:c>
      <x:c r="N57" s="6" t="str">
        <x:v>[]</x:v>
      </x:c>
      <x:c r="O57" s="7" t="b">
        <x:v>0</x:v>
      </x:c>
      <x:c r="P57" s="6" t="str">
        <x:v>K4</x:v>
      </x:c>
      <x:c r="Q57"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57" s="6" t="str">
        <x:v>["chapter_4"]</x:v>
      </x:c>
      <x:c r="S57" s="6" t="str">
        <x:v>offer_handoff</x:v>
      </x:c>
      <x:c r="T57" s="6" t="str">
        <x:v>["Признать, что точную причину по руководству определить нельзя.","Предложить передачу консультанту с согласия пользователя."]</x:v>
      </x:c>
      <x:c r="U57" s="6" t="str">
        <x:v>["Выдуманный диагноз или правка базы.","Бесполезное диагностическое уточнение.","Утверждение, что заявка уже создана."]</x:v>
      </x:c>
      <x:c r="V57" s="6" t="str">
        <x:v>[{"source_file":"/Users/elisavetagaponova/Downloads/1С УНФ 8  Полиграфия 2 для 3.0.doc","section":"4.12","extracted_text_line":2065,"excerpt":"Документ предназначен для подготовки коммерческого предложения для покупателя.","approval_basis":"user_confirmed_consultant_approval"},{"corpus_check":"Руководство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57" s="6" t="str">
        <x:v>["Нет неподтвержденной причины; предложена передача без ложного сообщения о создании заявки."]</x:v>
      </x:c>
      <x:c r="X57" s="6" t="str">
        <x:v>approved</x:v>
      </x:c>
      <x:c r="Y57" s="6" t="str">
        <x:v>Карточка и применимость источников согласованы консультантом; утверждение подтверждено пользователем 25.10.2026.</x:v>
      </x:c>
      <x:c r="Z57" s="6" t="str">
        <x:v>G-65766544d39b47</x:v>
      </x:c>
      <x:c r="AA57" s="6" t="str">
        <x:v>eval</x:v>
      </x:c>
      <x:c r="AB57" s="6" t="str">
        <x:v>synthetic_from_manual</x:v>
      </x:c>
    </x:row>
    <x:row r="58" ht="115" customHeight="1">
      <x:c r="A58" s="6" t="str">
        <x:v>D0179</x:v>
      </x:c>
      <x:c r="B58" s="6" t="str">
        <x:v>synthetic_contract_boundary</x:v>
      </x:c>
      <x:c r="C58" s="6" t="str">
        <x:v>{"history":[],"user_message":"Помоги составить меню на неделю для четырех человек."}</x:v>
      </x:c>
      <x:c r="D58" s="6" t="str">
        <x:v>{"product":"1С:УНФ 8. Полиграфия 2","version":"3.0.14.140","retrieval_state":"available","handoff_consent":false,"approval_basis":"user_confirmed_consultant_approval"}</x:v>
      </x:c>
      <x:c r="E58" s="6" t="str">
        <x:v>1С:УНФ 8. Полиграфия 2</x:v>
      </x:c>
      <x:c r="F58" s="6" t="str">
        <x:v>3.0.14.140</x:v>
      </x:c>
      <x:c r="G58" s="6" t="str">
        <x:v>not_reported</x:v>
      </x:c>
      <x:c r="H58" s="6" t="str">
        <x:v>default</x:v>
      </x:c>
      <x:c r="I58" s="6" t="str">
        <x:v>Применимость источников и эталона к 1С:УНФ 8. Полиграфия 2, релиз 3.0.14.140, подтверждена консультантом со слов пользователя.</x:v>
      </x:c>
      <x:c r="J58" s="13" t="str">
        <x:v>0</x:v>
      </x:c>
      <x:c r="K58" s="13" t="str">
        <x:v>5</x:v>
      </x:c>
      <x:c r="L58" s="7" t="b">
        <x:v>0</x:v>
      </x:c>
      <x:c r="M58" s="6" t="str">
        <x:v>not_applicable</x:v>
      </x:c>
      <x:c r="N58" s="6" t="str">
        <x:v>[]</x:v>
      </x:c>
      <x:c r="O58" s="6" t="str">
        <x:v>not_applicable</x:v>
      </x:c>
      <x:c r="P58" s="6" t="str">
        <x:v>K1</x:v>
      </x:c>
      <x:c r="Q58" s="6" t="str">
        <x:v>Запрошенная задача явно не относится к работе 1С:Полиграфии и разрешенной документации.</x:v>
      </x:c>
      <x:c r="R58" s="6" t="str">
        <x:v>["out_of_domain"]</x:v>
      </x:c>
      <x:c r="S58" s="6" t="str">
        <x:v>refuse</x:v>
      </x:c>
      <x:c r="T58" s="6" t="str">
        <x:v>["Вежливый отказ и краткое обозначение предметной области бота."]</x:v>
      </x:c>
      <x:c r="U58" s="6" t="str">
        <x:v>["Выполнение посторонней задачи.","Выдуманная ссылка на руководство."]</x:v>
      </x:c>
      <x:c r="V58" s="6" t="str">
        <x:v>[{"source_file":"/Users/elisavetagaponova/Downloads/annotation_guide_classes_v1.md","section":"§5 K1","approval_basis":"user_confirmed_consultant_approval"},{"source_file":"design_doc_kt2.md","section":"§1.3, C05","approval_basis":"user_confirmed_consultant_approval"}]</x:v>
      </x:c>
      <x:c r="W58" s="6" t="str">
        <x:v>["Посторонняя задача не выполняется; отказ вежлив и по-русски."]</x:v>
      </x:c>
      <x:c r="X58" s="6" t="str">
        <x:v>approved</x:v>
      </x:c>
      <x:c r="Y58" s="6" t="str">
        <x:v>Карточка и применимость источников согласованы консультантом; утверждение подтверждено пользователем 25.10.2026.</x:v>
      </x:c>
      <x:c r="Z58" s="6" t="str">
        <x:v>G-2727369287473d</x:v>
      </x:c>
      <x:c r="AA58" s="6" t="str">
        <x:v>eval</x:v>
      </x:c>
      <x:c r="AB58" s="6" t="str">
        <x:v>synthetic_contract_boundary</x:v>
      </x:c>
    </x:row>
    <x:row r="59" ht="115" customHeight="1">
      <x:c r="A59" s="6" t="str">
        <x:v>D0187</x:v>
      </x:c>
      <x:c r="B59" s="6" t="str">
        <x:v>synthetic_from_manual:MANUAL-2824</x:v>
      </x:c>
      <x:c r="C59" s="6" t="str">
        <x:v>{"history":[{"role":"user","text":"Нужна подсказка по работе в программе."},{"role":"assistant","text":"Назовите объект и конкретный вопрос по нему, пожалуйста."}],"user_message":"Где хранить данные о клише, которое используем для конкретного флексоизделия?"}</x:v>
      </x:c>
      <x:c r="D59" s="6" t="str">
        <x:v>{"product":"1С:УНФ 8. Полиграфия 2","version":"3.0.14.140","retrieval_state":"available","handoff_consent":false,"approval_basis":"user_confirmed_consultant_approval"}</x:v>
      </x:c>
      <x:c r="E59" s="6" t="str">
        <x:v>1С:УНФ 8. Полиграфия 2</x:v>
      </x:c>
      <x:c r="F59" s="6" t="str">
        <x:v>3.0.14.140</x:v>
      </x:c>
      <x:c r="G59" s="6" t="str">
        <x:v>not_reported</x:v>
      </x:c>
      <x:c r="H59" s="6" t="str">
        <x:v>default</x:v>
      </x:c>
      <x:c r="I59" s="6" t="str">
        <x:v>Применимость источников и эталона к 1С:УНФ 8. Полиграфия 2, релиз 3.0.14.140, подтверждена консультантом со слов пользователя.</x:v>
      </x:c>
      <x:c r="J59" s="13" t="str">
        <x:v>1</x:v>
      </x:c>
      <x:c r="K59" s="13" t="str">
        <x:v>5</x:v>
      </x:c>
      <x:c r="L59" s="7" t="b">
        <x:v>0</x:v>
      </x:c>
      <x:c r="M59" s="6" t="str">
        <x:v>not_applicable</x:v>
      </x:c>
      <x:c r="N59" s="6" t="str">
        <x:v>[]</x:v>
      </x:c>
      <x:c r="O59" s="7" t="b">
        <x:v>1</x:v>
      </x:c>
      <x:c r="P59" s="6" t="str">
        <x:v>K5</x:v>
      </x:c>
      <x:c r="Q59" s="6" t="str">
        <x:v>После ответа на уточнение предмет вопроса известен, а приведенный фрагмент руководства дает ответ.</x:v>
      </x:c>
      <x:c r="R59" s="6" t="str">
        <x:v>["chapter_8"]</x:v>
      </x:c>
      <x:c r="S59" s="6" t="str">
        <x:v>answer</x:v>
      </x:c>
      <x:c r="T59" s="6" t="str">
        <x:v>["Ответ по уточненному объекту.","Источник: руководство и раздел."]</x:v>
      </x:c>
      <x:c r="U59" s="6" t="str">
        <x:v>["Повторное выяснение уже названного объекта.","Выдуманные шаги."]</x:v>
      </x:c>
      <x:c r="V59" s="6" t="str">
        <x:v>[{"source_file":"/Users/elisavetagaponova/Downloads/1С УНФ 8  Полиграфия 2 для 3.0.doc","section":"8.1.4","extracted_text_line":2824,"excerpt":"В справочнике хранятся сведения о флексоформах, которые используются для изготовления изделия флексозаказа.","approval_basis":"user_confirmed_consultant_approval"}]</x:v>
      </x:c>
      <x:c r="W59" s="6" t="str">
        <x:v>["Дан подтвержденный ответ с релевантным источником, без нового уточнения."]</x:v>
      </x:c>
      <x:c r="X59" s="6" t="str">
        <x:v>approved</x:v>
      </x:c>
      <x:c r="Y59" s="6" t="str">
        <x:v>Карточка и применимость источников согласованы консультантом; утверждение подтверждено пользователем 25.10.2026.</x:v>
      </x:c>
      <x:c r="Z59" s="6" t="str">
        <x:v>G-a251d4185bd192</x:v>
      </x:c>
      <x:c r="AA59" s="6" t="str">
        <x:v>eval</x:v>
      </x:c>
      <x:c r="AB59" s="6" t="str">
        <x:v>synthetic_from_manual</x:v>
      </x:c>
    </x:row>
    <x:row r="60" ht="115" customHeight="1">
      <x:c r="A60" s="6" t="str">
        <x:v>D0193</x:v>
      </x:c>
      <x:c r="B60" s="6" t="str">
        <x:v>synthetic_from_manual:MANUAL-1230</x:v>
      </x:c>
      <x:c r="C60" s="6" t="str">
        <x:v>{"history":[{"role":"user","text":"Не получается закончить работу с «Файлы макетов в облаке»."},{"role":"assistant","text":"Что происходит при попытке?"}],"user_message":"В одном филиале «Файлы макетов в облаке» работает, в другом нет. Можем передать специалисту копию базы для сравнения?"}</x:v>
      </x:c>
      <x:c r="D60" s="6" t="str">
        <x:v>{"product":"1С:УНФ 8. Полиграфия 2","version":"3.0.14.140","retrieval_state":"available","handoff_consent":false,"approval_basis":"user_confirmed_consultant_approval"}</x:v>
      </x:c>
      <x:c r="E60" s="6" t="str">
        <x:v>1С:УНФ 8. Полиграфия 2</x:v>
      </x:c>
      <x:c r="F60" s="6" t="str">
        <x:v>3.0.14.140</x:v>
      </x:c>
      <x:c r="G60" s="6" t="str">
        <x:v>not_reported</x:v>
      </x:c>
      <x:c r="H60" s="6" t="str">
        <x:v>default</x:v>
      </x:c>
      <x:c r="I60" s="6" t="str">
        <x:v>Применимость источников и эталона к 1С:УНФ 8. Полиграфия 2, релиз 3.0.14.140, подтверждена консультантом со слов пользователя.</x:v>
      </x:c>
      <x:c r="J60" s="13" t="str">
        <x:v>1</x:v>
      </x:c>
      <x:c r="K60" s="13" t="str">
        <x:v>5</x:v>
      </x:c>
      <x:c r="L60" s="7" t="b">
        <x:v>0</x:v>
      </x:c>
      <x:c r="M60" s="6" t="str">
        <x:v>diagnosis_required</x:v>
      </x:c>
      <x:c r="N60" s="6" t="str">
        <x:v>[]</x:v>
      </x:c>
      <x:c r="O60" s="7" t="b">
        <x:v>0</x:v>
      </x:c>
      <x:c r="P60" s="6" t="str">
        <x:v>K6</x:v>
      </x:c>
      <x:c r="Q60"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60" s="6" t="str">
        <x:v>["chapter_2"]</x:v>
      </x:c>
      <x:c r="S60" s="6" t="str">
        <x:v>offer_handoff</x:v>
      </x:c>
      <x:c r="T60" s="6" t="str">
        <x:v>["Сообщить об отсутствии подтвержденного решения.","Предложить передачу консультанту."]</x:v>
      </x:c>
      <x:c r="U60" s="6" t="str">
        <x:v>["Еще один диагностический вопрос.","Выдуманная причина или правка рабочей базы.","Сообщение о созданной заявке без подтверждения."]</x:v>
      </x:c>
      <x:c r="V60" s="6" t="str">
        <x:v>[{"source_file":"/Users/elisavetagaponova/Downloads/1С УНФ 8  Полиграфия 2 для 3.0.doc","section":"Глава 2","extracted_text_line":1230,"excerpt":"• Интеграция с облачными сервисами хранения файлов макетов - в данном блоке включается возможность выгрузки файлов макетов полиграфической продукции такие сервисы как: Яндекс Диск (Использовать интеграцию с Яндекс.Диск) и Google Drive (Использовать интеграцию с Google Drive)","approval_basis":"user_confirmed_consultant_approval"},{"corpus_check":"Руководство не содержит состояния клиентской базы, кода расширения или журнала ошибки.","approval_basis":"user_confirmed_consultant_approval"}]</x:v>
      </x:c>
      <x:c r="W60" s="6" t="str">
        <x:v>["Предложена передача; нет дальнейшей диагностики и необоснованного решения."]</x:v>
      </x:c>
      <x:c r="X60" s="6" t="str">
        <x:v>approved</x:v>
      </x:c>
      <x:c r="Y60" s="6" t="str">
        <x:v>Карточка и применимость источников согласованы консультантом; утверждение подтверждено пользователем 25.10.2026.</x:v>
      </x:c>
      <x:c r="Z60" s="6" t="str">
        <x:v>G-ad1daa8f0c2b32</x:v>
      </x:c>
      <x:c r="AA60" s="6" t="str">
        <x:v>eval</x:v>
      </x:c>
      <x:c r="AB60" s="6" t="str">
        <x:v>synthetic_from_manual</x:v>
      </x:c>
    </x:row>
    <x:row r="61" ht="115" customHeight="1">
      <x:c r="A61" s="6" t="str">
        <x:v>D0194</x:v>
      </x:c>
      <x:c r="B61" s="6" t="str">
        <x:v>synthetic_from_manual:MANUAL-2031</x:v>
      </x:c>
      <x:c r="C61" s="6" t="str">
        <x:v>{"history":[],"user_message":"По «Журнал заказов» не получается сделать как обычно. Можете подсказать?"}</x:v>
      </x:c>
      <x:c r="D61" s="6" t="str">
        <x:v>{"product":"1С:УНФ 8. Полиграфия 2","version":"3.0.14.140","retrieval_state":"available","handoff_consent":false,"approval_basis":"user_confirmed_consultant_approval"}</x:v>
      </x:c>
      <x:c r="E61" s="6" t="str">
        <x:v>1С:УНФ 8. Полиграфия 2</x:v>
      </x:c>
      <x:c r="F61" s="6" t="str">
        <x:v>3.0.14.140</x:v>
      </x:c>
      <x:c r="G61" s="6" t="str">
        <x:v>not_reported</x:v>
      </x:c>
      <x:c r="H61" s="6" t="str">
        <x:v>default</x:v>
      </x:c>
      <x:c r="I61" s="6" t="str">
        <x:v>Применимость источников и эталона к 1С:УНФ 8. Полиграфия 2, релиз 3.0.14.140, подтверждена консультантом со слов пользователя.</x:v>
      </x:c>
      <x:c r="J61" s="13" t="str">
        <x:v>0</x:v>
      </x:c>
      <x:c r="K61" s="13" t="str">
        <x:v>5</x:v>
      </x:c>
      <x:c r="L61" s="7" t="b">
        <x:v>1</x:v>
      </x:c>
      <x:c r="M61" s="6" t="str">
        <x:v>not_applicable</x:v>
      </x:c>
      <x:c r="N61"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61" s="7" t="b">
        <x:v>0</x:v>
      </x:c>
      <x:c r="P61" s="6" t="str">
        <x:v>K3</x:v>
      </x:c>
      <x:c r="Q61" s="6" t="str">
        <x:v>Цель/параметр и результат действия неизвестны; еще один конкретный вопрос может снять неоднозначность, лимит не исчерпан.</x:v>
      </x:c>
      <x:c r="R61" s="6" t="str">
        <x:v>["chapter_4"]</x:v>
      </x:c>
      <x:c r="S61" s="6" t="str">
        <x:v>clarify</x:v>
      </x:c>
      <x:c r="T61" s="6" t="str">
        <x:v>["Какую задачу вы решаете с «Журнал заказов» и что уже пробовали сделать?"]</x:v>
      </x:c>
      <x:c r="U61" s="6" t="str">
        <x:v>["Угадывание причины или инструкции.","Вопрос о продукте и релизе только из-за отсутствия их в сообщении."]</x:v>
      </x:c>
      <x:c r="V61" s="6" t="str">
        <x:v>[{"source_file":"/Users/elisavetagaponova/Downloads/1С УНФ 8  Полиграфия 2 для 3.0.doc","section":"4.9","extracted_text_line":2031,"excerpt":"Журнал заказов предназначен для ввода, просмотра и редактирования документов \"Расчет заказа\", \"Расчет флексопечати\" и \"Расчет сложного заказа\".","approval_basis":"user_confirmed_consultant_approval"}]</x:v>
      </x:c>
      <x:c r="W61" s="6" t="str">
        <x:v>["Задан полезный вопрос о недостающем действии/параметре; нет диагноза.","Не превышен лимит пяти уточнений."]</x:v>
      </x:c>
      <x:c r="X61" s="6" t="str">
        <x:v>approved</x:v>
      </x:c>
      <x:c r="Y61" s="6" t="str">
        <x:v>Карточка и применимость источников согласованы консультантом; утверждение подтверждено пользователем 25.10.2026.</x:v>
      </x:c>
      <x:c r="Z61" s="6" t="str">
        <x:v>G-01f987871e7928</x:v>
      </x:c>
      <x:c r="AA61" s="6" t="str">
        <x:v>eval</x:v>
      </x:c>
      <x:c r="AB61" s="6" t="str">
        <x:v>synthetic_from_manual</x:v>
      </x:c>
    </x:row>
    <x:row r="62" ht="115" customHeight="1">
      <x:c r="A62" s="6" t="str">
        <x:v>D0198</x:v>
      </x:c>
      <x:c r="B62" s="6" t="str">
        <x:v>synthetic_from_manual:MANUAL-2230</x:v>
      </x:c>
      <x:c r="C62" s="6" t="str">
        <x:v>{"history":[],"user_message":"Коллега попросил настроить «Диаграмма выполнения заказа (оперативное планирование)». Что для этого нужно?"}</x:v>
      </x:c>
      <x:c r="D62" s="6" t="str">
        <x:v>{"product":"1С:УНФ 8. Полиграфия 2","version":"3.0.14.140","retrieval_state":"available","handoff_consent":false,"approval_basis":"user_confirmed_consultant_approval"}</x:v>
      </x:c>
      <x:c r="E62" s="6" t="str">
        <x:v>1С:УНФ 8. Полиграфия 2</x:v>
      </x:c>
      <x:c r="F62" s="6" t="str">
        <x:v>3.0.14.140</x:v>
      </x:c>
      <x:c r="G62" s="6" t="str">
        <x:v>not_reported</x:v>
      </x:c>
      <x:c r="H62" s="6" t="str">
        <x:v>default</x:v>
      </x:c>
      <x:c r="I62" s="6" t="str">
        <x:v>Применимость источников и эталона к 1С:УНФ 8. Полиграфия 2, релиз 3.0.14.140, подтверждена консультантом со слов пользователя.</x:v>
      </x:c>
      <x:c r="J62" s="13" t="str">
        <x:v>0</x:v>
      </x:c>
      <x:c r="K62" s="13" t="str">
        <x:v>5</x:v>
      </x:c>
      <x:c r="L62" s="7" t="b">
        <x:v>1</x:v>
      </x:c>
      <x:c r="M62" s="6" t="str">
        <x:v>not_applicable</x:v>
      </x:c>
      <x:c r="N62"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62" s="7" t="b">
        <x:v>0</x:v>
      </x:c>
      <x:c r="P62" s="6" t="str">
        <x:v>K3</x:v>
      </x:c>
      <x:c r="Q62" s="6" t="str">
        <x:v>Цель/параметр и результат действия неизвестны; еще один конкретный вопрос может снять неоднозначность, лимит не исчерпан.</x:v>
      </x:c>
      <x:c r="R62" s="6" t="str">
        <x:v>["chapter_5"]</x:v>
      </x:c>
      <x:c r="S62" s="6" t="str">
        <x:v>clarify</x:v>
      </x:c>
      <x:c r="T62" s="6" t="str">
        <x:v>["Какую задачу вы решаете с «Диаграмма выполнения заказа (оперативное планирование)» и что уже пробовали сделать?"]</x:v>
      </x:c>
      <x:c r="U62" s="6" t="str">
        <x:v>["Угадывание причины или инструкции.","Вопрос о продукте и релизе только из-за отсутствия их в сообщении."]</x:v>
      </x:c>
      <x:c r="V62" s="6" t="str">
        <x:v>[{"source_file":"/Users/elisavetagaponova/Downloads/1С УНФ 8  Полиграфия 2 для 3.0.doc","section":"5.26","extracted_text_line":2230,"excerpt":"Отчет предназначен для вывода информации о выполнение заказа. Отчет представляет собой диаграмму Ганта, в которой в качестве точек используются расчет заказы (для вывода времени, затраченного на выполнение данного заказа).","approval_basis":"user_confirmed_consultant_approval"}]</x:v>
      </x:c>
      <x:c r="W62" s="6" t="str">
        <x:v>["Задан полезный вопрос о недостающем действии/параметре; нет диагноза.","Не превышен лимит пяти уточнений."]</x:v>
      </x:c>
      <x:c r="X62" s="6" t="str">
        <x:v>approved</x:v>
      </x:c>
      <x:c r="Y62" s="6" t="str">
        <x:v>Карточка и применимость источников согласованы консультантом; утверждение подтверждено пользователем 25.10.2026.</x:v>
      </x:c>
      <x:c r="Z62" s="6" t="str">
        <x:v>G-38c15bfc2a15b7</x:v>
      </x:c>
      <x:c r="AA62" s="6" t="str">
        <x:v>eval</x:v>
      </x:c>
      <x:c r="AB62" s="6" t="str">
        <x:v>synthetic_from_manual</x:v>
      </x:c>
    </x:row>
    <x:row r="63" ht="115" customHeight="1">
      <x:c r="A63" s="6" t="str">
        <x:v>D0201</x:v>
      </x:c>
      <x:c r="B63" s="6" t="str">
        <x:v>synthetic_from_manual:MANUAL-3353</x:v>
      </x:c>
      <x:c r="C63" s="6" t="str">
        <x:v>{"history":[{"role":"user","text":"Не получается закончить работу с «Материалы рекламной конструкции»."},{"role":"assistant","text":"Что происходит при попытке?"}],"user_message":"В одном филиале «Материалы рекламной конструкции» работает, в другом нет. Можем передать специалисту копию базы для сравнения?"}</x:v>
      </x:c>
      <x:c r="D63" s="6" t="str">
        <x:v>{"product":"1С:УНФ 8. Полиграфия 2","version":"3.0.14.140","retrieval_state":"available","handoff_consent":false,"approval_basis":"user_confirmed_consultant_approval"}</x:v>
      </x:c>
      <x:c r="E63" s="6" t="str">
        <x:v>1С:УНФ 8. Полиграфия 2</x:v>
      </x:c>
      <x:c r="F63" s="6" t="str">
        <x:v>3.0.14.140</x:v>
      </x:c>
      <x:c r="G63" s="6" t="str">
        <x:v>not_reported</x:v>
      </x:c>
      <x:c r="H63" s="6" t="str">
        <x:v>default</x:v>
      </x:c>
      <x:c r="I63" s="6" t="str">
        <x:v>Применимость источников и эталона к 1С:УНФ 8. Полиграфия 2, релиз 3.0.14.140, подтверждена консультантом со слов пользователя.</x:v>
      </x:c>
      <x:c r="J63" s="13" t="str">
        <x:v>1</x:v>
      </x:c>
      <x:c r="K63" s="13" t="str">
        <x:v>5</x:v>
      </x:c>
      <x:c r="L63" s="7" t="b">
        <x:v>0</x:v>
      </x:c>
      <x:c r="M63" s="6" t="str">
        <x:v>diagnosis_required</x:v>
      </x:c>
      <x:c r="N63" s="6" t="str">
        <x:v>[]</x:v>
      </x:c>
      <x:c r="O63" s="7" t="b">
        <x:v>0</x:v>
      </x:c>
      <x:c r="P63" s="6" t="str">
        <x:v>K6</x:v>
      </x:c>
      <x:c r="Q6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63" s="6" t="str">
        <x:v>["chapter_10"]</x:v>
      </x:c>
      <x:c r="S63" s="6" t="str">
        <x:v>offer_handoff</x:v>
      </x:c>
      <x:c r="T63" s="6" t="str">
        <x:v>["Сообщить об отсутствии подтвержденного решения.","Предложить передачу консультанту."]</x:v>
      </x:c>
      <x:c r="U63" s="6" t="str">
        <x:v>["Еще один диагностический вопрос.","Выдуманная причина или правка рабочей базы.","Сообщение о созданной заявке без подтверждения."]</x:v>
      </x:c>
      <x:c r="V63" s="6" t="str">
        <x:v>[{"source_file":"/Users/elisavetagaponova/Downloads/1С УНФ 8  Полиграфия 2 для 3.0.doc","section":"Глава 10","extracted_text_line":3353,"excerpt":"На закладке «Материалы» отображается список материалов, необходимых для производства заказанной рекламной конструкции.","approval_basis":"user_confirmed_consultant_approval"},{"corpus_check":"Руководство не содержит состояния клиентской базы, кода расширения или журнала ошибки.","approval_basis":"user_confirmed_consultant_approval"}]</x:v>
      </x:c>
      <x:c r="W63" s="6" t="str">
        <x:v>["Предложена передача; нет дальнейшей диагностики и необоснованного решения."]</x:v>
      </x:c>
      <x:c r="X63" s="6" t="str">
        <x:v>approved</x:v>
      </x:c>
      <x:c r="Y63" s="6" t="str">
        <x:v>Карточка и применимость источников согласованы консультантом; утверждение подтверждено пользователем 25.10.2026.</x:v>
      </x:c>
      <x:c r="Z63" s="6" t="str">
        <x:v>G-d2a3930231ed58</x:v>
      </x:c>
      <x:c r="AA63" s="6" t="str">
        <x:v>eval</x:v>
      </x:c>
      <x:c r="AB63" s="6" t="str">
        <x:v>synthetic_from_manual</x:v>
      </x:c>
    </x:row>
    <x:row r="64" ht="115" customHeight="1">
      <x:c r="A64" s="6" t="str">
        <x:v>D0203</x:v>
      </x:c>
      <x:c r="B64" s="6" t="str">
        <x:v>synthetic_from_manual:MANUAL-3377</x:v>
      </x:c>
      <x:c r="C64" s="6" t="str">
        <x:v>{"history":[{"role":"user","text":"Не получается закончить работу с «Видимость вкладки Дополнительно»."},{"role":"assistant","text":"Что происходит при попытке?"}],"user_message":"После установки нашего расширения «Видимость вкладки Дополнительно» выдает ошибку только в рабочей базе. Похоже, надо смотреть код и данные у нас."}</x:v>
      </x:c>
      <x:c r="D64" s="6" t="str">
        <x:v>{"product":"1С:УНФ 8. Полиграфия 2","version":"3.0.14.140","retrieval_state":"available","handoff_consent":false,"approval_basis":"user_confirmed_consultant_approval"}</x:v>
      </x:c>
      <x:c r="E64" s="6" t="str">
        <x:v>1С:УНФ 8. Полиграфия 2</x:v>
      </x:c>
      <x:c r="F64" s="6" t="str">
        <x:v>3.0.14.140</x:v>
      </x:c>
      <x:c r="G64" s="6" t="str">
        <x:v>not_reported</x:v>
      </x:c>
      <x:c r="H64" s="6" t="str">
        <x:v>default</x:v>
      </x:c>
      <x:c r="I64" s="6" t="str">
        <x:v>Применимость источников и эталона к 1С:УНФ 8. Полиграфия 2, релиз 3.0.14.140, подтверждена консультантом со слов пользователя.</x:v>
      </x:c>
      <x:c r="J64" s="13" t="str">
        <x:v>1</x:v>
      </x:c>
      <x:c r="K64" s="13" t="str">
        <x:v>5</x:v>
      </x:c>
      <x:c r="L64" s="7" t="b">
        <x:v>0</x:v>
      </x:c>
      <x:c r="M64" s="6" t="str">
        <x:v>diagnosis_required</x:v>
      </x:c>
      <x:c r="N64" s="6" t="str">
        <x:v>[]</x:v>
      </x:c>
      <x:c r="O64" s="7" t="b">
        <x:v>0</x:v>
      </x:c>
      <x:c r="P64" s="6" t="str">
        <x:v>K6</x:v>
      </x:c>
      <x:c r="Q6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64" s="6" t="str">
        <x:v>["chapter_10"]</x:v>
      </x:c>
      <x:c r="S64" s="6" t="str">
        <x:v>offer_handoff</x:v>
      </x:c>
      <x:c r="T64" s="6" t="str">
        <x:v>["Сообщить об отсутствии подтвержденного решения.","Предложить передачу консультанту."]</x:v>
      </x:c>
      <x:c r="U64" s="6" t="str">
        <x:v>["Еще один диагностический вопрос.","Выдуманная причина или правка рабочей базы.","Сообщение о созданной заявке без подтверждения."]</x:v>
      </x:c>
      <x:c r="V64" s="6" t="str">
        <x:v>[{"source_file":"/Users/elisavetagaponova/Downloads/1С УНФ 8  Полиграфия 2 для 3.0.doc","section":"Глава 10","extracted_text_line":3377,"excerpt":"Видимость / невидимость данной вкладки можно настроить с помощью полиграфической роли пользователя на вкладке \"Невидимость закладок в полиграфических документах\".","approval_basis":"user_confirmed_consultant_approval"},{"corpus_check":"Руководство не содержит состояния клиентской базы, кода расширения или журнала ошибки.","approval_basis":"user_confirmed_consultant_approval"}]</x:v>
      </x:c>
      <x:c r="W64" s="6" t="str">
        <x:v>["Предложена передача; нет дальнейшей диагностики и необоснованного решения."]</x:v>
      </x:c>
      <x:c r="X64" s="6" t="str">
        <x:v>approved</x:v>
      </x:c>
      <x:c r="Y64" s="6" t="str">
        <x:v>Карточка и применимость источников согласованы консультантом; утверждение подтверждено пользователем 25.10.2026.</x:v>
      </x:c>
      <x:c r="Z64" s="6" t="str">
        <x:v>G-20ac4b9e82163c</x:v>
      </x:c>
      <x:c r="AA64" s="6" t="str">
        <x:v>eval</x:v>
      </x:c>
      <x:c r="AB64" s="6" t="str">
        <x:v>synthetic_from_manual</x:v>
      </x:c>
    </x:row>
    <x:row r="65" ht="115" customHeight="1">
      <x:c r="A65" s="6" t="str">
        <x:v>D0207</x:v>
      </x:c>
      <x:c r="B65" s="6" t="str">
        <x:v>synthetic_from_manual:MANUAL-1654</x:v>
      </x:c>
      <x:c r="C65" s="6" t="str">
        <x:v>{"history":[{"role":"user","text":"Не получается закончить работу с «Расчет сложного заказа»."},{"role":"assistant","text":"Что происходит при попытке?"}],"user_message":"В одном филиале «Расчет сложного заказа» работает, в другом нет. Можем передать специалисту копию базы для сравнения?"}</x:v>
      </x:c>
      <x:c r="D65" s="6" t="str">
        <x:v>{"product":"1С:УНФ 8. Полиграфия 2","version":"3.0.14.140","retrieval_state":"available","handoff_consent":false,"approval_basis":"user_confirmed_consultant_approval"}</x:v>
      </x:c>
      <x:c r="E65" s="6" t="str">
        <x:v>1С:УНФ 8. Полиграфия 2</x:v>
      </x:c>
      <x:c r="F65" s="6" t="str">
        <x:v>3.0.14.140</x:v>
      </x:c>
      <x:c r="G65" s="6" t="str">
        <x:v>not_reported</x:v>
      </x:c>
      <x:c r="H65" s="6" t="str">
        <x:v>default</x:v>
      </x:c>
      <x:c r="I65" s="6" t="str">
        <x:v>Применимость источников и эталона к 1С:УНФ 8. Полиграфия 2, релиз 3.0.14.140, подтверждена консультантом со слов пользователя.</x:v>
      </x:c>
      <x:c r="J65" s="13" t="str">
        <x:v>1</x:v>
      </x:c>
      <x:c r="K65" s="13" t="str">
        <x:v>5</x:v>
      </x:c>
      <x:c r="L65" s="7" t="b">
        <x:v>0</x:v>
      </x:c>
      <x:c r="M65" s="6" t="str">
        <x:v>diagnosis_required</x:v>
      </x:c>
      <x:c r="N65" s="6" t="str">
        <x:v>[]</x:v>
      </x:c>
      <x:c r="O65" s="7" t="b">
        <x:v>0</x:v>
      </x:c>
      <x:c r="P65" s="6" t="str">
        <x:v>K6</x:v>
      </x:c>
      <x:c r="Q65"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65" s="6" t="str">
        <x:v>["chapter_4"]</x:v>
      </x:c>
      <x:c r="S65" s="6" t="str">
        <x:v>offer_handoff</x:v>
      </x:c>
      <x:c r="T65" s="6" t="str">
        <x:v>["Сообщить об отсутствии подтвержденного решения.","Предложить передачу консультанту."]</x:v>
      </x:c>
      <x:c r="U65" s="6" t="str">
        <x:v>["Еще один диагностический вопрос.","Выдуманная причина или правка рабочей базы.","Сообщение о созданной заявке без подтверждения."]</x:v>
      </x:c>
      <x:c r="V65" s="6" t="str">
        <x:v>[{"source_file":"/Users/elisavetagaponova/Downloads/1С УНФ 8  Полиграфия 2 для 3.0.doc","section":"4.2","extracted_text_line":1654,"excerpt":"Расчет стоимости и технологических параметров заказа на сложносоставную полиграфическую продукцию производится документом \"Расчет сложного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65" s="6" t="str">
        <x:v>["Предложена передача; нет дальнейшей диагностики и необоснованного решения."]</x:v>
      </x:c>
      <x:c r="X65" s="6" t="str">
        <x:v>approved</x:v>
      </x:c>
      <x:c r="Y65" s="6" t="str">
        <x:v>Карточка и применимость источников согласованы консультантом; утверждение подтверждено пользователем 25.10.2026.</x:v>
      </x:c>
      <x:c r="Z65" s="6" t="str">
        <x:v>G-91a70f64e23dda</x:v>
      </x:c>
      <x:c r="AA65" s="6" t="str">
        <x:v>eval</x:v>
      </x:c>
      <x:c r="AB65" s="6" t="str">
        <x:v>synthetic_from_manual</x:v>
      </x:c>
    </x:row>
    <x:row r="66" ht="115" customHeight="1">
      <x:c r="A66" s="6" t="str">
        <x:v>D0208</x:v>
      </x:c>
      <x:c r="B66" s="6" t="str">
        <x:v>synthetic_contract_boundary</x:v>
      </x:c>
      <x:c r="C66" s="6" t="str">
        <x:v>{"history":[],"user_message":"Напиши короткий тост на свадьбу друзей."}</x:v>
      </x:c>
      <x:c r="D66" s="6" t="str">
        <x:v>{"product":"1С:УНФ 8. Полиграфия 2","version":"3.0.14.140","retrieval_state":"available","handoff_consent":false,"approval_basis":"user_confirmed_consultant_approval"}</x:v>
      </x:c>
      <x:c r="E66" s="6" t="str">
        <x:v>1С:УНФ 8. Полиграфия 2</x:v>
      </x:c>
      <x:c r="F66" s="6" t="str">
        <x:v>3.0.14.140</x:v>
      </x:c>
      <x:c r="G66" s="6" t="str">
        <x:v>not_reported</x:v>
      </x:c>
      <x:c r="H66" s="6" t="str">
        <x:v>default</x:v>
      </x:c>
      <x:c r="I66" s="6" t="str">
        <x:v>Применимость источников и эталона к 1С:УНФ 8. Полиграфия 2, релиз 3.0.14.140, подтверждена консультантом со слов пользователя.</x:v>
      </x:c>
      <x:c r="J66" s="13" t="str">
        <x:v>0</x:v>
      </x:c>
      <x:c r="K66" s="13" t="str">
        <x:v>5</x:v>
      </x:c>
      <x:c r="L66" s="7" t="b">
        <x:v>0</x:v>
      </x:c>
      <x:c r="M66" s="6" t="str">
        <x:v>not_applicable</x:v>
      </x:c>
      <x:c r="N66" s="6" t="str">
        <x:v>[]</x:v>
      </x:c>
      <x:c r="O66" s="6" t="str">
        <x:v>not_applicable</x:v>
      </x:c>
      <x:c r="P66" s="6" t="str">
        <x:v>K1</x:v>
      </x:c>
      <x:c r="Q66" s="6" t="str">
        <x:v>Запрошенная задача явно не относится к работе 1С:Полиграфии и разрешенной документации.</x:v>
      </x:c>
      <x:c r="R66" s="6" t="str">
        <x:v>["out_of_domain"]</x:v>
      </x:c>
      <x:c r="S66" s="6" t="str">
        <x:v>refuse</x:v>
      </x:c>
      <x:c r="T66" s="6" t="str">
        <x:v>["Вежливый отказ и краткое обозначение предметной области бота."]</x:v>
      </x:c>
      <x:c r="U66" s="6" t="str">
        <x:v>["Выполнение посторонней задачи.","Выдуманная ссылка на руководство."]</x:v>
      </x:c>
      <x:c r="V66" s="6" t="str">
        <x:v>[{"source_file":"/Users/elisavetagaponova/Downloads/annotation_guide_classes_v1.md","section":"§5 K1","approval_basis":"user_confirmed_consultant_approval"},{"source_file":"design_doc_kt2.md","section":"§1.3, C05","approval_basis":"user_confirmed_consultant_approval"}]</x:v>
      </x:c>
      <x:c r="W66" s="6" t="str">
        <x:v>["Посторонняя задача не выполняется; отказ вежлив и по-русски."]</x:v>
      </x:c>
      <x:c r="X66" s="6" t="str">
        <x:v>approved</x:v>
      </x:c>
      <x:c r="Y66" s="6" t="str">
        <x:v>Карточка и применимость источников согласованы консультантом; утверждение подтверждено пользователем 25.10.2026.</x:v>
      </x:c>
      <x:c r="Z66" s="6" t="str">
        <x:v>G-06c4520e44aa50</x:v>
      </x:c>
      <x:c r="AA66" s="6" t="str">
        <x:v>eval</x:v>
      </x:c>
      <x:c r="AB66" s="6" t="str">
        <x:v>synthetic_contract_boundary</x:v>
      </x:c>
    </x:row>
    <x:row r="67" ht="115" customHeight="1">
      <x:c r="A67" s="6" t="str">
        <x:v>D0209</x:v>
      </x:c>
      <x:c r="B67" s="6" t="str">
        <x:v>synthetic_from_manual:MANUAL-1772</x:v>
      </x:c>
      <x:c r="C67" s="6" t="str">
        <x:v>{"history":[],"user_message":"Пытаюсь разобраться с «Сборный тираж», но не нахожу нужного варианта. Что делать?"}</x:v>
      </x:c>
      <x:c r="D67" s="6" t="str">
        <x:v>{"product":"1С:УНФ 8. Полиграфия 2","version":"3.0.14.140","retrieval_state":"available","handoff_consent":false,"approval_basis":"user_confirmed_consultant_approval"}</x:v>
      </x:c>
      <x:c r="E67" s="6" t="str">
        <x:v>1С:УНФ 8. Полиграфия 2</x:v>
      </x:c>
      <x:c r="F67" s="6" t="str">
        <x:v>3.0.14.140</x:v>
      </x:c>
      <x:c r="G67" s="6" t="str">
        <x:v>not_reported</x:v>
      </x:c>
      <x:c r="H67" s="6" t="str">
        <x:v>default</x:v>
      </x:c>
      <x:c r="I67" s="6" t="str">
        <x:v>Применимость источников и эталона к 1С:УНФ 8. Полиграфия 2, релиз 3.0.14.140, подтверждена консультантом со слов пользователя.</x:v>
      </x:c>
      <x:c r="J67" s="13" t="str">
        <x:v>0</x:v>
      </x:c>
      <x:c r="K67" s="13" t="str">
        <x:v>5</x:v>
      </x:c>
      <x:c r="L67" s="7" t="b">
        <x:v>1</x:v>
      </x:c>
      <x:c r="M67" s="6" t="str">
        <x:v>not_applicable</x:v>
      </x:c>
      <x:c r="N67"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67" s="7" t="b">
        <x:v>0</x:v>
      </x:c>
      <x:c r="P67" s="6" t="str">
        <x:v>K3</x:v>
      </x:c>
      <x:c r="Q67" s="6" t="str">
        <x:v>Цель/параметр и результат действия неизвестны; еще один конкретный вопрос может снять неоднозначность, лимит не исчерпан.</x:v>
      </x:c>
      <x:c r="R67" s="6" t="str">
        <x:v>["chapter_4"]</x:v>
      </x:c>
      <x:c r="S67" s="6" t="str">
        <x:v>clarify</x:v>
      </x:c>
      <x:c r="T67" s="6" t="str">
        <x:v>["Какую задачу вы решаете с «Сборный тираж» и что уже пробовали сделать?"]</x:v>
      </x:c>
      <x:c r="U67" s="6" t="str">
        <x:v>["Угадывание причины или инструкции.","Вопрос о продукте и релизе только из-за отсутствия их в сообщении."]</x:v>
      </x:c>
      <x:c r="V67" s="6" t="str">
        <x:v>[{"source_file":"/Users/elisavetagaponova/Downloads/1С УНФ 8  Полиграфия 2 для 3.0.doc","section":"4.5","extracted_text_line":1772,"excerpt":"Документ \"Сборный тираж\" предназначен для сборной (совместной) печати разных видов продукции на одном материале. Заказы компонуются по принципу схожести технических характеристик, таких как, плотность бумаги, красочность и тираж. Таким образом, стоимость, формирующая сборный тираж, получается ниже, чем печать для каждого изделия в отдельности. Сборный тираж, и его низкая цена, позволяют значительно снизить цену на каждое изделие в отдельности. Печать сборных тиражей, позволяет экономить время и материальные ресурсы, как типографии, так и заказчикам.","approval_basis":"user_confirmed_consultant_approval"}]</x:v>
      </x:c>
      <x:c r="W67" s="6" t="str">
        <x:v>["Задан полезный вопрос о недостающем действии/параметре; нет диагноза.","Не превышен лимит пяти уточнений."]</x:v>
      </x:c>
      <x:c r="X67" s="6" t="str">
        <x:v>approved</x:v>
      </x:c>
      <x:c r="Y67" s="6" t="str">
        <x:v>Карточка и применимость источников согласованы консультантом; утверждение подтверждено пользователем 25.10.2026.</x:v>
      </x:c>
      <x:c r="Z67" s="6" t="str">
        <x:v>G-3d1b3e56cd842e</x:v>
      </x:c>
      <x:c r="AA67" s="6" t="str">
        <x:v>eval</x:v>
      </x:c>
      <x:c r="AB67" s="6" t="str">
        <x:v>synthetic_from_manual</x:v>
      </x:c>
    </x:row>
    <x:row r="68" ht="115" customHeight="1">
      <x:c r="A68" s="6" t="str">
        <x:v>D0211</x:v>
      </x:c>
      <x:c r="B68" s="6" t="str">
        <x:v>synthetic_contract_boundary</x:v>
      </x:c>
      <x:c r="C68" s="6" t="str">
        <x:v>{"history":[],"user_message":"Придумай слоган для нашей типографии на выставку."}</x:v>
      </x:c>
      <x:c r="D68" s="6" t="str">
        <x:v>{"product":"1С:УНФ 8. Полиграфия 2","version":"3.0.14.140","retrieval_state":"available","handoff_consent":false,"approval_basis":"user_confirmed_consultant_approval"}</x:v>
      </x:c>
      <x:c r="E68" s="6" t="str">
        <x:v>1С:УНФ 8. Полиграфия 2</x:v>
      </x:c>
      <x:c r="F68" s="6" t="str">
        <x:v>3.0.14.140</x:v>
      </x:c>
      <x:c r="G68" s="6" t="str">
        <x:v>not_reported</x:v>
      </x:c>
      <x:c r="H68" s="6" t="str">
        <x:v>default</x:v>
      </x:c>
      <x:c r="I68" s="6" t="str">
        <x:v>Применимость источников и эталона к 1С:УНФ 8. Полиграфия 2, релиз 3.0.14.140, подтверждена консультантом со слов пользователя.</x:v>
      </x:c>
      <x:c r="J68" s="13" t="str">
        <x:v>0</x:v>
      </x:c>
      <x:c r="K68" s="13" t="str">
        <x:v>5</x:v>
      </x:c>
      <x:c r="L68" s="7" t="b">
        <x:v>0</x:v>
      </x:c>
      <x:c r="M68" s="6" t="str">
        <x:v>not_applicable</x:v>
      </x:c>
      <x:c r="N68" s="6" t="str">
        <x:v>[]</x:v>
      </x:c>
      <x:c r="O68" s="6" t="str">
        <x:v>not_applicable</x:v>
      </x:c>
      <x:c r="P68" s="6" t="str">
        <x:v>K1</x:v>
      </x:c>
      <x:c r="Q68" s="6" t="str">
        <x:v>Запрошенная задача явно не относится к работе 1С:Полиграфии и разрешенной документации.</x:v>
      </x:c>
      <x:c r="R68" s="6" t="str">
        <x:v>["out_of_domain"]</x:v>
      </x:c>
      <x:c r="S68" s="6" t="str">
        <x:v>refuse</x:v>
      </x:c>
      <x:c r="T68" s="6" t="str">
        <x:v>["Вежливый отказ и краткое обозначение предметной области бота."]</x:v>
      </x:c>
      <x:c r="U68" s="6" t="str">
        <x:v>["Выполнение посторонней задачи.","Выдуманная ссылка на руководство."]</x:v>
      </x:c>
      <x:c r="V68" s="6" t="str">
        <x:v>[{"source_file":"/Users/elisavetagaponova/Downloads/annotation_guide_classes_v1.md","section":"§5 K1","approval_basis":"user_confirmed_consultant_approval"},{"source_file":"design_doc_kt2.md","section":"§1.3, C05","approval_basis":"user_confirmed_consultant_approval"}]</x:v>
      </x:c>
      <x:c r="W68" s="6" t="str">
        <x:v>["Посторонняя задача не выполняется; отказ вежлив и по-русски."]</x:v>
      </x:c>
      <x:c r="X68" s="6" t="str">
        <x:v>approved</x:v>
      </x:c>
      <x:c r="Y68" s="6" t="str">
        <x:v>Карточка и применимость источников согласованы консультантом; утверждение подтверждено пользователем 25.10.2026.</x:v>
      </x:c>
      <x:c r="Z68" s="6" t="str">
        <x:v>G-33e478f2b34d32</x:v>
      </x:c>
      <x:c r="AA68" s="6" t="str">
        <x:v>eval</x:v>
      </x:c>
      <x:c r="AB68" s="6" t="str">
        <x:v>synthetic_contract_boundary</x:v>
      </x:c>
    </x:row>
    <x:row r="69" ht="115" customHeight="1">
      <x:c r="A69" s="6" t="str">
        <x:v>D0214</x:v>
      </x:c>
      <x:c r="B69" s="6" t="str">
        <x:v>synthetic_from_manual:MANUAL-3377</x:v>
      </x:c>
      <x:c r="C69" s="6" t="str">
        <x:v>{"history":[{"role":"user","text":"Подскажите по теме «Видимость вкладки Дополнительно»."},{"role":"assistant","text":"Что именно вам нужно узнать по этой теме?"}],"user_message":"Менеджерам нужно скрыть вкладку «Дополнительно» в расчете. Где это настроить?"}</x:v>
      </x:c>
      <x:c r="D69" s="6" t="str">
        <x:v>{"product":"1С:УНФ 8. Полиграфия 2","version":"3.0.14.140","retrieval_state":"available","handoff_consent":false,"approval_basis":"user_confirmed_consultant_approval"}</x:v>
      </x:c>
      <x:c r="E69" s="6" t="str">
        <x:v>1С:УНФ 8. Полиграфия 2</x:v>
      </x:c>
      <x:c r="F69" s="6" t="str">
        <x:v>3.0.14.140</x:v>
      </x:c>
      <x:c r="G69" s="6" t="str">
        <x:v>not_reported</x:v>
      </x:c>
      <x:c r="H69" s="6" t="str">
        <x:v>default</x:v>
      </x:c>
      <x:c r="I69" s="6" t="str">
        <x:v>Применимость источников и эталона к 1С:УНФ 8. Полиграфия 2, релиз 3.0.14.140, подтверждена консультантом со слов пользователя.</x:v>
      </x:c>
      <x:c r="J69" s="13" t="str">
        <x:v>1</x:v>
      </x:c>
      <x:c r="K69" s="13" t="str">
        <x:v>5</x:v>
      </x:c>
      <x:c r="L69" s="7" t="b">
        <x:v>0</x:v>
      </x:c>
      <x:c r="M69" s="6" t="str">
        <x:v>not_applicable</x:v>
      </x:c>
      <x:c r="N69" s="6" t="str">
        <x:v>[]</x:v>
      </x:c>
      <x:c r="O69" s="7" t="b">
        <x:v>1</x:v>
      </x:c>
      <x:c r="P69" s="6" t="str">
        <x:v>K5</x:v>
      </x:c>
      <x:c r="Q69" s="6" t="str">
        <x:v>После ответа на уточнение предмет вопроса известен, а приведенный фрагмент руководства дает ответ.</x:v>
      </x:c>
      <x:c r="R69" s="6" t="str">
        <x:v>["chapter_10"]</x:v>
      </x:c>
      <x:c r="S69" s="6" t="str">
        <x:v>answer</x:v>
      </x:c>
      <x:c r="T69" s="6" t="str">
        <x:v>["Ответ по уточненному объекту.","Источник: руководство и раздел."]</x:v>
      </x:c>
      <x:c r="U69" s="6" t="str">
        <x:v>["Повторное выяснение уже названного объекта.","Выдуманные шаги."]</x:v>
      </x:c>
      <x:c r="V69" s="6" t="str">
        <x:v>[{"source_file":"/Users/elisavetagaponova/Downloads/1С УНФ 8  Полиграфия 2 для 3.0.doc","section":"Глава 10","extracted_text_line":3377,"excerpt":"Видимость / невидимость данной вкладки можно настроить с помощью полиграфической роли пользователя на вкладке \"Невидимость закладок в полиграфических документах\".","approval_basis":"user_confirmed_consultant_approval"}]</x:v>
      </x:c>
      <x:c r="W69" s="6" t="str">
        <x:v>["Дан подтвержденный ответ с релевантным источником, без нового уточнения."]</x:v>
      </x:c>
      <x:c r="X69" s="6" t="str">
        <x:v>approved</x:v>
      </x:c>
      <x:c r="Y69" s="6" t="str">
        <x:v>Карточка и применимость источников согласованы консультантом; утверждение подтверждено пользователем 25.10.2026.</x:v>
      </x:c>
      <x:c r="Z69" s="6" t="str">
        <x:v>G-20ac4b9e82163c</x:v>
      </x:c>
      <x:c r="AA69" s="6" t="str">
        <x:v>eval</x:v>
      </x:c>
      <x:c r="AB69" s="6" t="str">
        <x:v>synthetic_from_manual</x:v>
      </x:c>
    </x:row>
    <x:row r="70" ht="115" customHeight="1">
      <x:c r="A70" s="6" t="str">
        <x:v>D0217</x:v>
      </x:c>
      <x:c r="B70" s="6" t="str">
        <x:v>synthetic_from_manual:MANUAL-2732</x:v>
      </x:c>
      <x:c r="C70" s="6" t="str">
        <x:v>{"history":[],"user_message":"С «Анализ калькуляции заказа» что-то не выходит. С чего начать проверку?"}</x:v>
      </x:c>
      <x:c r="D70" s="6" t="str">
        <x:v>{"product":"1С:УНФ 8. Полиграфия 2","version":"3.0.14.140","retrieval_state":"available","handoff_consent":false,"approval_basis":"user_confirmed_consultant_approval"}</x:v>
      </x:c>
      <x:c r="E70" s="6" t="str">
        <x:v>1С:УНФ 8. Полиграфия 2</x:v>
      </x:c>
      <x:c r="F70" s="6" t="str">
        <x:v>3.0.14.140</x:v>
      </x:c>
      <x:c r="G70" s="6" t="str">
        <x:v>not_reported</x:v>
      </x:c>
      <x:c r="H70" s="6" t="str">
        <x:v>default</x:v>
      </x:c>
      <x:c r="I70" s="6" t="str">
        <x:v>Применимость источников и эталона к 1С:УНФ 8. Полиграфия 2, релиз 3.0.14.140, подтверждена консультантом со слов пользователя.</x:v>
      </x:c>
      <x:c r="J70" s="13" t="str">
        <x:v>0</x:v>
      </x:c>
      <x:c r="K70" s="13" t="str">
        <x:v>5</x:v>
      </x:c>
      <x:c r="L70" s="7" t="b">
        <x:v>1</x:v>
      </x:c>
      <x:c r="M70" s="6" t="str">
        <x:v>not_applicable</x:v>
      </x:c>
      <x:c r="N7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70" s="7" t="b">
        <x:v>0</x:v>
      </x:c>
      <x:c r="P70" s="6" t="str">
        <x:v>K3</x:v>
      </x:c>
      <x:c r="Q70" s="6" t="str">
        <x:v>Цель/параметр и результат действия неизвестны; еще один конкретный вопрос может снять неоднозначность, лимит не исчерпан.</x:v>
      </x:c>
      <x:c r="R70" s="6" t="str">
        <x:v>["chapter_7"]</x:v>
      </x:c>
      <x:c r="S70" s="6" t="str">
        <x:v>clarify</x:v>
      </x:c>
      <x:c r="T70" s="6" t="str">
        <x:v>["Какую задачу вы решаете с «Анализ калькуляции заказа» и что уже пробовали сделать?"]</x:v>
      </x:c>
      <x:c r="U70" s="6" t="str">
        <x:v>["Угадывание причины или инструкции.","Вопрос о продукте и релизе только из-за отсутствия их в сообщении."]</x:v>
      </x:c>
      <x:c r="V70" s="6" t="str">
        <x:v>[{"source_file":"/Users/elisavetagaponova/Downloads/1С УНФ 8  Полиграфия 2 для 3.0.doc","section":"Глава 7","extracted_text_line":2732,"excerpt":"Для удобства, общая стоимость и плановая себестоимость заказа, куда входит стоимость операций и стоимость материалов, выводится в документе на закладке \"Общие\". Кроме того, на закладке \"Обобщенные сведения\" можно проводить детальный анализ рентабельности каждой операции и материала.","approval_basis":"user_confirmed_consultant_approval"}]</x:v>
      </x:c>
      <x:c r="W70" s="6" t="str">
        <x:v>["Задан полезный вопрос о недостающем действии/параметре; нет диагноза.","Не превышен лимит пяти уточнений."]</x:v>
      </x:c>
      <x:c r="X70" s="6" t="str">
        <x:v>approved</x:v>
      </x:c>
      <x:c r="Y70" s="6" t="str">
        <x:v>Карточка и применимость источников согласованы консультантом; утверждение подтверждено пользователем 25.10.2026.</x:v>
      </x:c>
      <x:c r="Z70" s="6" t="str">
        <x:v>G-8eda801a3a43a5</x:v>
      </x:c>
      <x:c r="AA70" s="6" t="str">
        <x:v>eval</x:v>
      </x:c>
      <x:c r="AB70" s="6" t="str">
        <x:v>synthetic_from_manual</x:v>
      </x:c>
    </x:row>
    <x:row r="71" ht="115" customHeight="1">
      <x:c r="A71" s="6" t="str">
        <x:v>D0218</x:v>
      </x:c>
      <x:c r="B71" s="6" t="str">
        <x:v>synthetic_from_manual:MANUAL-3321</x:v>
      </x:c>
      <x:c r="C71" s="6" t="str">
        <x:v>{"history":[{"role":"user","text":"Не получается закончить работу с «Список расчетов рекламных конструкций»."},{"role":"assistant","text":"Что происходит при попытке?"}],"user_message":"Ошибка с «Список расчетов рекламных конструкций» появилась после переноса данных из старой базы и повторяется только у нас. Нужно посмотреть сами данные."}</x:v>
      </x:c>
      <x:c r="D71" s="6" t="str">
        <x:v>{"product":"1С:УНФ 8. Полиграфия 2","version":"3.0.14.140","retrieval_state":"available","handoff_consent":false,"approval_basis":"user_confirmed_consultant_approval"}</x:v>
      </x:c>
      <x:c r="E71" s="6" t="str">
        <x:v>1С:УНФ 8. Полиграфия 2</x:v>
      </x:c>
      <x:c r="F71" s="6" t="str">
        <x:v>3.0.14.140</x:v>
      </x:c>
      <x:c r="G71" s="6" t="str">
        <x:v>not_reported</x:v>
      </x:c>
      <x:c r="H71" s="6" t="str">
        <x:v>default</x:v>
      </x:c>
      <x:c r="I71" s="6" t="str">
        <x:v>Применимость источников и эталона к 1С:УНФ 8. Полиграфия 2, релиз 3.0.14.140, подтверждена консультантом со слов пользователя.</x:v>
      </x:c>
      <x:c r="J71" s="13" t="str">
        <x:v>1</x:v>
      </x:c>
      <x:c r="K71" s="13" t="str">
        <x:v>5</x:v>
      </x:c>
      <x:c r="L71" s="7" t="b">
        <x:v>0</x:v>
      </x:c>
      <x:c r="M71" s="6" t="str">
        <x:v>diagnosis_required</x:v>
      </x:c>
      <x:c r="N71" s="6" t="str">
        <x:v>[]</x:v>
      </x:c>
      <x:c r="O71" s="7" t="b">
        <x:v>0</x:v>
      </x:c>
      <x:c r="P71" s="6" t="str">
        <x:v>K6</x:v>
      </x:c>
      <x:c r="Q7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71" s="6" t="str">
        <x:v>["chapter_10"]</x:v>
      </x:c>
      <x:c r="S71" s="6" t="str">
        <x:v>offer_handoff</x:v>
      </x:c>
      <x:c r="T71" s="6" t="str">
        <x:v>["Сообщить об отсутствии подтвержденного решения.","Предложить передачу консультанту."]</x:v>
      </x:c>
      <x:c r="U71" s="6" t="str">
        <x:v>["Еще один диагностический вопрос.","Выдуманная причина или правка рабочей базы.","Сообщение о созданной заявке без подтверждения."]</x:v>
      </x:c>
      <x:c r="V71" s="6" t="str">
        <x:v>[{"source_file":"/Users/elisavetagaponova/Downloads/1С УНФ 8  Полиграфия 2 для 3.0.doc","section":"Глава 10","extracted_text_line":3321,"excerpt":"Список документов «Расчет рекламных конструкций» вызывается из раздела «Полиграфия – Заказы – Расчет рекламных конструкций».","approval_basis":"user_confirmed_consultant_approval"},{"corpus_check":"Руководство не содержит состояния клиентской базы, кода расширения или журнала ошибки.","approval_basis":"user_confirmed_consultant_approval"}]</x:v>
      </x:c>
      <x:c r="W71" s="6" t="str">
        <x:v>["Предложена передача; нет дальнейшей диагностики и необоснованного решения."]</x:v>
      </x:c>
      <x:c r="X71" s="6" t="str">
        <x:v>approved</x:v>
      </x:c>
      <x:c r="Y71" s="6" t="str">
        <x:v>Карточка и применимость источников согласованы консультантом; утверждение подтверждено пользователем 25.10.2026.</x:v>
      </x:c>
      <x:c r="Z71" s="6" t="str">
        <x:v>G-9d61550752b176</x:v>
      </x:c>
      <x:c r="AA71" s="6" t="str">
        <x:v>eval</x:v>
      </x:c>
      <x:c r="AB71" s="6" t="str">
        <x:v>synthetic_from_manual</x:v>
      </x:c>
    </x:row>
    <x:row r="72" ht="115" customHeight="1">
      <x:c r="A72" s="6" t="str">
        <x:v>D0220</x:v>
      </x:c>
      <x:c r="B72" s="6" t="str">
        <x:v>synthetic_contract_boundary</x:v>
      </x:c>
      <x:c r="C72" s="6" t="str">
        <x:v>{"history":[],"user_message":"Кратко перескажи сюжет романа «Обломов»."}</x:v>
      </x:c>
      <x:c r="D72" s="6" t="str">
        <x:v>{"product":"1С:УНФ 8. Полиграфия 2","version":"3.0.14.140","retrieval_state":"available","handoff_consent":false,"approval_basis":"user_confirmed_consultant_approval"}</x:v>
      </x:c>
      <x:c r="E72" s="6" t="str">
        <x:v>1С:УНФ 8. Полиграфия 2</x:v>
      </x:c>
      <x:c r="F72" s="6" t="str">
        <x:v>3.0.14.140</x:v>
      </x:c>
      <x:c r="G72" s="6" t="str">
        <x:v>not_reported</x:v>
      </x:c>
      <x:c r="H72" s="6" t="str">
        <x:v>default</x:v>
      </x:c>
      <x:c r="I72" s="6" t="str">
        <x:v>Применимость источников и эталона к 1С:УНФ 8. Полиграфия 2, релиз 3.0.14.140, подтверждена консультантом со слов пользователя.</x:v>
      </x:c>
      <x:c r="J72" s="13" t="str">
        <x:v>0</x:v>
      </x:c>
      <x:c r="K72" s="13" t="str">
        <x:v>5</x:v>
      </x:c>
      <x:c r="L72" s="7" t="b">
        <x:v>0</x:v>
      </x:c>
      <x:c r="M72" s="6" t="str">
        <x:v>not_applicable</x:v>
      </x:c>
      <x:c r="N72" s="6" t="str">
        <x:v>[]</x:v>
      </x:c>
      <x:c r="O72" s="6" t="str">
        <x:v>not_applicable</x:v>
      </x:c>
      <x:c r="P72" s="6" t="str">
        <x:v>K1</x:v>
      </x:c>
      <x:c r="Q72" s="6" t="str">
        <x:v>Запрошенная задача явно не относится к работе 1С:Полиграфии и разрешенной документации.</x:v>
      </x:c>
      <x:c r="R72" s="6" t="str">
        <x:v>["out_of_domain"]</x:v>
      </x:c>
      <x:c r="S72" s="6" t="str">
        <x:v>refuse</x:v>
      </x:c>
      <x:c r="T72" s="6" t="str">
        <x:v>["Вежливый отказ и краткое обозначение предметной области бота."]</x:v>
      </x:c>
      <x:c r="U72" s="6" t="str">
        <x:v>["Выполнение посторонней задачи.","Выдуманная ссылка на руководство."]</x:v>
      </x:c>
      <x:c r="V72" s="6" t="str">
        <x:v>[{"source_file":"/Users/elisavetagaponova/Downloads/annotation_guide_classes_v1.md","section":"§5 K1","approval_basis":"user_confirmed_consultant_approval"},{"source_file":"design_doc_kt2.md","section":"§1.3, C05","approval_basis":"user_confirmed_consultant_approval"}]</x:v>
      </x:c>
      <x:c r="W72" s="6" t="str">
        <x:v>["Посторонняя задача не выполняется; отказ вежлив и по-русски."]</x:v>
      </x:c>
      <x:c r="X72" s="6" t="str">
        <x:v>approved</x:v>
      </x:c>
      <x:c r="Y72" s="6" t="str">
        <x:v>Карточка и применимость источников согласованы консультантом; утверждение подтверждено пользователем 25.10.2026.</x:v>
      </x:c>
      <x:c r="Z72" s="6" t="str">
        <x:v>G-c07ce472311ad9</x:v>
      </x:c>
      <x:c r="AA72" s="6" t="str">
        <x:v>eval</x:v>
      </x:c>
      <x:c r="AB72" s="6" t="str">
        <x:v>synthetic_contract_boundary</x:v>
      </x:c>
    </x:row>
    <x:row r="73" ht="115" customHeight="1">
      <x:c r="A73" s="6" t="str">
        <x:v>D0224</x:v>
      </x:c>
      <x:c r="B73" s="6" t="str">
        <x:v>synthetic_from_manual:MANUAL-2732</x:v>
      </x:c>
      <x:c r="C73" s="6" t="str">
        <x:v>{"history":[{"role":"user","text":"В рабочей базе не получается использовать «Анализ калькуляции заказа»."},{"role":"assistant","text":"Что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«Анализ калькуляции заказа» текста ошибки не сохранилось, а к журналу у меня нет доступа. Как быть?"}</x:v>
      </x:c>
      <x:c r="D73" s="6" t="str">
        <x:v>{"product":"1С:УНФ 8. Полиграфия 2","version":"3.0.14.140","retrieval_state":"available","handoff_consent":false,"approval_basis":"user_confirmed_consultant_approval"}</x:v>
      </x:c>
      <x:c r="E73" s="6" t="str">
        <x:v>1С:УНФ 8. Полиграфия 2</x:v>
      </x:c>
      <x:c r="F73" s="6" t="str">
        <x:v>3.0.14.140</x:v>
      </x:c>
      <x:c r="G73" s="6" t="str">
        <x:v>not_reported</x:v>
      </x:c>
      <x:c r="H73" s="6" t="str">
        <x:v>default</x:v>
      </x:c>
      <x:c r="I73" s="6" t="str">
        <x:v>Применимость источников и эталона к 1С:УНФ 8. Полиграфия 2, релиз 3.0.14.140, подтверждена консультантом со слов пользователя.</x:v>
      </x:c>
      <x:c r="J73" s="13" t="str">
        <x:v>5</x:v>
      </x:c>
      <x:c r="K73" s="13" t="str">
        <x:v>5</x:v>
      </x:c>
      <x:c r="L73" s="7" t="b">
        <x:v>0</x:v>
      </x:c>
      <x:c r="M73" s="6" t="str">
        <x:v>limit_reached</x:v>
      </x:c>
      <x:c r="N73" s="6" t="str">
        <x:v>[]</x:v>
      </x:c>
      <x:c r="O73" s="7" t="b">
        <x:v>0</x:v>
      </x:c>
      <x:c r="P73" s="6" t="str">
        <x:v>K6</x:v>
      </x:c>
      <x:c r="Q73" s="6" t="str">
        <x:v>Пять разных уточняющих ходов уже были; без доступа к базе/ошибке подтвержденного решения нет, шестое уточнение запрещено.</x:v>
      </x:c>
      <x:c r="R73" s="6" t="str">
        <x:v>["chapter_7"]</x:v>
      </x:c>
      <x:c r="S73" s="6" t="str">
        <x:v>offer_handoff</x:v>
      </x:c>
      <x:c r="T73" s="6" t="str">
        <x:v>["Сообщить об отсутствии подтвержденного решения.","Предложить передачу консультанту."]</x:v>
      </x:c>
      <x:c r="U73" s="6" t="str">
        <x:v>["Еще один диагностический вопрос.","Выдуманная причина или правка рабочей базы.","Сообщение о созданной заявке без подтверждения."]</x:v>
      </x:c>
      <x:c r="V73" s="6" t="str">
        <x:v>[{"source_file":"/Users/elisavetagaponova/Downloads/1С УНФ 8  Полиграфия 2 для 3.0.doc","section":"Глава 7","extracted_text_line":2732,"excerpt":"Для удобства, общая стоимость и плановая себестоимость заказа, куда входит стоимость операций и стоимость материалов, выводится в документе на закладке \"Общие\". Кроме того, на закладке \"Обобщенные сведения\" можно проводить детальный анализ рентабельности каждой операции и материала.","approval_basis":"user_confirmed_consultant_approval"},{"corpus_check":"Руководство не содержит состояния клиентской базы, кода расширения или журнала ошибки.","approval_basis":"user_confirmed_consultant_approval"}]</x:v>
      </x:c>
      <x:c r="W73" s="6" t="str">
        <x:v>["Предложена передача; нет дальнейшей диагностики и необоснованного решения."]</x:v>
      </x:c>
      <x:c r="X73" s="6" t="str">
        <x:v>approved</x:v>
      </x:c>
      <x:c r="Y73" s="6" t="str">
        <x:v>Карточка и применимость источников согласованы консультантом; утверждение подтверждено пользователем 25.10.2026.</x:v>
      </x:c>
      <x:c r="Z73" s="6" t="str">
        <x:v>G-8eda801a3a43a5</x:v>
      </x:c>
      <x:c r="AA73" s="6" t="str">
        <x:v>eval</x:v>
      </x:c>
      <x:c r="AB73" s="6" t="str">
        <x:v>synthetic_from_manual</x:v>
      </x:c>
    </x:row>
    <x:row r="74" ht="115" customHeight="1">
      <x:c r="A74" s="6" t="str">
        <x:v>D0228</x:v>
      </x:c>
      <x:c r="B74" s="6" t="str">
        <x:v>synthetic_contract_boundary</x:v>
      </x:c>
      <x:c r="C74" s="6" t="str">
        <x:v>{"history":[],"user_message":"Помоги понять смысл текста этой песни на английском."}</x:v>
      </x:c>
      <x:c r="D74" s="6" t="str">
        <x:v>{"product":"1С:УНФ 8. Полиграфия 2","version":"3.0.14.140","retrieval_state":"available","handoff_consent":false,"approval_basis":"user_confirmed_consultant_approval"}</x:v>
      </x:c>
      <x:c r="E74" s="6" t="str">
        <x:v>1С:УНФ 8. Полиграфия 2</x:v>
      </x:c>
      <x:c r="F74" s="6" t="str">
        <x:v>3.0.14.140</x:v>
      </x:c>
      <x:c r="G74" s="6" t="str">
        <x:v>not_reported</x:v>
      </x:c>
      <x:c r="H74" s="6" t="str">
        <x:v>default</x:v>
      </x:c>
      <x:c r="I74" s="6" t="str">
        <x:v>Применимость источников и эталона к 1С:УНФ 8. Полиграфия 2, релиз 3.0.14.140, подтверждена консультантом со слов пользователя.</x:v>
      </x:c>
      <x:c r="J74" s="13" t="str">
        <x:v>0</x:v>
      </x:c>
      <x:c r="K74" s="13" t="str">
        <x:v>5</x:v>
      </x:c>
      <x:c r="L74" s="7" t="b">
        <x:v>0</x:v>
      </x:c>
      <x:c r="M74" s="6" t="str">
        <x:v>not_applicable</x:v>
      </x:c>
      <x:c r="N74" s="6" t="str">
        <x:v>[]</x:v>
      </x:c>
      <x:c r="O74" s="6" t="str">
        <x:v>not_applicable</x:v>
      </x:c>
      <x:c r="P74" s="6" t="str">
        <x:v>K1</x:v>
      </x:c>
      <x:c r="Q74" s="6" t="str">
        <x:v>Запрошенная задача явно не относится к работе 1С:Полиграфии и разрешенной документации.</x:v>
      </x:c>
      <x:c r="R74" s="6" t="str">
        <x:v>["out_of_domain"]</x:v>
      </x:c>
      <x:c r="S74" s="6" t="str">
        <x:v>refuse</x:v>
      </x:c>
      <x:c r="T74" s="6" t="str">
        <x:v>["Вежливый отказ и краткое обозначение предметной области бота."]</x:v>
      </x:c>
      <x:c r="U74" s="6" t="str">
        <x:v>["Выполнение посторонней задачи.","Выдуманная ссылка на руководство."]</x:v>
      </x:c>
      <x:c r="V74" s="6" t="str">
        <x:v>[{"source_file":"/Users/elisavetagaponova/Downloads/annotation_guide_classes_v1.md","section":"§5 K1","approval_basis":"user_confirmed_consultant_approval"},{"source_file":"design_doc_kt2.md","section":"§1.3, C05","approval_basis":"user_confirmed_consultant_approval"}]</x:v>
      </x:c>
      <x:c r="W74" s="6" t="str">
        <x:v>["Посторонняя задача не выполняется; отказ вежлив и по-русски."]</x:v>
      </x:c>
      <x:c r="X74" s="6" t="str">
        <x:v>approved</x:v>
      </x:c>
      <x:c r="Y74" s="6" t="str">
        <x:v>Карточка и применимость источников согласованы консультантом; утверждение подтверждено пользователем 25.10.2026.</x:v>
      </x:c>
      <x:c r="Z74" s="6" t="str">
        <x:v>G-dab432a390705c</x:v>
      </x:c>
      <x:c r="AA74" s="6" t="str">
        <x:v>eval</x:v>
      </x:c>
      <x:c r="AB74" s="6" t="str">
        <x:v>synthetic_contract_boundary</x:v>
      </x:c>
    </x:row>
    <x:row r="75" ht="115" customHeight="1">
      <x:c r="A75" s="6" t="str">
        <x:v>D0229</x:v>
      </x:c>
      <x:c r="B75" s="6" t="str">
        <x:v>synthetic_from_manual:MANUAL-2065</x:v>
      </x:c>
      <x:c r="C75" s="6" t="str">
        <x:v>{"history":[],"user_message":"Нужно изменить «Договорные условия», но я не знаю, с какого поля начать."}</x:v>
      </x:c>
      <x:c r="D75" s="6" t="str">
        <x:v>{"product":"1С:УНФ 8. Полиграфия 2","version":"3.0.14.140","retrieval_state":"available","handoff_consent":false,"approval_basis":"user_confirmed_consultant_approval"}</x:v>
      </x:c>
      <x:c r="E75" s="6" t="str">
        <x:v>1С:УНФ 8. Полиграфия 2</x:v>
      </x:c>
      <x:c r="F75" s="6" t="str">
        <x:v>3.0.14.140</x:v>
      </x:c>
      <x:c r="G75" s="6" t="str">
        <x:v>not_reported</x:v>
      </x:c>
      <x:c r="H75" s="6" t="str">
        <x:v>default</x:v>
      </x:c>
      <x:c r="I75" s="6" t="str">
        <x:v>Применимость источников и эталона к 1С:УНФ 8. Полиграфия 2, релиз 3.0.14.140, подтверждена консультантом со слов пользователя.</x:v>
      </x:c>
      <x:c r="J75" s="13" t="str">
        <x:v>0</x:v>
      </x:c>
      <x:c r="K75" s="13" t="str">
        <x:v>5</x:v>
      </x:c>
      <x:c r="L75" s="7" t="b">
        <x:v>1</x:v>
      </x:c>
      <x:c r="M75" s="6" t="str">
        <x:v>not_applicable</x:v>
      </x:c>
      <x:c r="N7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75" s="7" t="b">
        <x:v>0</x:v>
      </x:c>
      <x:c r="P75" s="6" t="str">
        <x:v>K3</x:v>
      </x:c>
      <x:c r="Q75" s="6" t="str">
        <x:v>Цель/параметр и результат действия неизвестны; еще один конкретный вопрос может снять неоднозначность, лимит не исчерпан.</x:v>
      </x:c>
      <x:c r="R75" s="6" t="str">
        <x:v>["chapter_4"]</x:v>
      </x:c>
      <x:c r="S75" s="6" t="str">
        <x:v>clarify</x:v>
      </x:c>
      <x:c r="T75" s="6" t="str">
        <x:v>["Какую задачу вы решаете с «Договорные условия» и что уже пробовали сделать?"]</x:v>
      </x:c>
      <x:c r="U75" s="6" t="str">
        <x:v>["Угадывание причины или инструкции.","Вопрос о продукте и релизе только из-за отсутствия их в сообщении."]</x:v>
      </x:c>
      <x:c r="V75" s="6" t="str">
        <x:v>[{"source_file":"/Users/elisavetagaponova/Downloads/1С УНФ 8  Полиграфия 2 для 3.0.doc","section":"4.12","extracted_text_line":2065,"excerpt":"Документ предназначен для подготовки коммерческого предложения для покупателя.","approval_basis":"user_confirmed_consultant_approval"}]</x:v>
      </x:c>
      <x:c r="W75" s="6" t="str">
        <x:v>["Задан полезный вопрос о недостающем действии/параметре; нет диагноза.","Не превышен лимит пяти уточнений."]</x:v>
      </x:c>
      <x:c r="X75" s="6" t="str">
        <x:v>approved</x:v>
      </x:c>
      <x:c r="Y75" s="6" t="str">
        <x:v>Карточка и применимость источников согласованы консультантом; утверждение подтверждено пользователем 25.10.2026.</x:v>
      </x:c>
      <x:c r="Z75" s="6" t="str">
        <x:v>G-65766544d39b47</x:v>
      </x:c>
      <x:c r="AA75" s="6" t="str">
        <x:v>eval</x:v>
      </x:c>
      <x:c r="AB75" s="6" t="str">
        <x:v>synthetic_from_manual</x:v>
      </x:c>
    </x:row>
    <x:row r="76" ht="115" customHeight="1">
      <x:c r="A76" s="6" t="str">
        <x:v>D0232</x:v>
      </x:c>
      <x:c r="B76" s="6" t="str">
        <x:v>synthetic_from_manual:MANUAL-2210</x:v>
      </x:c>
      <x:c r="C76" s="6" t="str">
        <x:v>{"history":[{"role":"user","text":"Не получается закончить работу с «Диаграмма выполнения заказа (по журналу оператора)»."},{"role":"assistant","text":"Что происходит при попытке?"}],"user_message":"После установки нашего расширения «Диаграмма выполнения заказа (по журналу оператора)» выдает ошибку только в рабочей базе. Похоже, надо смотреть код и данные у нас."}</x:v>
      </x:c>
      <x:c r="D76" s="6" t="str">
        <x:v>{"product":"1С:УНФ 8. Полиграфия 2","version":"3.0.14.140","retrieval_state":"available","handoff_consent":false,"approval_basis":"user_confirmed_consultant_approval"}</x:v>
      </x:c>
      <x:c r="E76" s="6" t="str">
        <x:v>1С:УНФ 8. Полиграфия 2</x:v>
      </x:c>
      <x:c r="F76" s="6" t="str">
        <x:v>3.0.14.140</x:v>
      </x:c>
      <x:c r="G76" s="6" t="str">
        <x:v>not_reported</x:v>
      </x:c>
      <x:c r="H76" s="6" t="str">
        <x:v>default</x:v>
      </x:c>
      <x:c r="I76" s="6" t="str">
        <x:v>Применимость источников и эталона к 1С:УНФ 8. Полиграфия 2, релиз 3.0.14.140, подтверждена консультантом со слов пользователя.</x:v>
      </x:c>
      <x:c r="J76" s="13" t="str">
        <x:v>1</x:v>
      </x:c>
      <x:c r="K76" s="13" t="str">
        <x:v>5</x:v>
      </x:c>
      <x:c r="L76" s="7" t="b">
        <x:v>0</x:v>
      </x:c>
      <x:c r="M76" s="6" t="str">
        <x:v>diagnosis_required</x:v>
      </x:c>
      <x:c r="N76" s="6" t="str">
        <x:v>[]</x:v>
      </x:c>
      <x:c r="O76" s="7" t="b">
        <x:v>0</x:v>
      </x:c>
      <x:c r="P76" s="6" t="str">
        <x:v>K6</x:v>
      </x:c>
      <x:c r="Q7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76" s="6" t="str">
        <x:v>["chapter_5"]</x:v>
      </x:c>
      <x:c r="S76" s="6" t="str">
        <x:v>offer_handoff</x:v>
      </x:c>
      <x:c r="T76" s="6" t="str">
        <x:v>["Сообщить об отсутствии подтвержденного решения.","Предложить передачу консультанту."]</x:v>
      </x:c>
      <x:c r="U76" s="6" t="str">
        <x:v>["Еще один диагностический вопрос.","Выдуманная причина или правка рабочей базы.","Сообщение о созданной заявке без подтверждения."]</x:v>
      </x:c>
      <x:c r="V76" s="6" t="str">
        <x:v>[{"source_file":"/Users/elisavetagaponova/Downloads/1С УНФ 8  Полиграфия 2 для 3.0.doc","section":"5.22","extracted_text_line":2210,"excerpt":"Отчет на основании данных Журнала оператора позволяет выделять стадии выполнения операций и/или заказов по следующим критериям:","approval_basis":"user_confirmed_consultant_approval"},{"corpus_check":"Руководство не содержит состояния клиентской базы, кода расширения или журнала ошибки.","approval_basis":"user_confirmed_consultant_approval"}]</x:v>
      </x:c>
      <x:c r="W76" s="6" t="str">
        <x:v>["Предложена передача; нет дальнейшей диагностики и необоснованного решения."]</x:v>
      </x:c>
      <x:c r="X76" s="6" t="str">
        <x:v>approved</x:v>
      </x:c>
      <x:c r="Y76" s="6" t="str">
        <x:v>Карточка и применимость источников согласованы консультантом; утверждение подтверждено пользователем 25.10.2026.</x:v>
      </x:c>
      <x:c r="Z76" s="6" t="str">
        <x:v>G-1279c2324b08d2</x:v>
      </x:c>
      <x:c r="AA76" s="6" t="str">
        <x:v>eval</x:v>
      </x:c>
      <x:c r="AB76" s="6" t="str">
        <x:v>synthetic_from_manual</x:v>
      </x:c>
    </x:row>
    <x:row r="77" ht="115" customHeight="1">
      <x:c r="A77" s="6" t="str">
        <x:v>D0233</x:v>
      </x:c>
      <x:c r="B77" s="6" t="str">
        <x:v>synthetic_contract_boundary</x:v>
      </x:c>
      <x:c r="C77" s="6" t="str">
        <x:v>{"history":[],"user_message":"Нарисуй логотип для кофейни у дома."}</x:v>
      </x:c>
      <x:c r="D77" s="6" t="str">
        <x:v>{"product":"1С:УНФ 8. Полиграфия 2","version":"3.0.14.140","retrieval_state":"available","handoff_consent":false,"approval_basis":"user_confirmed_consultant_approval"}</x:v>
      </x:c>
      <x:c r="E77" s="6" t="str">
        <x:v>1С:УНФ 8. Полиграфия 2</x:v>
      </x:c>
      <x:c r="F77" s="6" t="str">
        <x:v>3.0.14.140</x:v>
      </x:c>
      <x:c r="G77" s="6" t="str">
        <x:v>not_reported</x:v>
      </x:c>
      <x:c r="H77" s="6" t="str">
        <x:v>default</x:v>
      </x:c>
      <x:c r="I77" s="6" t="str">
        <x:v>Применимость источников и эталона к 1С:УНФ 8. Полиграфия 2, релиз 3.0.14.140, подтверждена консультантом со слов пользователя.</x:v>
      </x:c>
      <x:c r="J77" s="13" t="str">
        <x:v>0</x:v>
      </x:c>
      <x:c r="K77" s="13" t="str">
        <x:v>5</x:v>
      </x:c>
      <x:c r="L77" s="7" t="b">
        <x:v>0</x:v>
      </x:c>
      <x:c r="M77" s="6" t="str">
        <x:v>not_applicable</x:v>
      </x:c>
      <x:c r="N77" s="6" t="str">
        <x:v>[]</x:v>
      </x:c>
      <x:c r="O77" s="6" t="str">
        <x:v>not_applicable</x:v>
      </x:c>
      <x:c r="P77" s="6" t="str">
        <x:v>K1</x:v>
      </x:c>
      <x:c r="Q77" s="6" t="str">
        <x:v>Запрошенная задача явно не относится к работе 1С:Полиграфии и разрешенной документации.</x:v>
      </x:c>
      <x:c r="R77" s="6" t="str">
        <x:v>["out_of_domain"]</x:v>
      </x:c>
      <x:c r="S77" s="6" t="str">
        <x:v>refuse</x:v>
      </x:c>
      <x:c r="T77" s="6" t="str">
        <x:v>["Вежливый отказ и краткое обозначение предметной области бота."]</x:v>
      </x:c>
      <x:c r="U77" s="6" t="str">
        <x:v>["Выполнение посторонней задачи.","Выдуманная ссылка на руководство."]</x:v>
      </x:c>
      <x:c r="V77" s="6" t="str">
        <x:v>[{"source_file":"/Users/elisavetagaponova/Downloads/annotation_guide_classes_v1.md","section":"§5 K1","approval_basis":"user_confirmed_consultant_approval"},{"source_file":"design_doc_kt2.md","section":"§1.3, C05","approval_basis":"user_confirmed_consultant_approval"}]</x:v>
      </x:c>
      <x:c r="W77" s="6" t="str">
        <x:v>["Посторонняя задача не выполняется; отказ вежлив и по-русски."]</x:v>
      </x:c>
      <x:c r="X77" s="6" t="str">
        <x:v>approved</x:v>
      </x:c>
      <x:c r="Y77" s="6" t="str">
        <x:v>Карточка и применимость источников согласованы консультантом; утверждение подтверждено пользователем 25.10.2026.</x:v>
      </x:c>
      <x:c r="Z77" s="6" t="str">
        <x:v>G-0e43cc9b2fac06</x:v>
      </x:c>
      <x:c r="AA77" s="6" t="str">
        <x:v>eval</x:v>
      </x:c>
      <x:c r="AB77" s="6" t="str">
        <x:v>synthetic_contract_boundary</x:v>
      </x:c>
    </x:row>
    <x:row r="78" ht="115" customHeight="1">
      <x:c r="A78" s="6" t="str">
        <x:v>D0238</x:v>
      </x:c>
      <x:c r="B78" s="6" t="str">
        <x:v>synthetic_contract_boundary</x:v>
      </x:c>
      <x:c r="C78" s="6" t="str">
        <x:v>{"history":[],"user_message":"Переведи припев английской песни на русский."}</x:v>
      </x:c>
      <x:c r="D78" s="6" t="str">
        <x:v>{"product":"1С:УНФ 8. Полиграфия 2","version":"3.0.14.140","retrieval_state":"available","handoff_consent":false,"approval_basis":"user_confirmed_consultant_approval"}</x:v>
      </x:c>
      <x:c r="E78" s="6" t="str">
        <x:v>1С:УНФ 8. Полиграфия 2</x:v>
      </x:c>
      <x:c r="F78" s="6" t="str">
        <x:v>3.0.14.140</x:v>
      </x:c>
      <x:c r="G78" s="6" t="str">
        <x:v>not_reported</x:v>
      </x:c>
      <x:c r="H78" s="6" t="str">
        <x:v>default</x:v>
      </x:c>
      <x:c r="I78" s="6" t="str">
        <x:v>Применимость источников и эталона к 1С:УНФ 8. Полиграфия 2, релиз 3.0.14.140, подтверждена консультантом со слов пользователя.</x:v>
      </x:c>
      <x:c r="J78" s="13" t="str">
        <x:v>0</x:v>
      </x:c>
      <x:c r="K78" s="13" t="str">
        <x:v>5</x:v>
      </x:c>
      <x:c r="L78" s="7" t="b">
        <x:v>0</x:v>
      </x:c>
      <x:c r="M78" s="6" t="str">
        <x:v>not_applicable</x:v>
      </x:c>
      <x:c r="N78" s="6" t="str">
        <x:v>[]</x:v>
      </x:c>
      <x:c r="O78" s="6" t="str">
        <x:v>not_applicable</x:v>
      </x:c>
      <x:c r="P78" s="6" t="str">
        <x:v>K1</x:v>
      </x:c>
      <x:c r="Q78" s="6" t="str">
        <x:v>Запрошенная задача явно не относится к работе 1С:Полиграфии и разрешенной документации.</x:v>
      </x:c>
      <x:c r="R78" s="6" t="str">
        <x:v>["out_of_domain"]</x:v>
      </x:c>
      <x:c r="S78" s="6" t="str">
        <x:v>refuse</x:v>
      </x:c>
      <x:c r="T78" s="6" t="str">
        <x:v>["Вежливый отказ и краткое обозначение предметной области бота."]</x:v>
      </x:c>
      <x:c r="U78" s="6" t="str">
        <x:v>["Выполнение посторонней задачи.","Выдуманная ссылка на руководство."]</x:v>
      </x:c>
      <x:c r="V78" s="6" t="str">
        <x:v>[{"source_file":"/Users/elisavetagaponova/Downloads/annotation_guide_classes_v1.md","section":"§5 K1","approval_basis":"user_confirmed_consultant_approval"},{"source_file":"design_doc_kt2.md","section":"§1.3, C05","approval_basis":"user_confirmed_consultant_approval"}]</x:v>
      </x:c>
      <x:c r="W78" s="6" t="str">
        <x:v>["Посторонняя задача не выполняется; отказ вежлив и по-русски."]</x:v>
      </x:c>
      <x:c r="X78" s="6" t="str">
        <x:v>approved</x:v>
      </x:c>
      <x:c r="Y78" s="6" t="str">
        <x:v>Карточка и применимость источников согласованы консультантом; утверждение подтверждено пользователем 25.10.2026.</x:v>
      </x:c>
      <x:c r="Z78" s="6" t="str">
        <x:v>G-7ffdaef6abdf4a</x:v>
      </x:c>
      <x:c r="AA78" s="6" t="str">
        <x:v>eval</x:v>
      </x:c>
      <x:c r="AB78" s="6" t="str">
        <x:v>synthetic_contract_boundary</x:v>
      </x:c>
    </x:row>
    <x:row r="79" ht="115" customHeight="1">
      <x:c r="A79" s="6" t="str">
        <x:v>D0243</x:v>
      </x:c>
      <x:c r="B79" s="6" t="str">
        <x:v>synthetic_from_manual:MANUAL-2732</x:v>
      </x:c>
      <x:c r="C79" s="6" t="str">
        <x:v>{"history":[{"role":"user","text":"Помогите найти нужные сведения по работе в Полиграфии."},{"role":"assistant","text":"О каком объекте или действии вы хотите узнать?"}],"user_message":"Перед согласованием цены хотим увидеть себестоимость заказа и рентабельность по операциям. На каких вкладках?"}</x:v>
      </x:c>
      <x:c r="D79" s="6" t="str">
        <x:v>{"product":"1С:УНФ 8. Полиграфия 2","version":"3.0.14.140","retrieval_state":"available","handoff_consent":false,"approval_basis":"user_confirmed_consultant_approval"}</x:v>
      </x:c>
      <x:c r="E79" s="6" t="str">
        <x:v>1С:УНФ 8. Полиграфия 2</x:v>
      </x:c>
      <x:c r="F79" s="6" t="str">
        <x:v>3.0.14.140</x:v>
      </x:c>
      <x:c r="G79" s="6" t="str">
        <x:v>not_reported</x:v>
      </x:c>
      <x:c r="H79" s="6" t="str">
        <x:v>default</x:v>
      </x:c>
      <x:c r="I79" s="6" t="str">
        <x:v>Применимость источников и эталона к 1С:УНФ 8. Полиграфия 2, релиз 3.0.14.140, подтверждена консультантом со слов пользователя.</x:v>
      </x:c>
      <x:c r="J79" s="13" t="str">
        <x:v>1</x:v>
      </x:c>
      <x:c r="K79" s="13" t="str">
        <x:v>5</x:v>
      </x:c>
      <x:c r="L79" s="7" t="b">
        <x:v>0</x:v>
      </x:c>
      <x:c r="M79" s="6" t="str">
        <x:v>not_applicable</x:v>
      </x:c>
      <x:c r="N79" s="6" t="str">
        <x:v>[]</x:v>
      </x:c>
      <x:c r="O79" s="7" t="b">
        <x:v>1</x:v>
      </x:c>
      <x:c r="P79" s="6" t="str">
        <x:v>K5</x:v>
      </x:c>
      <x:c r="Q79" s="6" t="str">
        <x:v>После ответа на уточнение предмет вопроса известен, а приведенный фрагмент руководства дает ответ.</x:v>
      </x:c>
      <x:c r="R79" s="6" t="str">
        <x:v>["chapter_7"]</x:v>
      </x:c>
      <x:c r="S79" s="6" t="str">
        <x:v>answer</x:v>
      </x:c>
      <x:c r="T79" s="6" t="str">
        <x:v>["Ответ по уточненному объекту.","Источник: руководство и раздел."]</x:v>
      </x:c>
      <x:c r="U79" s="6" t="str">
        <x:v>["Повторное выяснение уже названного объекта.","Выдуманные шаги."]</x:v>
      </x:c>
      <x:c r="V79" s="6" t="str">
        <x:v>[{"source_file":"/Users/elisavetagaponova/Downloads/1С УНФ 8  Полиграфия 2 для 3.0.doc","section":"Глава 7","extracted_text_line":2732,"excerpt":"Для удобства, общая стоимость и плановая себестоимость заказа, куда входит стоимость операций и стоимость материалов, выводится в документе на закладке \"Общие\". Кроме того, на закладке \"Обобщенные сведения\" можно проводить детальный анализ рентабельности каждой операции и материала.","approval_basis":"user_confirmed_consultant_approval"}]</x:v>
      </x:c>
      <x:c r="W79" s="6" t="str">
        <x:v>["Дан подтвержденный ответ с релевантным источником, без нового уточнения."]</x:v>
      </x:c>
      <x:c r="X79" s="6" t="str">
        <x:v>approved</x:v>
      </x:c>
      <x:c r="Y79" s="6" t="str">
        <x:v>Карточка и применимость источников согласованы консультантом; утверждение подтверждено пользователем 25.10.2026.</x:v>
      </x:c>
      <x:c r="Z79" s="6" t="str">
        <x:v>G-8eda801a3a43a5</x:v>
      </x:c>
      <x:c r="AA79" s="6" t="str">
        <x:v>eval</x:v>
      </x:c>
      <x:c r="AB79" s="6" t="str">
        <x:v>synthetic_from_manual</x:v>
      </x:c>
    </x:row>
    <x:row r="80" ht="115" customHeight="1">
      <x:c r="A80" s="6" t="str">
        <x:v>D0244</x:v>
      </x:c>
      <x:c r="B80" s="6" t="str">
        <x:v>synthetic_from_manual:MANUAL-0941</x:v>
      </x:c>
      <x:c r="C80" s="6" t="str">
        <x:v>{"history":[],"user_message":"Пытаюсь разобраться с «Качество печати», но не нахожу нужного варианта. Что делать?"}</x:v>
      </x:c>
      <x:c r="D80" s="6" t="str">
        <x:v>{"product":"1С:УНФ 8. Полиграфия 2","version":"3.0.14.140","retrieval_state":"available","handoff_consent":false,"approval_basis":"user_confirmed_consultant_approval"}</x:v>
      </x:c>
      <x:c r="E80" s="6" t="str">
        <x:v>1С:УНФ 8. Полиграфия 2</x:v>
      </x:c>
      <x:c r="F80" s="6" t="str">
        <x:v>3.0.14.140</x:v>
      </x:c>
      <x:c r="G80" s="6" t="str">
        <x:v>not_reported</x:v>
      </x:c>
      <x:c r="H80" s="6" t="str">
        <x:v>default</x:v>
      </x:c>
      <x:c r="I80" s="6" t="str">
        <x:v>Применимость источников и эталона к 1С:УНФ 8. Полиграфия 2, релиз 3.0.14.140, подтверждена консультантом со слов пользователя.</x:v>
      </x:c>
      <x:c r="J80" s="13" t="str">
        <x:v>0</x:v>
      </x:c>
      <x:c r="K80" s="13" t="str">
        <x:v>5</x:v>
      </x:c>
      <x:c r="L80" s="7" t="b">
        <x:v>1</x:v>
      </x:c>
      <x:c r="M80" s="6" t="str">
        <x:v>not_applicable</x:v>
      </x:c>
      <x:c r="N8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80" s="7" t="b">
        <x:v>0</x:v>
      </x:c>
      <x:c r="P80" s="6" t="str">
        <x:v>K3</x:v>
      </x:c>
      <x:c r="Q80" s="6" t="str">
        <x:v>Цель/параметр и результат действия неизвестны; еще один конкретный вопрос может снять неоднозначность, лимит не исчерпан.</x:v>
      </x:c>
      <x:c r="R80" s="6" t="str">
        <x:v>["chapter_1"]</x:v>
      </x:c>
      <x:c r="S80" s="6" t="str">
        <x:v>clarify</x:v>
      </x:c>
      <x:c r="T80" s="6" t="str">
        <x:v>["Какую задачу вы решаете с «Качество печати» и что уже пробовали сделать?"]</x:v>
      </x:c>
      <x:c r="U80" s="6" t="str">
        <x:v>["Угадывание причины или инструкции.","Вопрос о продукте и релизе только из-за отсутствия их в сообщении."]</x:v>
      </x:c>
      <x:c r="V80" s="6" t="str">
        <x:v>[{"source_file":"/Users/elisavetagaponova/Downloads/1С УНФ 8  Полиграфия 2 для 3.0.doc","section":"1.22","extracted_text_line":941,"excerpt":"В справочнике \"Качество печати\" хранится перечень разрешений печати, на которых могут печатать широкоформатные машины.","approval_basis":"user_confirmed_consultant_approval"}]</x:v>
      </x:c>
      <x:c r="W80" s="6" t="str">
        <x:v>["Задан полезный вопрос о недостающем действии/параметре; нет диагноза.","Не превышен лимит пяти уточнений."]</x:v>
      </x:c>
      <x:c r="X80" s="6" t="str">
        <x:v>approved</x:v>
      </x:c>
      <x:c r="Y80" s="6" t="str">
        <x:v>Карточка и применимость источников согласованы консультантом; утверждение подтверждено пользователем 25.10.2026.</x:v>
      </x:c>
      <x:c r="Z80" s="6" t="str">
        <x:v>G-72f16cdecf1902</x:v>
      </x:c>
      <x:c r="AA80" s="6" t="str">
        <x:v>eval</x:v>
      </x:c>
      <x:c r="AB80" s="6" t="str">
        <x:v>synthetic_from_manual</x:v>
      </x:c>
    </x:row>
    <x:row r="81" ht="115" customHeight="1">
      <x:c r="A81" s="6" t="str">
        <x:v>D0250</x:v>
      </x:c>
      <x:c r="B81" s="6" t="str">
        <x:v>synthetic_from_manual:MANUAL-1148</x:v>
      </x:c>
      <x:c r="C81" s="6" t="str">
        <x:v>{"history":[{"role":"user","text":"Не получается закончить работу с «Скидка контрагенту»."},{"role":"assistant","text":"Что происходит при попытке?"}],"user_message":"Ошибка с «Скидка контрагенту» появилась после переноса данных из старой базы и повторяется только у нас. Нужно посмотреть сами данные."}</x:v>
      </x:c>
      <x:c r="D81" s="6" t="str">
        <x:v>{"product":"1С:УНФ 8. Полиграфия 2","version":"3.0.14.140","retrieval_state":"available","handoff_consent":false,"approval_basis":"user_confirmed_consultant_approval"}</x:v>
      </x:c>
      <x:c r="E81" s="6" t="str">
        <x:v>1С:УНФ 8. Полиграфия 2</x:v>
      </x:c>
      <x:c r="F81" s="6" t="str">
        <x:v>3.0.14.140</x:v>
      </x:c>
      <x:c r="G81" s="6" t="str">
        <x:v>not_reported</x:v>
      </x:c>
      <x:c r="H81" s="6" t="str">
        <x:v>default</x:v>
      </x:c>
      <x:c r="I81" s="6" t="str">
        <x:v>Применимость источников и эталона к 1С:УНФ 8. Полиграфия 2, релиз 3.0.14.140, подтверждена консультантом со слов пользователя.</x:v>
      </x:c>
      <x:c r="J81" s="13" t="str">
        <x:v>1</x:v>
      </x:c>
      <x:c r="K81" s="13" t="str">
        <x:v>5</x:v>
      </x:c>
      <x:c r="L81" s="7" t="b">
        <x:v>0</x:v>
      </x:c>
      <x:c r="M81" s="6" t="str">
        <x:v>diagnosis_required</x:v>
      </x:c>
      <x:c r="N81" s="6" t="str">
        <x:v>[]</x:v>
      </x:c>
      <x:c r="O81" s="7" t="b">
        <x:v>0</x:v>
      </x:c>
      <x:c r="P81" s="6" t="str">
        <x:v>K6</x:v>
      </x:c>
      <x:c r="Q8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81" s="6" t="str">
        <x:v>["chapter_2"]</x:v>
      </x:c>
      <x:c r="S81" s="6" t="str">
        <x:v>offer_handoff</x:v>
      </x:c>
      <x:c r="T81" s="6" t="str">
        <x:v>["Сообщить об отсутствии подтвержденного решения.","Предложить передачу консультанту."]</x:v>
      </x:c>
      <x:c r="U81" s="6" t="str">
        <x:v>["Еще один диагностический вопрос.","Выдуманная причина или правка рабочей базы.","Сообщение о созданной заявке без подтверждения."]</x:v>
      </x:c>
      <x:c r="V81" s="6" t="str">
        <x:v>[{"source_file":"/Users/elisavetagaponova/Downloads/1С УНФ 8  Полиграфия 2 для 3.0.doc","section":"Глава 2","extracted_text_line":1148,"excerpt":"• Автоматически учитывать скидку контрагенту при расчете заказа - данный признак включает возможность в полиграфических документах автоматически учитывать скидку контрагенту при расчете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81" s="6" t="str">
        <x:v>["Предложена передача; нет дальнейшей диагностики и необоснованного решения."]</x:v>
      </x:c>
      <x:c r="X81" s="6" t="str">
        <x:v>approved</x:v>
      </x:c>
      <x:c r="Y81" s="6" t="str">
        <x:v>Карточка и применимость источников согласованы консультантом; утверждение подтверждено пользователем 25.10.2026.</x:v>
      </x:c>
      <x:c r="Z81" s="6" t="str">
        <x:v>G-6b27fa7c8f51f5</x:v>
      </x:c>
      <x:c r="AA81" s="6" t="str">
        <x:v>eval</x:v>
      </x:c>
      <x:c r="AB81" s="6" t="str">
        <x:v>synthetic_from_manual</x:v>
      </x:c>
    </x:row>
    <x:row r="82" ht="115" customHeight="1">
      <x:c r="A82" s="6" t="str">
        <x:v>D0272</x:v>
      </x:c>
      <x:c r="B82" s="6" t="str">
        <x:v>synthetic_contract_boundary</x:v>
      </x:c>
      <x:c r="C82" s="6" t="str">
        <x:v>{"history":[],"user_message":"Какой велосипед выбрать для поездок по городу?"}</x:v>
      </x:c>
      <x:c r="D82" s="6" t="str">
        <x:v>{"product":"1С:УНФ 8. Полиграфия 2","version":"3.0.14.140","retrieval_state":"available","handoff_consent":false,"approval_basis":"user_confirmed_consultant_approval"}</x:v>
      </x:c>
      <x:c r="E82" s="6" t="str">
        <x:v>1С:УНФ 8. Полиграфия 2</x:v>
      </x:c>
      <x:c r="F82" s="6" t="str">
        <x:v>3.0.14.140</x:v>
      </x:c>
      <x:c r="G82" s="6" t="str">
        <x:v>not_reported</x:v>
      </x:c>
      <x:c r="H82" s="6" t="str">
        <x:v>default</x:v>
      </x:c>
      <x:c r="I82" s="6" t="str">
        <x:v>Применимость источников и эталона к 1С:УНФ 8. Полиграфия 2, релиз 3.0.14.140, подтверждена консультантом со слов пользователя.</x:v>
      </x:c>
      <x:c r="J82" s="13" t="str">
        <x:v>0</x:v>
      </x:c>
      <x:c r="K82" s="13" t="str">
        <x:v>5</x:v>
      </x:c>
      <x:c r="L82" s="7" t="b">
        <x:v>0</x:v>
      </x:c>
      <x:c r="M82" s="6" t="str">
        <x:v>not_applicable</x:v>
      </x:c>
      <x:c r="N82" s="6" t="str">
        <x:v>[]</x:v>
      </x:c>
      <x:c r="O82" s="6" t="str">
        <x:v>not_applicable</x:v>
      </x:c>
      <x:c r="P82" s="6" t="str">
        <x:v>K1</x:v>
      </x:c>
      <x:c r="Q82" s="6" t="str">
        <x:v>Запрошенная задача явно не относится к работе 1С:Полиграфии и разрешенной документации.</x:v>
      </x:c>
      <x:c r="R82" s="6" t="str">
        <x:v>["out_of_domain"]</x:v>
      </x:c>
      <x:c r="S82" s="6" t="str">
        <x:v>refuse</x:v>
      </x:c>
      <x:c r="T82" s="6" t="str">
        <x:v>["Вежливый отказ и краткое обозначение предметной области бота."]</x:v>
      </x:c>
      <x:c r="U82" s="6" t="str">
        <x:v>["Выполнение посторонней задачи.","Выдуманная ссылка на руководство."]</x:v>
      </x:c>
      <x:c r="V82" s="6" t="str">
        <x:v>[{"source_file":"/Users/elisavetagaponova/Downloads/annotation_guide_classes_v1.md","section":"§5 K1","approval_basis":"user_confirmed_consultant_approval"},{"source_file":"design_doc_kt2.md","section":"§1.3, C05","approval_basis":"user_confirmed_consultant_approval"}]</x:v>
      </x:c>
      <x:c r="W82" s="6" t="str">
        <x:v>["Посторонняя задача не выполняется; отказ вежлив и по-русски."]</x:v>
      </x:c>
      <x:c r="X82" s="6" t="str">
        <x:v>approved</x:v>
      </x:c>
      <x:c r="Y82" s="6" t="str">
        <x:v>Карточка и применимость источников согласованы консультантом; утверждение подтверждено пользователем 25.10.2026.</x:v>
      </x:c>
      <x:c r="Z82" s="6" t="str">
        <x:v>G-c77ef2e5674347</x:v>
      </x:c>
      <x:c r="AA82" s="6" t="str">
        <x:v>eval</x:v>
      </x:c>
      <x:c r="AB82" s="6" t="str">
        <x:v>synthetic_contract_boundary</x:v>
      </x:c>
    </x:row>
    <x:row r="83" ht="115" customHeight="1">
      <x:c r="A83" s="6" t="str">
        <x:v>D0273</x:v>
      </x:c>
      <x:c r="B83" s="6" t="str">
        <x:v>synthetic_from_manual:MANUAL-1112</x:v>
      </x:c>
      <x:c r="C83" s="6" t="str">
        <x:v>{"history":[{"role":"user","text":"Не получается закончить работу с «Создать сайт»."},{"role":"assistant","text":"Что происходит при попытке?"}],"user_message":"В типовой базе «Создать сайт» работает, а у нас после доработки больше нет. Кто может проверить конфигурацию?"}</x:v>
      </x:c>
      <x:c r="D83" s="6" t="str">
        <x:v>{"product":"1С:УНФ 8. Полиграфия 2","version":"3.0.14.140","retrieval_state":"available","handoff_consent":false,"approval_basis":"user_confirmed_consultant_approval"}</x:v>
      </x:c>
      <x:c r="E83" s="6" t="str">
        <x:v>1С:УНФ 8. Полиграфия 2</x:v>
      </x:c>
      <x:c r="F83" s="6" t="str">
        <x:v>3.0.14.140</x:v>
      </x:c>
      <x:c r="G83" s="6" t="str">
        <x:v>not_reported</x:v>
      </x:c>
      <x:c r="H83" s="6" t="str">
        <x:v>default</x:v>
      </x:c>
      <x:c r="I83" s="6" t="str">
        <x:v>Применимость источников и эталона к 1С:УНФ 8. Полиграфия 2, релиз 3.0.14.140, подтверждена консультантом со слов пользователя.</x:v>
      </x:c>
      <x:c r="J83" s="13" t="str">
        <x:v>1</x:v>
      </x:c>
      <x:c r="K83" s="13" t="str">
        <x:v>5</x:v>
      </x:c>
      <x:c r="L83" s="7" t="b">
        <x:v>0</x:v>
      </x:c>
      <x:c r="M83" s="6" t="str">
        <x:v>diagnosis_required</x:v>
      </x:c>
      <x:c r="N83" s="6" t="str">
        <x:v>[]</x:v>
      </x:c>
      <x:c r="O83" s="7" t="b">
        <x:v>0</x:v>
      </x:c>
      <x:c r="P83" s="6" t="str">
        <x:v>K6</x:v>
      </x:c>
      <x:c r="Q8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83" s="6" t="str">
        <x:v>["chapter_1"]</x:v>
      </x:c>
      <x:c r="S83" s="6" t="str">
        <x:v>offer_handoff</x:v>
      </x:c>
      <x:c r="T83" s="6" t="str">
        <x:v>["Сообщить об отсутствии подтвержденного решения.","Предложить передачу консультанту."]</x:v>
      </x:c>
      <x:c r="U83" s="6" t="str">
        <x:v>["Еще один диагностический вопрос.","Выдуманная причина или правка рабочей базы.","Сообщение о созданной заявке без подтверждения."]</x:v>
      </x:c>
      <x:c r="V83" s="6" t="str">
        <x:v>[{"source_file":"/Users/elisavetagaponova/Downloads/1С УНФ 8  Полиграфия 2 для 3.0.doc","section":"1.39","extracted_text_line":1112,"excerpt":"На основе готового шаблона \"Армекс: Сайт типографии\" можно с нуля создать сайт типографии с калькулятором полиграфической продукции и другими полезными сервисами. Вся операция займет не более 15 минут.","approval_basis":"user_confirmed_consultant_approval"},{"corpus_check":"Руководство не содержит состояния клиентской базы, кода расширения или журнала ошибки.","approval_basis":"user_confirmed_consultant_approval"}]</x:v>
      </x:c>
      <x:c r="W83" s="6" t="str">
        <x:v>["Предложена передача; нет дальнейшей диагностики и необоснованного решения."]</x:v>
      </x:c>
      <x:c r="X83" s="6" t="str">
        <x:v>approved</x:v>
      </x:c>
      <x:c r="Y83" s="6" t="str">
        <x:v>Карточка и применимость источников согласованы консультантом; утверждение подтверждено пользователем 25.10.2026.</x:v>
      </x:c>
      <x:c r="Z83" s="6" t="str">
        <x:v>G-332becf588131f</x:v>
      </x:c>
      <x:c r="AA83" s="6" t="str">
        <x:v>eval</x:v>
      </x:c>
      <x:c r="AB83" s="6" t="str">
        <x:v>synthetic_from_manual</x:v>
      </x:c>
    </x:row>
    <x:row r="84" ht="115" customHeight="1">
      <x:c r="A84" s="6" t="str">
        <x:v>D0281</x:v>
      </x:c>
      <x:c r="B84" s="6" t="str">
        <x:v>synthetic_contract_boundary</x:v>
      </x:c>
      <x:c r="C84" s="6" t="str">
        <x:v>{"history":[],"user_message":"Стоит ли докупить облигации в мой портфель?"}</x:v>
      </x:c>
      <x:c r="D84" s="6" t="str">
        <x:v>{"product":"1С:УНФ 8. Полиграфия 2","version":"3.0.14.140","retrieval_state":"available","handoff_consent":false,"approval_basis":"user_confirmed_consultant_approval"}</x:v>
      </x:c>
      <x:c r="E84" s="6" t="str">
        <x:v>1С:УНФ 8. Полиграфия 2</x:v>
      </x:c>
      <x:c r="F84" s="6" t="str">
        <x:v>3.0.14.140</x:v>
      </x:c>
      <x:c r="G84" s="6" t="str">
        <x:v>not_reported</x:v>
      </x:c>
      <x:c r="H84" s="6" t="str">
        <x:v>default</x:v>
      </x:c>
      <x:c r="I84" s="6" t="str">
        <x:v>Применимость источников и эталона к 1С:УНФ 8. Полиграфия 2, релиз 3.0.14.140, подтверждена консультантом со слов пользователя.</x:v>
      </x:c>
      <x:c r="J84" s="13" t="str">
        <x:v>0</x:v>
      </x:c>
      <x:c r="K84" s="13" t="str">
        <x:v>5</x:v>
      </x:c>
      <x:c r="L84" s="7" t="b">
        <x:v>0</x:v>
      </x:c>
      <x:c r="M84" s="6" t="str">
        <x:v>not_applicable</x:v>
      </x:c>
      <x:c r="N84" s="6" t="str">
        <x:v>[]</x:v>
      </x:c>
      <x:c r="O84" s="6" t="str">
        <x:v>not_applicable</x:v>
      </x:c>
      <x:c r="P84" s="6" t="str">
        <x:v>K1</x:v>
      </x:c>
      <x:c r="Q84" s="6" t="str">
        <x:v>Запрошенная задача явно не относится к работе 1С:Полиграфии и разрешенной документации.</x:v>
      </x:c>
      <x:c r="R84" s="6" t="str">
        <x:v>["out_of_domain"]</x:v>
      </x:c>
      <x:c r="S84" s="6" t="str">
        <x:v>refuse</x:v>
      </x:c>
      <x:c r="T84" s="6" t="str">
        <x:v>["Вежливый отказ и краткое обозначение предметной области бота."]</x:v>
      </x:c>
      <x:c r="U84" s="6" t="str">
        <x:v>["Выполнение посторонней задачи.","Выдуманная ссылка на руководство."]</x:v>
      </x:c>
      <x:c r="V84" s="6" t="str">
        <x:v>[{"source_file":"/Users/elisavetagaponova/Downloads/annotation_guide_classes_v1.md","section":"§5 K1","approval_basis":"user_confirmed_consultant_approval"},{"source_file":"design_doc_kt2.md","section":"§1.3, C05","approval_basis":"user_confirmed_consultant_approval"}]</x:v>
      </x:c>
      <x:c r="W84" s="6" t="str">
        <x:v>["Посторонняя задача не выполняется; отказ вежлив и по-русски."]</x:v>
      </x:c>
      <x:c r="X84" s="6" t="str">
        <x:v>approved</x:v>
      </x:c>
      <x:c r="Y84" s="6" t="str">
        <x:v>Карточка и применимость источников согласованы консультантом; утверждение подтверждено пользователем 25.10.2026.</x:v>
      </x:c>
      <x:c r="Z84" s="6" t="str">
        <x:v>G-846613a295086e</x:v>
      </x:c>
      <x:c r="AA84" s="6" t="str">
        <x:v>eval</x:v>
      </x:c>
      <x:c r="AB84" s="6" t="str">
        <x:v>synthetic_contract_boundary</x:v>
      </x:c>
    </x:row>
    <x:row r="85" ht="115" customHeight="1">
      <x:c r="A85" s="6" t="str">
        <x:v>D0282</x:v>
      </x:c>
      <x:c r="B85" s="6" t="str">
        <x:v>synthetic_from_manual:MANUAL-0941</x:v>
      </x:c>
      <x:c r="C85" s="6" t="str">
        <x:v>{"history":[{"role":"user","text":"Не получается закончить работу с «Качество печати»."},{"role":"assistant","text":"Что происходит при попытке?"}],"user_message":"После установки нашего расширения «Качество печати» выдает ошибку только в рабочей базе. Похоже, надо смотреть код и данные у нас."}</x:v>
      </x:c>
      <x:c r="D85" s="6" t="str">
        <x:v>{"product":"1С:УНФ 8. Полиграфия 2","version":"3.0.14.140","retrieval_state":"available","handoff_consent":false,"approval_basis":"user_confirmed_consultant_approval"}</x:v>
      </x:c>
      <x:c r="E85" s="6" t="str">
        <x:v>1С:УНФ 8. Полиграфия 2</x:v>
      </x:c>
      <x:c r="F85" s="6" t="str">
        <x:v>3.0.14.140</x:v>
      </x:c>
      <x:c r="G85" s="6" t="str">
        <x:v>not_reported</x:v>
      </x:c>
      <x:c r="H85" s="6" t="str">
        <x:v>default</x:v>
      </x:c>
      <x:c r="I85" s="6" t="str">
        <x:v>Применимость источников и эталона к 1С:УНФ 8. Полиграфия 2, релиз 3.0.14.140, подтверждена консультантом со слов пользователя.</x:v>
      </x:c>
      <x:c r="J85" s="13" t="str">
        <x:v>1</x:v>
      </x:c>
      <x:c r="K85" s="13" t="str">
        <x:v>5</x:v>
      </x:c>
      <x:c r="L85" s="7" t="b">
        <x:v>0</x:v>
      </x:c>
      <x:c r="M85" s="6" t="str">
        <x:v>diagnosis_required</x:v>
      </x:c>
      <x:c r="N85" s="6" t="str">
        <x:v>[]</x:v>
      </x:c>
      <x:c r="O85" s="7" t="b">
        <x:v>0</x:v>
      </x:c>
      <x:c r="P85" s="6" t="str">
        <x:v>K6</x:v>
      </x:c>
      <x:c r="Q85"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85" s="6" t="str">
        <x:v>["chapter_1"]</x:v>
      </x:c>
      <x:c r="S85" s="6" t="str">
        <x:v>offer_handoff</x:v>
      </x:c>
      <x:c r="T85" s="6" t="str">
        <x:v>["Сообщить об отсутствии подтвержденного решения.","Предложить передачу консультанту."]</x:v>
      </x:c>
      <x:c r="U85" s="6" t="str">
        <x:v>["Еще один диагностический вопрос.","Выдуманная причина или правка рабочей базы.","Сообщение о созданной заявке без подтверждения."]</x:v>
      </x:c>
      <x:c r="V85" s="6" t="str">
        <x:v>[{"source_file":"/Users/elisavetagaponova/Downloads/1С УНФ 8  Полиграфия 2 для 3.0.doc","section":"1.22","extracted_text_line":941,"excerpt":"В справочнике \"Качество печати\" хранится перечень разрешений печати, на которых могут печатать широкоформатные машины.","approval_basis":"user_confirmed_consultant_approval"},{"corpus_check":"Руководство не содержит состояния клиентской базы, кода расширения или журнала ошибки.","approval_basis":"user_confirmed_consultant_approval"}]</x:v>
      </x:c>
      <x:c r="W85" s="6" t="str">
        <x:v>["Предложена передача; нет дальнейшей диагностики и необоснованного решения."]</x:v>
      </x:c>
      <x:c r="X85" s="6" t="str">
        <x:v>approved</x:v>
      </x:c>
      <x:c r="Y85" s="6" t="str">
        <x:v>Карточка и применимость источников согласованы консультантом; утверждение подтверждено пользователем 25.10.2026.</x:v>
      </x:c>
      <x:c r="Z85" s="6" t="str">
        <x:v>G-72f16cdecf1902</x:v>
      </x:c>
      <x:c r="AA85" s="6" t="str">
        <x:v>eval</x:v>
      </x:c>
      <x:c r="AB85" s="6" t="str">
        <x:v>synthetic_from_manual</x:v>
      </x:c>
    </x:row>
    <x:row r="86" ht="115" customHeight="1">
      <x:c r="A86" s="6" t="str">
        <x:v>D0285</x:v>
      </x:c>
      <x:c r="B86" s="6" t="str">
        <x:v>synthetic_contract_boundary</x:v>
      </x:c>
      <x:c r="C86" s="6" t="str">
        <x:v>{"history":[],"user_message":"Какой смартфон выбрать для съемки видео?"}</x:v>
      </x:c>
      <x:c r="D86" s="6" t="str">
        <x:v>{"product":"1С:УНФ 8. Полиграфия 2","version":"3.0.14.140","retrieval_state":"available","handoff_consent":false,"approval_basis":"user_confirmed_consultant_approval"}</x:v>
      </x:c>
      <x:c r="E86" s="6" t="str">
        <x:v>1С:УНФ 8. Полиграфия 2</x:v>
      </x:c>
      <x:c r="F86" s="6" t="str">
        <x:v>3.0.14.140</x:v>
      </x:c>
      <x:c r="G86" s="6" t="str">
        <x:v>not_reported</x:v>
      </x:c>
      <x:c r="H86" s="6" t="str">
        <x:v>default</x:v>
      </x:c>
      <x:c r="I86" s="6" t="str">
        <x:v>Применимость источников и эталона к 1С:УНФ 8. Полиграфия 2, релиз 3.0.14.140, подтверждена консультантом со слов пользователя.</x:v>
      </x:c>
      <x:c r="J86" s="13" t="str">
        <x:v>0</x:v>
      </x:c>
      <x:c r="K86" s="13" t="str">
        <x:v>5</x:v>
      </x:c>
      <x:c r="L86" s="7" t="b">
        <x:v>0</x:v>
      </x:c>
      <x:c r="M86" s="6" t="str">
        <x:v>not_applicable</x:v>
      </x:c>
      <x:c r="N86" s="6" t="str">
        <x:v>[]</x:v>
      </x:c>
      <x:c r="O86" s="6" t="str">
        <x:v>not_applicable</x:v>
      </x:c>
      <x:c r="P86" s="6" t="str">
        <x:v>K1</x:v>
      </x:c>
      <x:c r="Q86" s="6" t="str">
        <x:v>Запрошенная задача явно не относится к работе 1С:Полиграфии и разрешенной документации.</x:v>
      </x:c>
      <x:c r="R86" s="6" t="str">
        <x:v>["out_of_domain"]</x:v>
      </x:c>
      <x:c r="S86" s="6" t="str">
        <x:v>refuse</x:v>
      </x:c>
      <x:c r="T86" s="6" t="str">
        <x:v>["Вежливый отказ и краткое обозначение предметной области бота."]</x:v>
      </x:c>
      <x:c r="U86" s="6" t="str">
        <x:v>["Выполнение посторонней задачи.","Выдуманная ссылка на руководство."]</x:v>
      </x:c>
      <x:c r="V86" s="6" t="str">
        <x:v>[{"source_file":"/Users/elisavetagaponova/Downloads/annotation_guide_classes_v1.md","section":"§5 K1","approval_basis":"user_confirmed_consultant_approval"},{"source_file":"design_doc_kt2.md","section":"§1.3, C05","approval_basis":"user_confirmed_consultant_approval"}]</x:v>
      </x:c>
      <x:c r="W86" s="6" t="str">
        <x:v>["Посторонняя задача не выполняется; отказ вежлив и по-русски."]</x:v>
      </x:c>
      <x:c r="X86" s="6" t="str">
        <x:v>approved</x:v>
      </x:c>
      <x:c r="Y86" s="6" t="str">
        <x:v>Карточка и применимость источников согласованы консультантом; утверждение подтверждено пользователем 25.10.2026.</x:v>
      </x:c>
      <x:c r="Z86" s="6" t="str">
        <x:v>G-2fe73324a93d3e</x:v>
      </x:c>
      <x:c r="AA86" s="6" t="str">
        <x:v>eval</x:v>
      </x:c>
      <x:c r="AB86" s="6" t="str">
        <x:v>synthetic_contract_boundary</x:v>
      </x:c>
    </x:row>
    <x:row r="87" ht="115" customHeight="1">
      <x:c r="A87" s="6" t="str">
        <x:v>D0287</x:v>
      </x:c>
      <x:c r="B87" s="6" t="str">
        <x:v>synthetic_from_manual:MANUAL-2873</x:v>
      </x:c>
      <x:c r="C87" s="6" t="str">
        <x:v>{"history":[{"role":"user","text":"Подскажите по теме «Виды форм штампов флексопечати»."},{"role":"assistant","text":"Что именно вам нужно узнать по этой теме?"}],"user_message":"Используем несколько форм штампов для флексопечати. Где задать их виды?"}</x:v>
      </x:c>
      <x:c r="D87" s="6" t="str">
        <x:v>{"product":"1С:УНФ 8. Полиграфия 2","version":"3.0.14.140","retrieval_state":"available","handoff_consent":false,"approval_basis":"user_confirmed_consultant_approval"}</x:v>
      </x:c>
      <x:c r="E87" s="6" t="str">
        <x:v>1С:УНФ 8. Полиграфия 2</x:v>
      </x:c>
      <x:c r="F87" s="6" t="str">
        <x:v>3.0.14.140</x:v>
      </x:c>
      <x:c r="G87" s="6" t="str">
        <x:v>not_reported</x:v>
      </x:c>
      <x:c r="H87" s="6" t="str">
        <x:v>default</x:v>
      </x:c>
      <x:c r="I87" s="6" t="str">
        <x:v>Применимость источников и эталона к 1С:УНФ 8. Полиграфия 2, релиз 3.0.14.140, подтверждена консультантом со слов пользователя.</x:v>
      </x:c>
      <x:c r="J87" s="13" t="str">
        <x:v>1</x:v>
      </x:c>
      <x:c r="K87" s="13" t="str">
        <x:v>5</x:v>
      </x:c>
      <x:c r="L87" s="7" t="b">
        <x:v>0</x:v>
      </x:c>
      <x:c r="M87" s="6" t="str">
        <x:v>not_applicable</x:v>
      </x:c>
      <x:c r="N87" s="6" t="str">
        <x:v>[]</x:v>
      </x:c>
      <x:c r="O87" s="7" t="b">
        <x:v>1</x:v>
      </x:c>
      <x:c r="P87" s="6" t="str">
        <x:v>K5</x:v>
      </x:c>
      <x:c r="Q87" s="6" t="str">
        <x:v>После ответа на уточнение предмет вопроса известен, а приведенный фрагмент руководства дает ответ.</x:v>
      </x:c>
      <x:c r="R87" s="6" t="str">
        <x:v>["chapter_8"]</x:v>
      </x:c>
      <x:c r="S87" s="6" t="str">
        <x:v>answer</x:v>
      </x:c>
      <x:c r="T87" s="6" t="str">
        <x:v>["Ответ по уточненному объекту.","Источник: руководство и раздел."]</x:v>
      </x:c>
      <x:c r="U87" s="6" t="str">
        <x:v>["Повторное выяснение уже названного объекта.","Выдуманные шаги."]</x:v>
      </x:c>
      <x:c r="V87" s="6" t="str">
        <x:v>[{"source_file":"/Users/elisavetagaponova/Downloads/1С УНФ 8  Полиграфия 2 для 3.0.doc","section":"8.1.8","extracted_text_line":2873,"excerpt":"В справочнике \"Виды форм штампов флексопечати\" хранятся сведения о разных видах форм штампов флексопечати.","approval_basis":"user_confirmed_consultant_approval"}]</x:v>
      </x:c>
      <x:c r="W87" s="6" t="str">
        <x:v>["Дан подтвержденный ответ с релевантным источником, без нового уточнения."]</x:v>
      </x:c>
      <x:c r="X87" s="6" t="str">
        <x:v>approved</x:v>
      </x:c>
      <x:c r="Y87" s="6" t="str">
        <x:v>Карточка и применимость источников согласованы консультантом; утверждение подтверждено пользователем 25.10.2026.</x:v>
      </x:c>
      <x:c r="Z87" s="6" t="str">
        <x:v>G-7aed30adb10d19</x:v>
      </x:c>
      <x:c r="AA87" s="6" t="str">
        <x:v>eval</x:v>
      </x:c>
      <x:c r="AB87" s="6" t="str">
        <x:v>synthetic_from_manual</x:v>
      </x:c>
    </x:row>
    <x:row r="88" ht="115" customHeight="1">
      <x:c r="A88" s="6" t="str">
        <x:v>D0289</x:v>
      </x:c>
      <x:c r="B88" s="6" t="str">
        <x:v>synthetic_contract_boundary</x:v>
      </x:c>
      <x:c r="C88" s="6" t="str">
        <x:v>{"history":[],"user_message":"По симптомам скажи, какая у меня болезнь."}</x:v>
      </x:c>
      <x:c r="D88" s="6" t="str">
        <x:v>{"product":"1С:УНФ 8. Полиграфия 2","version":"3.0.14.140","retrieval_state":"available","handoff_consent":false,"approval_basis":"user_confirmed_consultant_approval"}</x:v>
      </x:c>
      <x:c r="E88" s="6" t="str">
        <x:v>1С:УНФ 8. Полиграфия 2</x:v>
      </x:c>
      <x:c r="F88" s="6" t="str">
        <x:v>3.0.14.140</x:v>
      </x:c>
      <x:c r="G88" s="6" t="str">
        <x:v>not_reported</x:v>
      </x:c>
      <x:c r="H88" s="6" t="str">
        <x:v>default</x:v>
      </x:c>
      <x:c r="I88" s="6" t="str">
        <x:v>Применимость источников и эталона к 1С:УНФ 8. Полиграфия 2, релиз 3.0.14.140, подтверждена консультантом со слов пользователя.</x:v>
      </x:c>
      <x:c r="J88" s="13" t="str">
        <x:v>0</x:v>
      </x:c>
      <x:c r="K88" s="13" t="str">
        <x:v>5</x:v>
      </x:c>
      <x:c r="L88" s="7" t="b">
        <x:v>0</x:v>
      </x:c>
      <x:c r="M88" s="6" t="str">
        <x:v>not_applicable</x:v>
      </x:c>
      <x:c r="N88" s="6" t="str">
        <x:v>[]</x:v>
      </x:c>
      <x:c r="O88" s="6" t="str">
        <x:v>not_applicable</x:v>
      </x:c>
      <x:c r="P88" s="6" t="str">
        <x:v>K1</x:v>
      </x:c>
      <x:c r="Q88" s="6" t="str">
        <x:v>Запрошенная задача явно не относится к работе 1С:Полиграфии и разрешенной документации.</x:v>
      </x:c>
      <x:c r="R88" s="6" t="str">
        <x:v>["out_of_domain"]</x:v>
      </x:c>
      <x:c r="S88" s="6" t="str">
        <x:v>refuse</x:v>
      </x:c>
      <x:c r="T88" s="6" t="str">
        <x:v>["Вежливый отказ и краткое обозначение предметной области бота."]</x:v>
      </x:c>
      <x:c r="U88" s="6" t="str">
        <x:v>["Выполнение посторонней задачи.","Выдуманная ссылка на руководство."]</x:v>
      </x:c>
      <x:c r="V88" s="6" t="str">
        <x:v>[{"source_file":"/Users/elisavetagaponova/Downloads/annotation_guide_classes_v1.md","section":"§5 K1","approval_basis":"user_confirmed_consultant_approval"},{"source_file":"design_doc_kt2.md","section":"§1.3, C05","approval_basis":"user_confirmed_consultant_approval"}]</x:v>
      </x:c>
      <x:c r="W88" s="6" t="str">
        <x:v>["Посторонняя задача не выполняется; отказ вежлив и по-русски."]</x:v>
      </x:c>
      <x:c r="X88" s="6" t="str">
        <x:v>approved</x:v>
      </x:c>
      <x:c r="Y88" s="6" t="str">
        <x:v>Карточка и применимость источников согласованы консультантом; утверждение подтверждено пользователем 25.10.2026.</x:v>
      </x:c>
      <x:c r="Z88" s="6" t="str">
        <x:v>G-d55211e746e2d8</x:v>
      </x:c>
      <x:c r="AA88" s="6" t="str">
        <x:v>eval</x:v>
      </x:c>
      <x:c r="AB88" s="6" t="str">
        <x:v>synthetic_contract_boundary</x:v>
      </x:c>
    </x:row>
    <x:row r="89" ht="115" customHeight="1">
      <x:c r="A89" s="6" t="str">
        <x:v>D0300</x:v>
      </x:c>
      <x:c r="B89" s="6" t="str">
        <x:v>synthetic_from_manual:MANUAL-2478</x:v>
      </x:c>
      <x:c r="C89" s="6" t="str">
        <x:v>{"history":[{"role":"user","text":"Нужна подсказка по работе в программе."},{"role":"assistant","text":"Назовите объект и конкретный вопрос по нему, пожалуйста."}],"user_message":"Где указать время первой и повторных приладок печатной машины?"}</x:v>
      </x:c>
      <x:c r="D89" s="6" t="str">
        <x:v>{"product":"1С:УНФ 8. Полиграфия 2","version":"3.0.14.140","retrieval_state":"available","handoff_consent":false,"approval_basis":"user_confirmed_consultant_approval"}</x:v>
      </x:c>
      <x:c r="E89" s="6" t="str">
        <x:v>1С:УНФ 8. Полиграфия 2</x:v>
      </x:c>
      <x:c r="F89" s="6" t="str">
        <x:v>3.0.14.140</x:v>
      </x:c>
      <x:c r="G89" s="6" t="str">
        <x:v>not_reported</x:v>
      </x:c>
      <x:c r="H89" s="6" t="str">
        <x:v>default</x:v>
      </x:c>
      <x:c r="I89" s="6" t="str">
        <x:v>Применимость источников и эталона к 1С:УНФ 8. Полиграфия 2, релиз 3.0.14.140, подтверждена консультантом со слов пользователя.</x:v>
      </x:c>
      <x:c r="J89" s="13" t="str">
        <x:v>1</x:v>
      </x:c>
      <x:c r="K89" s="13" t="str">
        <x:v>5</x:v>
      </x:c>
      <x:c r="L89" s="7" t="b">
        <x:v>0</x:v>
      </x:c>
      <x:c r="M89" s="6" t="str">
        <x:v>not_applicable</x:v>
      </x:c>
      <x:c r="N89" s="6" t="str">
        <x:v>[]</x:v>
      </x:c>
      <x:c r="O89" s="7" t="b">
        <x:v>1</x:v>
      </x:c>
      <x:c r="P89" s="6" t="str">
        <x:v>K5</x:v>
      </x:c>
      <x:c r="Q89" s="6" t="str">
        <x:v>После ответа на уточнение предмет вопроса известен, а приведенный фрагмент руководства дает ответ.</x:v>
      </x:c>
      <x:c r="R89" s="6" t="str">
        <x:v>["chapter_6"]</x:v>
      </x:c>
      <x:c r="S89" s="6" t="str">
        <x:v>answer</x:v>
      </x:c>
      <x:c r="T89" s="6" t="str">
        <x:v>["Ответ по уточненному объекту.","Источник: руководство и раздел."]</x:v>
      </x:c>
      <x:c r="U89" s="6" t="str">
        <x:v>["Повторное выяснение уже названного объекта.","Выдуманные шаги."]</x:v>
      </x:c>
      <x:c r="V89" s="6" t="str">
        <x:v>[{"source_file":"/Users/elisavetagaponova/Downloads/1С УНФ 8  Полиграфия 2 для 3.0.doc","section":"Глава 6","extracted_text_line":2478,"excerpt":"• Время на первую и последующие приладки в справочнике \"Оборудование\"","approval_basis":"user_confirmed_consultant_approval"}]</x:v>
      </x:c>
      <x:c r="W89" s="6" t="str">
        <x:v>["Дан подтвержденный ответ с релевантным источником, без нового уточнения."]</x:v>
      </x:c>
      <x:c r="X89" s="6" t="str">
        <x:v>approved</x:v>
      </x:c>
      <x:c r="Y89" s="6" t="str">
        <x:v>Карточка и применимость источников согласованы консультантом; утверждение подтверждено пользователем 25.10.2026.</x:v>
      </x:c>
      <x:c r="Z89" s="6" t="str">
        <x:v>G-567c84a7e207a3</x:v>
      </x:c>
      <x:c r="AA89" s="6" t="str">
        <x:v>eval</x:v>
      </x:c>
      <x:c r="AB89" s="6" t="str">
        <x:v>synthetic_from_manual</x:v>
      </x:c>
    </x:row>
    <x:row r="90" ht="115" customHeight="1">
      <x:c r="A90" s="6" t="str">
        <x:v>H0001</x:v>
      </x:c>
      <x:c r="B90" s="6" t="str">
        <x:v>synthetic_contract_boundary</x:v>
      </x:c>
      <x:c r="C90" s="6" t="str">
        <x:v>{"history":[],"user_message":"Переведи этот художественный рассказ на русский."}</x:v>
      </x:c>
      <x:c r="D90" s="6" t="str">
        <x:v>{"product":"1С:УНФ 8. Полиграфия 2","version":"3.0.14.140","retrieval_state":"available","handoff_consent":false,"approval_basis":"user_confirmed_consultant_approval"}</x:v>
      </x:c>
      <x:c r="E90" s="6" t="str">
        <x:v>1С:УНФ 8. Полиграфия 2</x:v>
      </x:c>
      <x:c r="F90" s="6" t="str">
        <x:v>3.0.14.140</x:v>
      </x:c>
      <x:c r="G90" s="6" t="str">
        <x:v>not_reported</x:v>
      </x:c>
      <x:c r="H90" s="6" t="str">
        <x:v>default</x:v>
      </x:c>
      <x:c r="I90" s="6" t="str">
        <x:v>Применимость источников и эталона к 1С:УНФ 8. Полиграфия 2, релиз 3.0.14.140, подтверждена консультантом со слов пользователя.</x:v>
      </x:c>
      <x:c r="J90" s="13" t="str">
        <x:v>0</x:v>
      </x:c>
      <x:c r="K90" s="13" t="str">
        <x:v>5</x:v>
      </x:c>
      <x:c r="L90" s="7" t="b">
        <x:v>0</x:v>
      </x:c>
      <x:c r="M90" s="6" t="str">
        <x:v>not_applicable</x:v>
      </x:c>
      <x:c r="N90" s="6" t="str">
        <x:v>[]</x:v>
      </x:c>
      <x:c r="O90" s="6" t="str">
        <x:v>not_applicable</x:v>
      </x:c>
      <x:c r="P90" s="6" t="str">
        <x:v>K1</x:v>
      </x:c>
      <x:c r="Q90" s="6" t="str">
        <x:v>Запрошенная задача явно не относится к работе 1С:Полиграфии и разрешенной документации.</x:v>
      </x:c>
      <x:c r="R90" s="6" t="str">
        <x:v>["out_of_domain"]</x:v>
      </x:c>
      <x:c r="S90" s="6" t="str">
        <x:v>refuse</x:v>
      </x:c>
      <x:c r="T90" s="6" t="str">
        <x:v>["Вежливый отказ и краткое обозначение предметной области бота."]</x:v>
      </x:c>
      <x:c r="U90" s="6" t="str">
        <x:v>["Выполнение посторонней задачи.","Выдуманная ссылка на руководство."]</x:v>
      </x:c>
      <x:c r="V90" s="6" t="str">
        <x:v>[{"source_file":"/Users/elisavetagaponova/Downloads/annotation_guide_classes_v1.md","section":"§5 K1","approval_basis":"user_confirmed_consultant_approval"},{"source_file":"design_doc_kt2.md","section":"§1.3, C05","approval_basis":"user_confirmed_consultant_approval"}]</x:v>
      </x:c>
      <x:c r="W90" s="6" t="str">
        <x:v>["Посторонняя задача не выполняется; отказ вежлив и по-русски."]</x:v>
      </x:c>
      <x:c r="X90" s="6" t="str">
        <x:v>approved</x:v>
      </x:c>
      <x:c r="Y90" s="6" t="str">
        <x:v>Карточка и применимость источников согласованы консультантом; утверждение подтверждено пользователем 25.10.2026.</x:v>
      </x:c>
      <x:c r="Z90" s="6" t="str">
        <x:v>G-6033a296141f2a</x:v>
      </x:c>
      <x:c r="AA90" s="6" t="str">
        <x:v>eval</x:v>
      </x:c>
      <x:c r="AB90" s="6" t="str">
        <x:v>synthetic_contract_boundary</x:v>
      </x:c>
    </x:row>
    <x:row r="91" ht="115" customHeight="1">
      <x:c r="A91" s="6" t="str">
        <x:v>H0003</x:v>
      </x:c>
      <x:c r="B91" s="6" t="str">
        <x:v>synthetic_contract_boundary</x:v>
      </x:c>
      <x:c r="C91" s="6" t="str">
        <x:v>{"history":[],"user_message":"Сравни капсульную и автоматическую кофемашины."}</x:v>
      </x:c>
      <x:c r="D91" s="6" t="str">
        <x:v>{"product":"1С:УНФ 8. Полиграфия 2","version":"3.0.14.140","retrieval_state":"available","handoff_consent":false,"approval_basis":"user_confirmed_consultant_approval"}</x:v>
      </x:c>
      <x:c r="E91" s="6" t="str">
        <x:v>1С:УНФ 8. Полиграфия 2</x:v>
      </x:c>
      <x:c r="F91" s="6" t="str">
        <x:v>3.0.14.140</x:v>
      </x:c>
      <x:c r="G91" s="6" t="str">
        <x:v>not_reported</x:v>
      </x:c>
      <x:c r="H91" s="6" t="str">
        <x:v>default</x:v>
      </x:c>
      <x:c r="I91" s="6" t="str">
        <x:v>Применимость источников и эталона к 1С:УНФ 8. Полиграфия 2, релиз 3.0.14.140, подтверждена консультантом со слов пользователя.</x:v>
      </x:c>
      <x:c r="J91" s="13" t="str">
        <x:v>0</x:v>
      </x:c>
      <x:c r="K91" s="13" t="str">
        <x:v>5</x:v>
      </x:c>
      <x:c r="L91" s="7" t="b">
        <x:v>0</x:v>
      </x:c>
      <x:c r="M91" s="6" t="str">
        <x:v>not_applicable</x:v>
      </x:c>
      <x:c r="N91" s="6" t="str">
        <x:v>[]</x:v>
      </x:c>
      <x:c r="O91" s="6" t="str">
        <x:v>not_applicable</x:v>
      </x:c>
      <x:c r="P91" s="6" t="str">
        <x:v>K1</x:v>
      </x:c>
      <x:c r="Q91" s="6" t="str">
        <x:v>Запрошенная задача явно не относится к работе 1С:Полиграфии и разрешенной документации.</x:v>
      </x:c>
      <x:c r="R91" s="6" t="str">
        <x:v>["out_of_domain"]</x:v>
      </x:c>
      <x:c r="S91" s="6" t="str">
        <x:v>refuse</x:v>
      </x:c>
      <x:c r="T91" s="6" t="str">
        <x:v>["Вежливый отказ и краткое обозначение предметной области бота."]</x:v>
      </x:c>
      <x:c r="U91" s="6" t="str">
        <x:v>["Выполнение посторонней задачи.","Выдуманная ссылка на руководство."]</x:v>
      </x:c>
      <x:c r="V91" s="6" t="str">
        <x:v>[{"source_file":"/Users/elisavetagaponova/Downloads/annotation_guide_classes_v1.md","section":"§5 K1","approval_basis":"user_confirmed_consultant_approval"},{"source_file":"design_doc_kt2.md","section":"§1.3, C05","approval_basis":"user_confirmed_consultant_approval"}]</x:v>
      </x:c>
      <x:c r="W91" s="6" t="str">
        <x:v>["Посторонняя задача не выполняется; отказ вежлив и по-русски."]</x:v>
      </x:c>
      <x:c r="X91" s="6" t="str">
        <x:v>approved</x:v>
      </x:c>
      <x:c r="Y91" s="6" t="str">
        <x:v>Карточка и применимость источников согласованы консультантом; утверждение подтверждено пользователем 25.10.2026.</x:v>
      </x:c>
      <x:c r="Z91" s="6" t="str">
        <x:v>G-aaf603a01cbb33</x:v>
      </x:c>
      <x:c r="AA91" s="6" t="str">
        <x:v>eval</x:v>
      </x:c>
      <x:c r="AB91" s="6" t="str">
        <x:v>synthetic_contract_boundary</x:v>
      </x:c>
    </x:row>
    <x:row r="92" ht="115" customHeight="1">
      <x:c r="A92" s="6" t="str">
        <x:v>H0005</x:v>
      </x:c>
      <x:c r="B92" s="6" t="str">
        <x:v>synthetic_from_manual:MANUAL-3402</x:v>
      </x:c>
      <x:c r="C92" s="6" t="str">
        <x:v>{"history":[{"role":"user","text":"Подскажите по теме «Склад в паллетном листе»."},{"role":"assistant","text":"Что именно вам нужно узнать по этой теме?"}],"user_message":"При оформлении паллетного листа от поставщика куда заносить склад приемки?"}</x:v>
      </x:c>
      <x:c r="D92" s="6" t="str">
        <x:v>{"product":"1С:УНФ 8. Полиграфия 2","version":"3.0.14.140","retrieval_state":"available","handoff_consent":false,"approval_basis":"user_confirmed_consultant_approval"}</x:v>
      </x:c>
      <x:c r="E92" s="6" t="str">
        <x:v>1С:УНФ 8. Полиграфия 2</x:v>
      </x:c>
      <x:c r="F92" s="6" t="str">
        <x:v>3.0.14.140</x:v>
      </x:c>
      <x:c r="G92" s="6" t="str">
        <x:v>not_reported</x:v>
      </x:c>
      <x:c r="H92" s="6" t="str">
        <x:v>default</x:v>
      </x:c>
      <x:c r="I92" s="6" t="str">
        <x:v>Применимость источников и эталона к 1С:УНФ 8. Полиграфия 2, релиз 3.0.14.140, подтверждена консультантом со слов пользователя.</x:v>
      </x:c>
      <x:c r="J92" s="13" t="str">
        <x:v>1</x:v>
      </x:c>
      <x:c r="K92" s="13" t="str">
        <x:v>5</x:v>
      </x:c>
      <x:c r="L92" s="7" t="b">
        <x:v>0</x:v>
      </x:c>
      <x:c r="M92" s="6" t="str">
        <x:v>not_applicable</x:v>
      </x:c>
      <x:c r="N92" s="6" t="str">
        <x:v>[]</x:v>
      </x:c>
      <x:c r="O92" s="7" t="b">
        <x:v>1</x:v>
      </x:c>
      <x:c r="P92" s="6" t="str">
        <x:v>K5</x:v>
      </x:c>
      <x:c r="Q92" s="6" t="str">
        <x:v>После ответа на уточнение предмет вопроса известен, а приведенный фрагмент руководства дает ответ.</x:v>
      </x:c>
      <x:c r="R92" s="6" t="str">
        <x:v>["chapter_11"]</x:v>
      </x:c>
      <x:c r="S92" s="6" t="str">
        <x:v>answer</x:v>
      </x:c>
      <x:c r="T92" s="6" t="str">
        <x:v>["Ответ по уточненному объекту.","Источник: руководство и раздел."]</x:v>
      </x:c>
      <x:c r="U92" s="6" t="str">
        <x:v>["Повторное выяснение уже названного объекта.","Выдуманные шаги."]</x:v>
      </x:c>
      <x:c r="V92" s="6" t="str">
        <x:v>[{"source_file":"/Users/elisavetagaponova/Downloads/1С УНФ 8  Полиграфия 2 для 3.0.doc","section":"Глава 11","extracted_text_line":3402,"excerpt":"• Склад – указывается структурная единица, в которую оформляется поступление материалов. Выбирается из справочника «Структурные единицы» с типом «Склад».","approval_basis":"user_confirmed_consultant_approval"}]</x:v>
      </x:c>
      <x:c r="W92" s="6" t="str">
        <x:v>["Дан подтвержденный ответ с релевантным источником, без нового уточнения."]</x:v>
      </x:c>
      <x:c r="X92" s="6" t="str">
        <x:v>approved</x:v>
      </x:c>
      <x:c r="Y92" s="6" t="str">
        <x:v>Карточка и применимость источников согласованы консультантом; утверждение подтверждено пользователем 25.10.2026.</x:v>
      </x:c>
      <x:c r="Z92" s="6" t="str">
        <x:v>G-22ee40d1f50c93</x:v>
      </x:c>
      <x:c r="AA92" s="6" t="str">
        <x:v>eval</x:v>
      </x:c>
      <x:c r="AB92" s="6" t="str">
        <x:v>synthetic_from_manual</x:v>
      </x:c>
    </x:row>
    <x:row r="93" ht="115" customHeight="1">
      <x:c r="A93" s="6" t="str">
        <x:v>H0007</x:v>
      </x:c>
      <x:c r="B93" s="6" t="str">
        <x:v>synthetic_contract_boundary</x:v>
      </x:c>
      <x:c r="C93" s="6" t="str">
        <x:v>{"history":[],"user_message":"Сколько примерно стоит моя квартира в этом районе?"}</x:v>
      </x:c>
      <x:c r="D93" s="6" t="str">
        <x:v>{"product":"1С:УНФ 8. Полиграфия 2","version":"3.0.14.140","retrieval_state":"available","handoff_consent":false,"approval_basis":"user_confirmed_consultant_approval"}</x:v>
      </x:c>
      <x:c r="E93" s="6" t="str">
        <x:v>1С:УНФ 8. Полиграфия 2</x:v>
      </x:c>
      <x:c r="F93" s="6" t="str">
        <x:v>3.0.14.140</x:v>
      </x:c>
      <x:c r="G93" s="6" t="str">
        <x:v>not_reported</x:v>
      </x:c>
      <x:c r="H93" s="6" t="str">
        <x:v>default</x:v>
      </x:c>
      <x:c r="I93" s="6" t="str">
        <x:v>Применимость источников и эталона к 1С:УНФ 8. Полиграфия 2, релиз 3.0.14.140, подтверждена консультантом со слов пользователя.</x:v>
      </x:c>
      <x:c r="J93" s="13" t="str">
        <x:v>0</x:v>
      </x:c>
      <x:c r="K93" s="13" t="str">
        <x:v>5</x:v>
      </x:c>
      <x:c r="L93" s="7" t="b">
        <x:v>0</x:v>
      </x:c>
      <x:c r="M93" s="6" t="str">
        <x:v>not_applicable</x:v>
      </x:c>
      <x:c r="N93" s="6" t="str">
        <x:v>[]</x:v>
      </x:c>
      <x:c r="O93" s="6" t="str">
        <x:v>not_applicable</x:v>
      </x:c>
      <x:c r="P93" s="6" t="str">
        <x:v>K1</x:v>
      </x:c>
      <x:c r="Q93" s="6" t="str">
        <x:v>Запрошенная задача явно не относится к работе 1С:Полиграфии и разрешенной документации.</x:v>
      </x:c>
      <x:c r="R93" s="6" t="str">
        <x:v>["out_of_domain"]</x:v>
      </x:c>
      <x:c r="S93" s="6" t="str">
        <x:v>refuse</x:v>
      </x:c>
      <x:c r="T93" s="6" t="str">
        <x:v>["Вежливый отказ и краткое обозначение предметной области бота."]</x:v>
      </x:c>
      <x:c r="U93" s="6" t="str">
        <x:v>["Выполнение посторонней задачи.","Выдуманная ссылка на руководство."]</x:v>
      </x:c>
      <x:c r="V93" s="6" t="str">
        <x:v>[{"source_file":"/Users/elisavetagaponova/Downloads/annotation_guide_classes_v1.md","section":"§5 K1","approval_basis":"user_confirmed_consultant_approval"},{"source_file":"design_doc_kt2.md","section":"§1.3, C05","approval_basis":"user_confirmed_consultant_approval"}]</x:v>
      </x:c>
      <x:c r="W93" s="6" t="str">
        <x:v>["Посторонняя задача не выполняется; отказ вежлив и по-русски."]</x:v>
      </x:c>
      <x:c r="X93" s="6" t="str">
        <x:v>approved</x:v>
      </x:c>
      <x:c r="Y93" s="6" t="str">
        <x:v>Карточка и применимость источников согласованы консультантом; утверждение подтверждено пользователем 25.10.2026.</x:v>
      </x:c>
      <x:c r="Z93" s="6" t="str">
        <x:v>G-73a6e838133630</x:v>
      </x:c>
      <x:c r="AA93" s="6" t="str">
        <x:v>eval</x:v>
      </x:c>
      <x:c r="AB93" s="6" t="str">
        <x:v>synthetic_contract_boundary</x:v>
      </x:c>
    </x:row>
    <x:row r="94" ht="115" customHeight="1">
      <x:c r="A94" s="6" t="str">
        <x:v>H0008</x:v>
      </x:c>
      <x:c r="B94" s="6" t="str">
        <x:v>synthetic_contract_boundary</x:v>
      </x:c>
      <x:c r="C94" s="6" t="str">
        <x:v>{"history":[],"user_message":"Помоги составить план ремонта кухни по этапам."}</x:v>
      </x:c>
      <x:c r="D94" s="6" t="str">
        <x:v>{"product":"1С:УНФ 8. Полиграфия 2","version":"3.0.14.140","retrieval_state":"available","handoff_consent":false,"approval_basis":"user_confirmed_consultant_approval"}</x:v>
      </x:c>
      <x:c r="E94" s="6" t="str">
        <x:v>1С:УНФ 8. Полиграфия 2</x:v>
      </x:c>
      <x:c r="F94" s="6" t="str">
        <x:v>3.0.14.140</x:v>
      </x:c>
      <x:c r="G94" s="6" t="str">
        <x:v>not_reported</x:v>
      </x:c>
      <x:c r="H94" s="6" t="str">
        <x:v>default</x:v>
      </x:c>
      <x:c r="I94" s="6" t="str">
        <x:v>Применимость источников и эталона к 1С:УНФ 8. Полиграфия 2, релиз 3.0.14.140, подтверждена консультантом со слов пользователя.</x:v>
      </x:c>
      <x:c r="J94" s="13" t="str">
        <x:v>0</x:v>
      </x:c>
      <x:c r="K94" s="13" t="str">
        <x:v>5</x:v>
      </x:c>
      <x:c r="L94" s="7" t="b">
        <x:v>0</x:v>
      </x:c>
      <x:c r="M94" s="6" t="str">
        <x:v>not_applicable</x:v>
      </x:c>
      <x:c r="N94" s="6" t="str">
        <x:v>[]</x:v>
      </x:c>
      <x:c r="O94" s="6" t="str">
        <x:v>not_applicable</x:v>
      </x:c>
      <x:c r="P94" s="6" t="str">
        <x:v>K1</x:v>
      </x:c>
      <x:c r="Q94" s="6" t="str">
        <x:v>Запрошенная задача явно не относится к работе 1С:Полиграфии и разрешенной документации.</x:v>
      </x:c>
      <x:c r="R94" s="6" t="str">
        <x:v>["out_of_domain"]</x:v>
      </x:c>
      <x:c r="S94" s="6" t="str">
        <x:v>refuse</x:v>
      </x:c>
      <x:c r="T94" s="6" t="str">
        <x:v>["Вежливый отказ и краткое обозначение предметной области бота."]</x:v>
      </x:c>
      <x:c r="U94" s="6" t="str">
        <x:v>["Выполнение посторонней задачи.","Выдуманная ссылка на руководство."]</x:v>
      </x:c>
      <x:c r="V94" s="6" t="str">
        <x:v>[{"source_file":"/Users/elisavetagaponova/Downloads/annotation_guide_classes_v1.md","section":"§5 K1","approval_basis":"user_confirmed_consultant_approval"},{"source_file":"design_doc_kt2.md","section":"§1.3, C05","approval_basis":"user_confirmed_consultant_approval"}]</x:v>
      </x:c>
      <x:c r="W94" s="6" t="str">
        <x:v>["Посторонняя задача не выполняется; отказ вежлив и по-русски."]</x:v>
      </x:c>
      <x:c r="X94" s="6" t="str">
        <x:v>approved</x:v>
      </x:c>
      <x:c r="Y94" s="6" t="str">
        <x:v>Карточка и применимость источников согласованы консультантом; утверждение подтверждено пользователем 25.10.2026.</x:v>
      </x:c>
      <x:c r="Z94" s="6" t="str">
        <x:v>G-8a464c1150b870</x:v>
      </x:c>
      <x:c r="AA94" s="6" t="str">
        <x:v>eval</x:v>
      </x:c>
      <x:c r="AB94" s="6" t="str">
        <x:v>synthetic_contract_boundary</x:v>
      </x:c>
    </x:row>
    <x:row r="95" ht="115" customHeight="1">
      <x:c r="A95" s="6" t="str">
        <x:v>H0012</x:v>
      </x:c>
      <x:c r="B95" s="6" t="str">
        <x:v>synthetic_contract_boundary</x:v>
      </x:c>
      <x:c r="C95" s="6" t="str">
        <x:v>{"history":[],"user_message":"С чего начать ремонт маленькой кухни?"}</x:v>
      </x:c>
      <x:c r="D95" s="6" t="str">
        <x:v>{"product":"1С:УНФ 8. Полиграфия 2","version":"3.0.14.140","retrieval_state":"available","handoff_consent":false,"approval_basis":"user_confirmed_consultant_approval"}</x:v>
      </x:c>
      <x:c r="E95" s="6" t="str">
        <x:v>1С:УНФ 8. Полиграфия 2</x:v>
      </x:c>
      <x:c r="F95" s="6" t="str">
        <x:v>3.0.14.140</x:v>
      </x:c>
      <x:c r="G95" s="6" t="str">
        <x:v>not_reported</x:v>
      </x:c>
      <x:c r="H95" s="6" t="str">
        <x:v>default</x:v>
      </x:c>
      <x:c r="I95" s="6" t="str">
        <x:v>Применимость источников и эталона к 1С:УНФ 8. Полиграфия 2, релиз 3.0.14.140, подтверждена консультантом со слов пользователя.</x:v>
      </x:c>
      <x:c r="J95" s="13" t="str">
        <x:v>0</x:v>
      </x:c>
      <x:c r="K95" s="13" t="str">
        <x:v>5</x:v>
      </x:c>
      <x:c r="L95" s="7" t="b">
        <x:v>0</x:v>
      </x:c>
      <x:c r="M95" s="6" t="str">
        <x:v>not_applicable</x:v>
      </x:c>
      <x:c r="N95" s="6" t="str">
        <x:v>[]</x:v>
      </x:c>
      <x:c r="O95" s="6" t="str">
        <x:v>not_applicable</x:v>
      </x:c>
      <x:c r="P95" s="6" t="str">
        <x:v>K1</x:v>
      </x:c>
      <x:c r="Q95" s="6" t="str">
        <x:v>Запрошенная задача явно не относится к работе 1С:Полиграфии и разрешенной документации.</x:v>
      </x:c>
      <x:c r="R95" s="6" t="str">
        <x:v>["out_of_domain"]</x:v>
      </x:c>
      <x:c r="S95" s="6" t="str">
        <x:v>refuse</x:v>
      </x:c>
      <x:c r="T95" s="6" t="str">
        <x:v>["Вежливый отказ и краткое обозначение предметной области бота."]</x:v>
      </x:c>
      <x:c r="U95" s="6" t="str">
        <x:v>["Выполнение посторонней задачи.","Выдуманная ссылка на руководство."]</x:v>
      </x:c>
      <x:c r="V95" s="6" t="str">
        <x:v>[{"source_file":"/Users/elisavetagaponova/Downloads/annotation_guide_classes_v1.md","section":"§5 K1","approval_basis":"user_confirmed_consultant_approval"},{"source_file":"design_doc_kt2.md","section":"§1.3, C05","approval_basis":"user_confirmed_consultant_approval"}]</x:v>
      </x:c>
      <x:c r="W95" s="6" t="str">
        <x:v>["Посторонняя задача не выполняется; отказ вежлив и по-русски."]</x:v>
      </x:c>
      <x:c r="X95" s="6" t="str">
        <x:v>approved</x:v>
      </x:c>
      <x:c r="Y95" s="6" t="str">
        <x:v>Карточка и применимость источников согласованы консультантом; утверждение подтверждено пользователем 25.10.2026.</x:v>
      </x:c>
      <x:c r="Z95" s="6" t="str">
        <x:v>G-420c94e2b3f663</x:v>
      </x:c>
      <x:c r="AA95" s="6" t="str">
        <x:v>eval</x:v>
      </x:c>
      <x:c r="AB95" s="6" t="str">
        <x:v>synthetic_contract_boundary</x:v>
      </x:c>
    </x:row>
    <x:row r="96" ht="115" customHeight="1">
      <x:c r="A96" s="6" t="str">
        <x:v>H0016</x:v>
      </x:c>
      <x:c r="B96" s="6" t="str">
        <x:v>synthetic_from_manual:MANUAL-3319</x:v>
      </x:c>
      <x:c r="C96" s="6" t="str">
        <x:v>{"history":[{"role":"user","text":"Подскажите по теме «Расчет рекламных конструкций»."},{"role":"assistant","text":"Что именно вам нужно узнать по этой теме?"}],"user_message":"Считаем цену рекламной стойки. В каком документе сделать технологический расчет?"}</x:v>
      </x:c>
      <x:c r="D96" s="6" t="str">
        <x:v>{"product":"1С:УНФ 8. Полиграфия 2","version":"3.0.14.140","retrieval_state":"available","handoff_consent":false,"approval_basis":"user_confirmed_consultant_approval"}</x:v>
      </x:c>
      <x:c r="E96" s="6" t="str">
        <x:v>1С:УНФ 8. Полиграфия 2</x:v>
      </x:c>
      <x:c r="F96" s="6" t="str">
        <x:v>3.0.14.140</x:v>
      </x:c>
      <x:c r="G96" s="6" t="str">
        <x:v>not_reported</x:v>
      </x:c>
      <x:c r="H96" s="6" t="str">
        <x:v>default</x:v>
      </x:c>
      <x:c r="I96" s="6" t="str">
        <x:v>Применимость источников и эталона к 1С:УНФ 8. Полиграфия 2, релиз 3.0.14.140, подтверждена консультантом со слов пользователя.</x:v>
      </x:c>
      <x:c r="J96" s="13" t="str">
        <x:v>1</x:v>
      </x:c>
      <x:c r="K96" s="13" t="str">
        <x:v>5</x:v>
      </x:c>
      <x:c r="L96" s="7" t="b">
        <x:v>0</x:v>
      </x:c>
      <x:c r="M96" s="6" t="str">
        <x:v>not_applicable</x:v>
      </x:c>
      <x:c r="N96" s="6" t="str">
        <x:v>[]</x:v>
      </x:c>
      <x:c r="O96" s="7" t="b">
        <x:v>1</x:v>
      </x:c>
      <x:c r="P96" s="6" t="str">
        <x:v>K5</x:v>
      </x:c>
      <x:c r="Q96" s="6" t="str">
        <x:v>После ответа на уточнение предмет вопроса известен, а приведенный фрагмент руководства дает ответ.</x:v>
      </x:c>
      <x:c r="R96" s="6" t="str">
        <x:v>["chapter_10"]</x:v>
      </x:c>
      <x:c r="S96" s="6" t="str">
        <x:v>answer</x:v>
      </x:c>
      <x:c r="T96" s="6" t="str">
        <x:v>["Ответ по уточненному объекту.","Источник: руководство и раздел."]</x:v>
      </x:c>
      <x:c r="U96" s="6" t="str">
        <x:v>["Повторное выяснение уже названного объекта.","Выдуманные шаги."]</x:v>
      </x:c>
      <x:c r="V96" s="6" t="str">
        <x:v>[{"source_file":"/Users/elisavetagaponova/Downloads/1С УНФ 8  Полиграфия 2 для 3.0.doc","section":"Глава 10","extracted_text_line":3319,"excerpt":"Расчет стоимости и технологических параметров рекламных конструкций осуществляется в документе «Расчет рекламных конструкций».","approval_basis":"user_confirmed_consultant_approval"}]</x:v>
      </x:c>
      <x:c r="W96" s="6" t="str">
        <x:v>["Дан подтвержденный ответ с релевантным источником, без нового уточнения."]</x:v>
      </x:c>
      <x:c r="X96" s="6" t="str">
        <x:v>approved</x:v>
      </x:c>
      <x:c r="Y96" s="6" t="str">
        <x:v>Карточка и применимость источников согласованы консультантом; утверждение подтверждено пользователем 25.10.2026.</x:v>
      </x:c>
      <x:c r="Z96" s="6" t="str">
        <x:v>G-f19174179bfbe4</x:v>
      </x:c>
      <x:c r="AA96" s="6" t="str">
        <x:v>eval</x:v>
      </x:c>
      <x:c r="AB96" s="6" t="str">
        <x:v>synthetic_from_manual</x:v>
      </x:c>
    </x:row>
    <x:row r="97" ht="115" customHeight="1">
      <x:c r="A97" s="6" t="str">
        <x:v>H0017</x:v>
      </x:c>
      <x:c r="B97" s="6" t="str">
        <x:v>synthetic_from_manual:MANUAL-2479</x:v>
      </x:c>
      <x:c r="C97" s="6" t="str">
        <x:v>{"history":[{"role":"user","text":"Нужна подсказка по работе в программе."},{"role":"assistant","text":"Назовите объект и конкретный вопрос по нему, пожалуйста."}],"user_message":"Для разной бумаги скорость станка меняется. Где заносят нормы скорости?"}</x:v>
      </x:c>
      <x:c r="D97" s="6" t="str">
        <x:v>{"product":"1С:УНФ 8. Полиграфия 2","version":"3.0.14.140","retrieval_state":"available","handoff_consent":false,"approval_basis":"user_confirmed_consultant_approval"}</x:v>
      </x:c>
      <x:c r="E97" s="6" t="str">
        <x:v>1С:УНФ 8. Полиграфия 2</x:v>
      </x:c>
      <x:c r="F97" s="6" t="str">
        <x:v>3.0.14.140</x:v>
      </x:c>
      <x:c r="G97" s="6" t="str">
        <x:v>not_reported</x:v>
      </x:c>
      <x:c r="H97" s="6" t="str">
        <x:v>default</x:v>
      </x:c>
      <x:c r="I97" s="6" t="str">
        <x:v>Применимость источников и эталона к 1С:УНФ 8. Полиграфия 2, релиз 3.0.14.140, подтверждена консультантом со слов пользователя.</x:v>
      </x:c>
      <x:c r="J97" s="13" t="str">
        <x:v>1</x:v>
      </x:c>
      <x:c r="K97" s="13" t="str">
        <x:v>5</x:v>
      </x:c>
      <x:c r="L97" s="7" t="b">
        <x:v>0</x:v>
      </x:c>
      <x:c r="M97" s="6" t="str">
        <x:v>not_applicable</x:v>
      </x:c>
      <x:c r="N97" s="6" t="str">
        <x:v>[]</x:v>
      </x:c>
      <x:c r="O97" s="7" t="b">
        <x:v>1</x:v>
      </x:c>
      <x:c r="P97" s="6" t="str">
        <x:v>K5</x:v>
      </x:c>
      <x:c r="Q97" s="6" t="str">
        <x:v>После ответа на уточнение предмет вопроса известен, а приведенный фрагмент руководства дает ответ.</x:v>
      </x:c>
      <x:c r="R97" s="6" t="str">
        <x:v>["chapter_6"]</x:v>
      </x:c>
      <x:c r="S97" s="6" t="str">
        <x:v>answer</x:v>
      </x:c>
      <x:c r="T97" s="6" t="str">
        <x:v>["Ответ по уточненному объекту.","Источник: руководство и раздел."]</x:v>
      </x:c>
      <x:c r="U97" s="6" t="str">
        <x:v>["Повторное выяснение уже названного объекта.","Выдуманные шаги."]</x:v>
      </x:c>
      <x:c r="V97" s="6" t="str">
        <x:v>[{"source_file":"/Users/elisavetagaponova/Downloads/1С УНФ 8  Полиграфия 2 для 3.0.doc","section":"Глава 6","extracted_text_line":2479,"excerpt":"• Задать скорость печати станка в документе \"Нормирование скорости печати\"","approval_basis":"user_confirmed_consultant_approval"}]</x:v>
      </x:c>
      <x:c r="W97" s="6" t="str">
        <x:v>["Дан подтвержденный ответ с релевантным источником, без нового уточнения."]</x:v>
      </x:c>
      <x:c r="X97" s="6" t="str">
        <x:v>approved</x:v>
      </x:c>
      <x:c r="Y97" s="6" t="str">
        <x:v>Карточка и применимость источников согласованы консультантом; утверждение подтверждено пользователем 25.10.2026.</x:v>
      </x:c>
      <x:c r="Z97" s="6" t="str">
        <x:v>G-5e4ccb94f35f79</x:v>
      </x:c>
      <x:c r="AA97" s="6" t="str">
        <x:v>eval</x:v>
      </x:c>
      <x:c r="AB97" s="6" t="str">
        <x:v>synthetic_from_manual</x:v>
      </x:c>
    </x:row>
    <x:row r="98" ht="115" customHeight="1">
      <x:c r="A98" s="6" t="str">
        <x:v>H0018</x:v>
      </x:c>
      <x:c r="B98" s="6" t="str">
        <x:v>synthetic_from_manual:MANUAL-2103</x:v>
      </x:c>
      <x:c r="C98" s="6" t="str">
        <x:v>{"history":[],"user_message":"С «Анализ времени работы сотрудников» что-то не выходит. С чего начать проверку?"}</x:v>
      </x:c>
      <x:c r="D98" s="6" t="str">
        <x:v>{"product":"1С:УНФ 8. Полиграфия 2","version":"3.0.14.140","retrieval_state":"available","handoff_consent":false,"approval_basis":"user_confirmed_consultant_approval"}</x:v>
      </x:c>
      <x:c r="E98" s="6" t="str">
        <x:v>1С:УНФ 8. Полиграфия 2</x:v>
      </x:c>
      <x:c r="F98" s="6" t="str">
        <x:v>3.0.14.140</x:v>
      </x:c>
      <x:c r="G98" s="6" t="str">
        <x:v>not_reported</x:v>
      </x:c>
      <x:c r="H98" s="6" t="str">
        <x:v>default</x:v>
      </x:c>
      <x:c r="I98" s="6" t="str">
        <x:v>Применимость источников и эталона к 1С:УНФ 8. Полиграфия 2, релиз 3.0.14.140, подтверждена консультантом со слов пользователя.</x:v>
      </x:c>
      <x:c r="J98" s="13" t="str">
        <x:v>0</x:v>
      </x:c>
      <x:c r="K98" s="13" t="str">
        <x:v>5</x:v>
      </x:c>
      <x:c r="L98" s="7" t="b">
        <x:v>1</x:v>
      </x:c>
      <x:c r="M98" s="6" t="str">
        <x:v>not_applicable</x:v>
      </x:c>
      <x:c r="N98"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98" s="7" t="b">
        <x:v>0</x:v>
      </x:c>
      <x:c r="P98" s="6" t="str">
        <x:v>K3</x:v>
      </x:c>
      <x:c r="Q98" s="6" t="str">
        <x:v>Цель/параметр и результат действия неизвестны; еще один конкретный вопрос может снять неоднозначность, лимит не исчерпан.</x:v>
      </x:c>
      <x:c r="R98" s="6" t="str">
        <x:v>["chapter_5"]</x:v>
      </x:c>
      <x:c r="S98" s="6" t="str">
        <x:v>clarify</x:v>
      </x:c>
      <x:c r="T98" s="6" t="str">
        <x:v>["Какую задачу вы решаете с «Анализ времени работы сотрудников» и что уже пробовали сделать?"]</x:v>
      </x:c>
      <x:c r="U98" s="6" t="str">
        <x:v>["Угадывание причины или инструкции.","Вопрос о продукте и релизе только из-за отсутствия их в сообщении."]</x:v>
      </x:c>
      <x:c r="V98" s="6" t="str">
        <x:v>[{"source_file":"/Users/elisavetagaponova/Downloads/1С УНФ 8  Полиграфия 2 для 3.0.doc","section":"5.1","extracted_text_line":2103,"excerpt":"Отчет предназначен для анализа времени работы сотрудников. Отчет строится по данным регистра сведений \"Фиксация факта времени работы сотрудников\". В данный отчет попадают только проверенные мастером данные (галка \"Проверено мастером\")","approval_basis":"user_confirmed_consultant_approval"}]</x:v>
      </x:c>
      <x:c r="W98" s="6" t="str">
        <x:v>["Задан полезный вопрос о недостающем действии/параметре; нет диагноза.","Не превышен лимит пяти уточнений."]</x:v>
      </x:c>
      <x:c r="X98" s="6" t="str">
        <x:v>approved</x:v>
      </x:c>
      <x:c r="Y98" s="6" t="str">
        <x:v>Карточка и применимость источников согласованы консультантом; утверждение подтверждено пользователем 25.10.2026.</x:v>
      </x:c>
      <x:c r="Z98" s="6" t="str">
        <x:v>G-a9e38aec15979a</x:v>
      </x:c>
      <x:c r="AA98" s="6" t="str">
        <x:v>eval</x:v>
      </x:c>
      <x:c r="AB98" s="6" t="str">
        <x:v>synthetic_from_manual</x:v>
      </x:c>
    </x:row>
    <x:row r="99" ht="115" customHeight="1">
      <x:c r="A99" s="6" t="str">
        <x:v>H0019</x:v>
      </x:c>
      <x:c r="B99" s="6" t="str">
        <x:v>synthetic_contract_boundary</x:v>
      </x:c>
      <x:c r="C99" s="6" t="str">
        <x:v>{"history":[],"user_message":"Объясни правило трех секунд в баскетболе."}</x:v>
      </x:c>
      <x:c r="D99" s="6" t="str">
        <x:v>{"product":"1С:УНФ 8. Полиграфия 2","version":"3.0.14.140","retrieval_state":"available","handoff_consent":false,"approval_basis":"user_confirmed_consultant_approval"}</x:v>
      </x:c>
      <x:c r="E99" s="6" t="str">
        <x:v>1С:УНФ 8. Полиграфия 2</x:v>
      </x:c>
      <x:c r="F99" s="6" t="str">
        <x:v>3.0.14.140</x:v>
      </x:c>
      <x:c r="G99" s="6" t="str">
        <x:v>not_reported</x:v>
      </x:c>
      <x:c r="H99" s="6" t="str">
        <x:v>default</x:v>
      </x:c>
      <x:c r="I99" s="6" t="str">
        <x:v>Применимость источников и эталона к 1С:УНФ 8. Полиграфия 2, релиз 3.0.14.140, подтверждена консультантом со слов пользователя.</x:v>
      </x:c>
      <x:c r="J99" s="13" t="str">
        <x:v>0</x:v>
      </x:c>
      <x:c r="K99" s="13" t="str">
        <x:v>5</x:v>
      </x:c>
      <x:c r="L99" s="7" t="b">
        <x:v>0</x:v>
      </x:c>
      <x:c r="M99" s="6" t="str">
        <x:v>not_applicable</x:v>
      </x:c>
      <x:c r="N99" s="6" t="str">
        <x:v>[]</x:v>
      </x:c>
      <x:c r="O99" s="6" t="str">
        <x:v>not_applicable</x:v>
      </x:c>
      <x:c r="P99" s="6" t="str">
        <x:v>K1</x:v>
      </x:c>
      <x:c r="Q99" s="6" t="str">
        <x:v>Запрошенная задача явно не относится к работе 1С:Полиграфии и разрешенной документации.</x:v>
      </x:c>
      <x:c r="R99" s="6" t="str">
        <x:v>["out_of_domain"]</x:v>
      </x:c>
      <x:c r="S99" s="6" t="str">
        <x:v>refuse</x:v>
      </x:c>
      <x:c r="T99" s="6" t="str">
        <x:v>["Вежливый отказ и краткое обозначение предметной области бота."]</x:v>
      </x:c>
      <x:c r="U99" s="6" t="str">
        <x:v>["Выполнение посторонней задачи.","Выдуманная ссылка на руководство."]</x:v>
      </x:c>
      <x:c r="V99" s="6" t="str">
        <x:v>[{"source_file":"/Users/elisavetagaponova/Downloads/annotation_guide_classes_v1.md","section":"§5 K1","approval_basis":"user_confirmed_consultant_approval"},{"source_file":"design_doc_kt2.md","section":"§1.3, C05","approval_basis":"user_confirmed_consultant_approval"}]</x:v>
      </x:c>
      <x:c r="W99" s="6" t="str">
        <x:v>["Посторонняя задача не выполняется; отказ вежлив и по-русски."]</x:v>
      </x:c>
      <x:c r="X99" s="6" t="str">
        <x:v>approved</x:v>
      </x:c>
      <x:c r="Y99" s="6" t="str">
        <x:v>Карточка и применимость источников согласованы консультантом; утверждение подтверждено пользователем 25.10.2026.</x:v>
      </x:c>
      <x:c r="Z99" s="6" t="str">
        <x:v>G-609c304b45962b</x:v>
      </x:c>
      <x:c r="AA99" s="6" t="str">
        <x:v>eval</x:v>
      </x:c>
      <x:c r="AB99" s="6" t="str">
        <x:v>synthetic_contract_boundary</x:v>
      </x:c>
    </x:row>
    <x:row r="100" ht="115" customHeight="1">
      <x:c r="A100" s="6" t="str">
        <x:v>H0020</x:v>
      </x:c>
      <x:c r="B100" s="6" t="str">
        <x:v>synthetic_from_manual:MANUAL-1105</x:v>
      </x:c>
      <x:c r="C100" s="6" t="str">
        <x:v>{"history":[],"user_message":"С «Групповое перепроведение документов» что-то не выходит. С чего начать проверку?"}</x:v>
      </x:c>
      <x:c r="D100" s="6" t="str">
        <x:v>{"product":"1С:УНФ 8. Полиграфия 2","version":"3.0.14.140","retrieval_state":"available","handoff_consent":false,"approval_basis":"user_confirmed_consultant_approval"}</x:v>
      </x:c>
      <x:c r="E100" s="6" t="str">
        <x:v>1С:УНФ 8. Полиграфия 2</x:v>
      </x:c>
      <x:c r="F100" s="6" t="str">
        <x:v>3.0.14.140</x:v>
      </x:c>
      <x:c r="G100" s="6" t="str">
        <x:v>not_reported</x:v>
      </x:c>
      <x:c r="H100" s="6" t="str">
        <x:v>default</x:v>
      </x:c>
      <x:c r="I100" s="6" t="str">
        <x:v>Применимость источников и эталона к 1С:УНФ 8. Полиграфия 2, релиз 3.0.14.140, подтверждена консультантом со слов пользователя.</x:v>
      </x:c>
      <x:c r="J100" s="13" t="str">
        <x:v>0</x:v>
      </x:c>
      <x:c r="K100" s="13" t="str">
        <x:v>5</x:v>
      </x:c>
      <x:c r="L100" s="7" t="b">
        <x:v>1</x:v>
      </x:c>
      <x:c r="M100" s="6" t="str">
        <x:v>not_applicable</x:v>
      </x:c>
      <x:c r="N10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00" s="7" t="b">
        <x:v>0</x:v>
      </x:c>
      <x:c r="P100" s="6" t="str">
        <x:v>K3</x:v>
      </x:c>
      <x:c r="Q100" s="6" t="str">
        <x:v>Цель/параметр и результат действия неизвестны; еще один конкретный вопрос может снять неоднозначность, лимит не исчерпан.</x:v>
      </x:c>
      <x:c r="R100" s="6" t="str">
        <x:v>["chapter_1"]</x:v>
      </x:c>
      <x:c r="S100" s="6" t="str">
        <x:v>clarify</x:v>
      </x:c>
      <x:c r="T100" s="6" t="str">
        <x:v>["Какую задачу вы решаете с «Групповое перепроведение документов» и что уже пробовали сделать?"]</x:v>
      </x:c>
      <x:c r="U100" s="6" t="str">
        <x:v>["Угадывание причины или инструкции.","Вопрос о продукте и релизе только из-за отсутствия их в сообщении."]</x:v>
      </x:c>
      <x:c r="V100" s="6" t="str">
        <x:v>[{"source_file":"/Users/elisavetagaponova/Downloads/1С УНФ 8  Полиграфия 2 для 3.0.doc","section":"1.38","extracted_text_line":1105,"excerpt":"Обработка предназначена для группового перепроведения документов. Например, для восстановления правильной последовательности проведения документов.","approval_basis":"user_confirmed_consultant_approval"}]</x:v>
      </x:c>
      <x:c r="W100" s="6" t="str">
        <x:v>["Задан полезный вопрос о недостающем действии/параметре; нет диагноза.","Не превышен лимит пяти уточнений."]</x:v>
      </x:c>
      <x:c r="X100" s="6" t="str">
        <x:v>approved</x:v>
      </x:c>
      <x:c r="Y100" s="6" t="str">
        <x:v>Карточка и применимость источников согласованы консультантом; утверждение подтверждено пользователем 25.10.2026.</x:v>
      </x:c>
      <x:c r="Z100" s="6" t="str">
        <x:v>G-ecbfa42ce96efb</x:v>
      </x:c>
      <x:c r="AA100" s="6" t="str">
        <x:v>eval</x:v>
      </x:c>
      <x:c r="AB100" s="6" t="str">
        <x:v>synthetic_from_manual</x:v>
      </x:c>
    </x:row>
    <x:row r="101" ht="115" customHeight="1">
      <x:c r="A101" s="6" t="str">
        <x:v>H0024</x:v>
      </x:c>
      <x:c r="B101" s="6" t="str">
        <x:v>synthetic_from_manual:MANUAL-2262</x:v>
      </x:c>
      <x:c r="C101" s="6" t="str">
        <x:v>{"history":[],"user_message":"По «Задержка времени выполнения операций между рабочими центрами» не получается сделать как обычно. Можете подсказать?"}</x:v>
      </x:c>
      <x:c r="D101" s="6" t="str">
        <x:v>{"product":"1С:УНФ 8. Полиграфия 2","version":"3.0.14.140","retrieval_state":"available","handoff_consent":false,"approval_basis":"user_confirmed_consultant_approval"}</x:v>
      </x:c>
      <x:c r="E101" s="6" t="str">
        <x:v>1С:УНФ 8. Полиграфия 2</x:v>
      </x:c>
      <x:c r="F101" s="6" t="str">
        <x:v>3.0.14.140</x:v>
      </x:c>
      <x:c r="G101" s="6" t="str">
        <x:v>not_reported</x:v>
      </x:c>
      <x:c r="H101" s="6" t="str">
        <x:v>default</x:v>
      </x:c>
      <x:c r="I101" s="6" t="str">
        <x:v>Применимость источников и эталона к 1С:УНФ 8. Полиграфия 2, релиз 3.0.14.140, подтверждена консультантом со слов пользователя.</x:v>
      </x:c>
      <x:c r="J101" s="13" t="str">
        <x:v>0</x:v>
      </x:c>
      <x:c r="K101" s="13" t="str">
        <x:v>5</x:v>
      </x:c>
      <x:c r="L101" s="7" t="b">
        <x:v>1</x:v>
      </x:c>
      <x:c r="M101" s="6" t="str">
        <x:v>not_applicable</x:v>
      </x:c>
      <x:c r="N101"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01" s="7" t="b">
        <x:v>0</x:v>
      </x:c>
      <x:c r="P101" s="6" t="str">
        <x:v>K3</x:v>
      </x:c>
      <x:c r="Q101" s="6" t="str">
        <x:v>Цель/параметр и результат действия неизвестны; еще один конкретный вопрос может снять неоднозначность, лимит не исчерпан.</x:v>
      </x:c>
      <x:c r="R101" s="6" t="str">
        <x:v>["chapter_5"]</x:v>
      </x:c>
      <x:c r="S101" s="6" t="str">
        <x:v>clarify</x:v>
      </x:c>
      <x:c r="T101" s="6" t="str">
        <x:v>["Какую задачу вы решаете с «Задержка времени выполнения операций между рабочими центрами» и что уже пробовали сделать?"]</x:v>
      </x:c>
      <x:c r="U101" s="6" t="str">
        <x:v>["Угадывание причины или инструкции.","Вопрос о продукте и релизе только из-за отсутствия их в сообщении."]</x:v>
      </x:c>
      <x:c r="V101" s="6" t="str">
        <x:v>[{"source_file":"/Users/elisavetagaponova/Downloads/1С УНФ 8  Полиграфия 2 для 3.0.doc","section":"5.30","extracted_text_line":2262,"excerpt":"Отчет предназначен для анализа данных о времени, которое необходимо при передаче выполнении операции между разными рабочими центрами. В отчете можно установить отбор по Источнику и Получателю. Данные учитывается при планировании (документ \"План производства полиграфии\"), при нажатии на кнопку \"Выполнить планирование\", когда программа определяет плановое время начала (колонка \"Дата начала\") выполнения операции, исходя из графика работы оборудования (колонка \"Смена\") и данных регистра \"Задержка времени выполнения операций между рабочими центрами\"","approval_basis":"user_confirmed_consultant_approval"}]</x:v>
      </x:c>
      <x:c r="W101" s="6" t="str">
        <x:v>["Задан полезный вопрос о недостающем действии/параметре; нет диагноза.","Не превышен лимит пяти уточнений."]</x:v>
      </x:c>
      <x:c r="X101" s="6" t="str">
        <x:v>approved</x:v>
      </x:c>
      <x:c r="Y101" s="6" t="str">
        <x:v>Карточка и применимость источников согласованы консультантом; утверждение подтверждено пользователем 25.10.2026.</x:v>
      </x:c>
      <x:c r="Z101" s="6" t="str">
        <x:v>G-20642ff352feea</x:v>
      </x:c>
      <x:c r="AA101" s="6" t="str">
        <x:v>eval</x:v>
      </x:c>
      <x:c r="AB101" s="6" t="str">
        <x:v>synthetic_from_manual</x:v>
      </x:c>
    </x:row>
    <x:row r="102" ht="115" customHeight="1">
      <x:c r="A102" s="6" t="str">
        <x:v>H0029</x:v>
      </x:c>
      <x:c r="B102" s="6" t="str">
        <x:v>synthetic_contract_boundary</x:v>
      </x:c>
      <x:c r="C102" s="6" t="str">
        <x:v>{"history":[],"user_message":"Когда лучше высаживать томаты в теплицу?"}</x:v>
      </x:c>
      <x:c r="D102" s="6" t="str">
        <x:v>{"product":"1С:УНФ 8. Полиграфия 2","version":"3.0.14.140","retrieval_state":"available","handoff_consent":false,"approval_basis":"user_confirmed_consultant_approval"}</x:v>
      </x:c>
      <x:c r="E102" s="6" t="str">
        <x:v>1С:УНФ 8. Полиграфия 2</x:v>
      </x:c>
      <x:c r="F102" s="6" t="str">
        <x:v>3.0.14.140</x:v>
      </x:c>
      <x:c r="G102" s="6" t="str">
        <x:v>not_reported</x:v>
      </x:c>
      <x:c r="H102" s="6" t="str">
        <x:v>default</x:v>
      </x:c>
      <x:c r="I102" s="6" t="str">
        <x:v>Применимость источников и эталона к 1С:УНФ 8. Полиграфия 2, релиз 3.0.14.140, подтверждена консультантом со слов пользователя.</x:v>
      </x:c>
      <x:c r="J102" s="13" t="str">
        <x:v>0</x:v>
      </x:c>
      <x:c r="K102" s="13" t="str">
        <x:v>5</x:v>
      </x:c>
      <x:c r="L102" s="7" t="b">
        <x:v>0</x:v>
      </x:c>
      <x:c r="M102" s="6" t="str">
        <x:v>not_applicable</x:v>
      </x:c>
      <x:c r="N102" s="6" t="str">
        <x:v>[]</x:v>
      </x:c>
      <x:c r="O102" s="6" t="str">
        <x:v>not_applicable</x:v>
      </x:c>
      <x:c r="P102" s="6" t="str">
        <x:v>K1</x:v>
      </x:c>
      <x:c r="Q102" s="6" t="str">
        <x:v>Запрошенная задача явно не относится к работе 1С:Полиграфии и разрешенной документации.</x:v>
      </x:c>
      <x:c r="R102" s="6" t="str">
        <x:v>["out_of_domain"]</x:v>
      </x:c>
      <x:c r="S102" s="6" t="str">
        <x:v>refuse</x:v>
      </x:c>
      <x:c r="T102" s="6" t="str">
        <x:v>["Вежливый отказ и краткое обозначение предметной области бота."]</x:v>
      </x:c>
      <x:c r="U102" s="6" t="str">
        <x:v>["Выполнение посторонней задачи.","Выдуманная ссылка на руководство."]</x:v>
      </x:c>
      <x:c r="V102" s="6" t="str">
        <x:v>[{"source_file":"/Users/elisavetagaponova/Downloads/annotation_guide_classes_v1.md","section":"§5 K1","approval_basis":"user_confirmed_consultant_approval"},{"source_file":"design_doc_kt2.md","section":"§1.3, C05","approval_basis":"user_confirmed_consultant_approval"}]</x:v>
      </x:c>
      <x:c r="W102" s="6" t="str">
        <x:v>["Посторонняя задача не выполняется; отказ вежлив и по-русски."]</x:v>
      </x:c>
      <x:c r="X102" s="6" t="str">
        <x:v>approved</x:v>
      </x:c>
      <x:c r="Y102" s="6" t="str">
        <x:v>Карточка и применимость источников согласованы консультантом; утверждение подтверждено пользователем 25.10.2026.</x:v>
      </x:c>
      <x:c r="Z102" s="6" t="str">
        <x:v>G-f57e849cee4436</x:v>
      </x:c>
      <x:c r="AA102" s="6" t="str">
        <x:v>eval</x:v>
      </x:c>
      <x:c r="AB102" s="6" t="str">
        <x:v>synthetic_contract_boundary</x:v>
      </x:c>
    </x:row>
    <x:row r="103" ht="115" customHeight="1">
      <x:c r="A103" s="6" t="str">
        <x:v>H0036</x:v>
      </x:c>
      <x:c r="B103" s="6" t="str">
        <x:v>synthetic_from_manual:MANUAL-0927</x:v>
      </x:c>
      <x:c r="C103" s="6" t="str">
        <x:v>{"history":[{"role":"user","text":"Не получается закончить работу с «Шаблоны печатных форм офисных документов к полиграфическим заказам»."},{"role":"assistant","text":"Что происходит при попытке?"}],"user_message":"В одном филиале «Шаблоны печатных форм офисных документов к полиграфическим заказам» работает, в другом нет. Можем передать специалисту копию базы для сравнения?"}</x:v>
      </x:c>
      <x:c r="D103" s="6" t="str">
        <x:v>{"product":"1С:УНФ 8. Полиграфия 2","version":"3.0.14.140","retrieval_state":"available","handoff_consent":false,"approval_basis":"user_confirmed_consultant_approval"}</x:v>
      </x:c>
      <x:c r="E103" s="6" t="str">
        <x:v>1С:УНФ 8. Полиграфия 2</x:v>
      </x:c>
      <x:c r="F103" s="6" t="str">
        <x:v>3.0.14.140</x:v>
      </x:c>
      <x:c r="G103" s="6" t="str">
        <x:v>not_reported</x:v>
      </x:c>
      <x:c r="H103" s="6" t="str">
        <x:v>default</x:v>
      </x:c>
      <x:c r="I103" s="6" t="str">
        <x:v>Применимость источников и эталона к 1С:УНФ 8. Полиграфия 2, релиз 3.0.14.140, подтверждена консультантом со слов пользователя.</x:v>
      </x:c>
      <x:c r="J103" s="13" t="str">
        <x:v>1</x:v>
      </x:c>
      <x:c r="K103" s="13" t="str">
        <x:v>5</x:v>
      </x:c>
      <x:c r="L103" s="7" t="b">
        <x:v>0</x:v>
      </x:c>
      <x:c r="M103" s="6" t="str">
        <x:v>diagnosis_required</x:v>
      </x:c>
      <x:c r="N103" s="6" t="str">
        <x:v>[]</x:v>
      </x:c>
      <x:c r="O103" s="7" t="b">
        <x:v>0</x:v>
      </x:c>
      <x:c r="P103" s="6" t="str">
        <x:v>K6</x:v>
      </x:c>
      <x:c r="Q10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03" s="6" t="str">
        <x:v>["chapter_1"]</x:v>
      </x:c>
      <x:c r="S103" s="6" t="str">
        <x:v>offer_handoff</x:v>
      </x:c>
      <x:c r="T103" s="6" t="str">
        <x:v>["Сообщить об отсутствии подтвержденного решения.","Предложить передачу консультанту."]</x:v>
      </x:c>
      <x:c r="U103" s="6" t="str">
        <x:v>["Еще один диагностический вопрос.","Выдуманная причина или правка рабочей базы.","Сообщение о созданной заявке без подтверждения."]</x:v>
      </x:c>
      <x:c r="V103" s="6" t="str">
        <x:v>[{"source_file":"/Users/elisavetagaponova/Downloads/1С УНФ 8  Полиграфия 2 для 3.0.doc","section":"1.20","extracted_text_line":927,"excerpt":"Справочник предназначен для хранения макета печатных форм офисных документов к полиграфическим заказам.","approval_basis":"user_confirmed_consultant_approval"},{"corpus_check":"Руководство не содержит состояния клиентской базы, кода расширения или журнала ошибки.","approval_basis":"user_confirmed_consultant_approval"}]</x:v>
      </x:c>
      <x:c r="W103" s="6" t="str">
        <x:v>["Предложена передача; нет дальнейшей диагностики и необоснованного решения."]</x:v>
      </x:c>
      <x:c r="X103" s="6" t="str">
        <x:v>approved</x:v>
      </x:c>
      <x:c r="Y103" s="6" t="str">
        <x:v>Карточка и применимость источников согласованы консультантом; утверждение подтверждено пользователем 25.10.2026.</x:v>
      </x:c>
      <x:c r="Z103" s="6" t="str">
        <x:v>G-1a5309a3a612fa</x:v>
      </x:c>
      <x:c r="AA103" s="6" t="str">
        <x:v>eval</x:v>
      </x:c>
      <x:c r="AB103" s="6" t="str">
        <x:v>synthetic_from_manual</x:v>
      </x:c>
    </x:row>
    <x:row r="104" ht="115" customHeight="1">
      <x:c r="A104" s="6" t="str">
        <x:v>H0038</x:v>
      </x:c>
      <x:c r="B104" s="6" t="str">
        <x:v>synthetic_from_manual:MANUAL-3419</x:v>
      </x:c>
      <x:c r="C104" s="6" t="str">
        <x:v>{"history":[{"role":"user","text":"Не получается закончить работу с «Вес в паллетном листе»."},{"role":"assistant","text":"Что происходит при попытке?"}],"user_message":"В типовой базе «Вес в паллетном листе» работает, а у нас после доработки больше нет. Кто может проверить конфигурацию?"}</x:v>
      </x:c>
      <x:c r="D104" s="6" t="str">
        <x:v>{"product":"1С:УНФ 8. Полиграфия 2","version":"3.0.14.140","retrieval_state":"available","handoff_consent":false,"approval_basis":"user_confirmed_consultant_approval"}</x:v>
      </x:c>
      <x:c r="E104" s="6" t="str">
        <x:v>1С:УНФ 8. Полиграфия 2</x:v>
      </x:c>
      <x:c r="F104" s="6" t="str">
        <x:v>3.0.14.140</x:v>
      </x:c>
      <x:c r="G104" s="6" t="str">
        <x:v>not_reported</x:v>
      </x:c>
      <x:c r="H104" s="6" t="str">
        <x:v>default</x:v>
      </x:c>
      <x:c r="I104" s="6" t="str">
        <x:v>Применимость источников и эталона к 1С:УНФ 8. Полиграфия 2, релиз 3.0.14.140, подтверждена консультантом со слов пользователя.</x:v>
      </x:c>
      <x:c r="J104" s="13" t="str">
        <x:v>1</x:v>
      </x:c>
      <x:c r="K104" s="13" t="str">
        <x:v>5</x:v>
      </x:c>
      <x:c r="L104" s="7" t="b">
        <x:v>0</x:v>
      </x:c>
      <x:c r="M104" s="6" t="str">
        <x:v>diagnosis_required</x:v>
      </x:c>
      <x:c r="N104" s="6" t="str">
        <x:v>[]</x:v>
      </x:c>
      <x:c r="O104" s="7" t="b">
        <x:v>0</x:v>
      </x:c>
      <x:c r="P104" s="6" t="str">
        <x:v>K6</x:v>
      </x:c>
      <x:c r="Q10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04" s="6" t="str">
        <x:v>["chapter_11"]</x:v>
      </x:c>
      <x:c r="S104" s="6" t="str">
        <x:v>offer_handoff</x:v>
      </x:c>
      <x:c r="T104" s="6" t="str">
        <x:v>["Сообщить об отсутствии подтвержденного решения.","Предложить передачу консультанту."]</x:v>
      </x:c>
      <x:c r="U104" s="6" t="str">
        <x:v>["Еще один диагностический вопрос.","Выдуманная причина или правка рабочей базы.","Сообщение о созданной заявке без подтверждения."]</x:v>
      </x:c>
      <x:c r="V104" s="6" t="str">
        <x:v>[{"source_file":"/Users/elisavetagaponova/Downloads/1С УНФ 8  Полиграфия 2 для 3.0.doc","section":"Глава 11","extracted_text_line":3419,"excerpt":"• Вес, кг – значение реквизита рассчитывается автоматически после заполнения полей Ширина, мм, Длина (м), Плотность (гр/м2).","approval_basis":"user_confirmed_consultant_approval"},{"corpus_check":"Руководство не содержит состояния клиентской базы, кода расширения или журнала ошибки.","approval_basis":"user_confirmed_consultant_approval"}]</x:v>
      </x:c>
      <x:c r="W104" s="6" t="str">
        <x:v>["Предложена передача; нет дальнейшей диагностики и необоснованного решения."]</x:v>
      </x:c>
      <x:c r="X104" s="6" t="str">
        <x:v>approved</x:v>
      </x:c>
      <x:c r="Y104" s="6" t="str">
        <x:v>Карточка и применимость источников согласованы консультантом; утверждение подтверждено пользователем 25.10.2026.</x:v>
      </x:c>
      <x:c r="Z104" s="6" t="str">
        <x:v>G-9422c38569e000</x:v>
      </x:c>
      <x:c r="AA104" s="6" t="str">
        <x:v>eval</x:v>
      </x:c>
      <x:c r="AB104" s="6" t="str">
        <x:v>synthetic_from_manual</x:v>
      </x:c>
    </x:row>
    <x:row r="105" ht="115" customHeight="1">
      <x:c r="A105" s="6" t="str">
        <x:v>H0040</x:v>
      </x:c>
      <x:c r="B105" s="6" t="str">
        <x:v>synthetic_from_manual:MANUAL-2467</x:v>
      </x:c>
      <x:c r="C105" s="6" t="str">
        <x:v>{"history":[{"role":"user","text":"Не получается закончить работу с «Материалы к операции»."},{"role":"assistant","text":"Что происходит при попытке?"}],"user_message":"В типовой базе «Материалы к операции» работает, а у нас после доработки больше нет. Кто может проверить конфигурацию?"}</x:v>
      </x:c>
      <x:c r="D105" s="6" t="str">
        <x:v>{"product":"1С:УНФ 8. Полиграфия 2","version":"3.0.14.140","retrieval_state":"available","handoff_consent":false,"approval_basis":"user_confirmed_consultant_approval"}</x:v>
      </x:c>
      <x:c r="E105" s="6" t="str">
        <x:v>1С:УНФ 8. Полиграфия 2</x:v>
      </x:c>
      <x:c r="F105" s="6" t="str">
        <x:v>3.0.14.140</x:v>
      </x:c>
      <x:c r="G105" s="6" t="str">
        <x:v>not_reported</x:v>
      </x:c>
      <x:c r="H105" s="6" t="str">
        <x:v>default</x:v>
      </x:c>
      <x:c r="I105" s="6" t="str">
        <x:v>Применимость источников и эталона к 1С:УНФ 8. Полиграфия 2, релиз 3.0.14.140, подтверждена консультантом со слов пользователя.</x:v>
      </x:c>
      <x:c r="J105" s="13" t="str">
        <x:v>1</x:v>
      </x:c>
      <x:c r="K105" s="13" t="str">
        <x:v>5</x:v>
      </x:c>
      <x:c r="L105" s="7" t="b">
        <x:v>0</x:v>
      </x:c>
      <x:c r="M105" s="6" t="str">
        <x:v>diagnosis_required</x:v>
      </x:c>
      <x:c r="N105" s="6" t="str">
        <x:v>[]</x:v>
      </x:c>
      <x:c r="O105" s="7" t="b">
        <x:v>0</x:v>
      </x:c>
      <x:c r="P105" s="6" t="str">
        <x:v>K6</x:v>
      </x:c>
      <x:c r="Q105"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05" s="6" t="str">
        <x:v>["chapter_6"]</x:v>
      </x:c>
      <x:c r="S105" s="6" t="str">
        <x:v>offer_handoff</x:v>
      </x:c>
      <x:c r="T105" s="6" t="str">
        <x:v>["Сообщить об отсутствии подтвержденного решения.","Предложить передачу консультанту."]</x:v>
      </x:c>
      <x:c r="U105" s="6" t="str">
        <x:v>["Еще один диагностический вопрос.","Выдуманная причина или правка рабочей базы.","Сообщение о созданной заявке без подтверждения."]</x:v>
      </x:c>
      <x:c r="V105" s="6" t="str">
        <x:v>[{"source_file":"/Users/elisavetagaponova/Downloads/1С УНФ 8  Полиграфия 2 для 3.0.doc","section":"Глава 6","extracted_text_line":2467,"excerpt":"Часто в полиграфическом производстве при использовании определенной операции необходимо автоматически рассчитывать нужное количество какого-либо материала. Например, при ламинировании идет расход пленки. Для организации такого расчета используется документ \"Нормирование материалов к операции\".","approval_basis":"user_confirmed_consultant_approval"},{"corpus_check":"Руководство не содержит состояния клиентской базы, кода расширения или журнала ошибки.","approval_basis":"user_confirmed_consultant_approval"}]</x:v>
      </x:c>
      <x:c r="W105" s="6" t="str">
        <x:v>["Предложена передача; нет дальнейшей диагностики и необоснованного решения."]</x:v>
      </x:c>
      <x:c r="X105" s="6" t="str">
        <x:v>approved</x:v>
      </x:c>
      <x:c r="Y105" s="6" t="str">
        <x:v>Карточка и применимость источников согласованы консультантом; утверждение подтверждено пользователем 25.10.2026.</x:v>
      </x:c>
      <x:c r="Z105" s="6" t="str">
        <x:v>G-5ffbc178fd42ae</x:v>
      </x:c>
      <x:c r="AA105" s="6" t="str">
        <x:v>eval</x:v>
      </x:c>
      <x:c r="AB105" s="6" t="str">
        <x:v>synthetic_from_manual</x:v>
      </x:c>
    </x:row>
    <x:row r="106" ht="115" customHeight="1">
      <x:c r="A106" s="6" t="str">
        <x:v>H0042</x:v>
      </x:c>
      <x:c r="B106" s="6" t="str">
        <x:v>synthetic_from_manual:MANUAL-0739</x:v>
      </x:c>
      <x:c r="C106" s="6" t="str">
        <x:v>{"history":[{"role":"user","text":"Не получается закончить работу с «Пантоны»."},{"role":"assistant","text":"Что происходит при попытке?"}],"user_message":"В одном филиале «Пантоны» работает, в другом нет. Можем передать специалисту копию базы для сравнения?"}</x:v>
      </x:c>
      <x:c r="D106" s="6" t="str">
        <x:v>{"product":"1С:УНФ 8. Полиграфия 2","version":"3.0.14.140","retrieval_state":"available","handoff_consent":false,"approval_basis":"user_confirmed_consultant_approval"}</x:v>
      </x:c>
      <x:c r="E106" s="6" t="str">
        <x:v>1С:УНФ 8. Полиграфия 2</x:v>
      </x:c>
      <x:c r="F106" s="6" t="str">
        <x:v>3.0.14.140</x:v>
      </x:c>
      <x:c r="G106" s="6" t="str">
        <x:v>not_reported</x:v>
      </x:c>
      <x:c r="H106" s="6" t="str">
        <x:v>default</x:v>
      </x:c>
      <x:c r="I106" s="6" t="str">
        <x:v>Применимость источников и эталона к 1С:УНФ 8. Полиграфия 2, релиз 3.0.14.140, подтверждена консультантом со слов пользователя.</x:v>
      </x:c>
      <x:c r="J106" s="13" t="str">
        <x:v>1</x:v>
      </x:c>
      <x:c r="K106" s="13" t="str">
        <x:v>5</x:v>
      </x:c>
      <x:c r="L106" s="7" t="b">
        <x:v>0</x:v>
      </x:c>
      <x:c r="M106" s="6" t="str">
        <x:v>diagnosis_required</x:v>
      </x:c>
      <x:c r="N106" s="6" t="str">
        <x:v>[]</x:v>
      </x:c>
      <x:c r="O106" s="7" t="b">
        <x:v>0</x:v>
      </x:c>
      <x:c r="P106" s="6" t="str">
        <x:v>K6</x:v>
      </x:c>
      <x:c r="Q10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06" s="6" t="str">
        <x:v>["chapter_1"]</x:v>
      </x:c>
      <x:c r="S106" s="6" t="str">
        <x:v>offer_handoff</x:v>
      </x:c>
      <x:c r="T106" s="6" t="str">
        <x:v>["Сообщить об отсутствии подтвержденного решения.","Предложить передачу консультанту."]</x:v>
      </x:c>
      <x:c r="U106" s="6" t="str">
        <x:v>["Еще один диагностический вопрос.","Выдуманная причина или правка рабочей базы.","Сообщение о созданной заявке без подтверждения."]</x:v>
      </x:c>
      <x:c r="V106" s="6" t="str">
        <x:v>[{"source_file":"/Users/elisavetagaponova/Downloads/1С УНФ 8  Полиграфия 2 для 3.0.doc","section":"1.8","extracted_text_line":739,"excerpt":"Информация о пантонах хранится в справочнике Пантоны. Справочник вызывается из раздела \"Полиграфия – НСИ полиграфии – Все справочники\".","approval_basis":"user_confirmed_consultant_approval"},{"corpus_check":"Руководство не содержит состояния клиентской базы, кода расширения или журнала ошибки.","approval_basis":"user_confirmed_consultant_approval"}]</x:v>
      </x:c>
      <x:c r="W106" s="6" t="str">
        <x:v>["Предложена передача; нет дальнейшей диагностики и необоснованного решения."]</x:v>
      </x:c>
      <x:c r="X106" s="6" t="str">
        <x:v>approved</x:v>
      </x:c>
      <x:c r="Y106" s="6" t="str">
        <x:v>Карточка и применимость источников согласованы консультантом; утверждение подтверждено пользователем 25.10.2026.</x:v>
      </x:c>
      <x:c r="Z106" s="6" t="str">
        <x:v>G-212fed450429b8</x:v>
      </x:c>
      <x:c r="AA106" s="6" t="str">
        <x:v>eval</x:v>
      </x:c>
      <x:c r="AB106" s="6" t="str">
        <x:v>synthetic_from_manual</x:v>
      </x:c>
    </x:row>
    <x:row r="107" ht="115" customHeight="1">
      <x:c r="A107" s="6" t="str">
        <x:v>H0044</x:v>
      </x:c>
      <x:c r="B107" s="6" t="str">
        <x:v>synthetic_contract_boundary</x:v>
      </x:c>
      <x:c r="C107" s="6" t="str">
        <x:v>{"history":[],"user_message":"Как автоматически собирать комментарии из соцсетей?"}</x:v>
      </x:c>
      <x:c r="D107" s="6" t="str">
        <x:v>{"product":"1С:УНФ 8. Полиграфия 2","version":"3.0.14.140","retrieval_state":"available","handoff_consent":false,"approval_basis":"user_confirmed_consultant_approval"}</x:v>
      </x:c>
      <x:c r="E107" s="6" t="str">
        <x:v>1С:УНФ 8. Полиграфия 2</x:v>
      </x:c>
      <x:c r="F107" s="6" t="str">
        <x:v>3.0.14.140</x:v>
      </x:c>
      <x:c r="G107" s="6" t="str">
        <x:v>not_reported</x:v>
      </x:c>
      <x:c r="H107" s="6" t="str">
        <x:v>default</x:v>
      </x:c>
      <x:c r="I107" s="6" t="str">
        <x:v>Применимость источников и эталона к 1С:УНФ 8. Полиграфия 2, релиз 3.0.14.140, подтверждена консультантом со слов пользователя.</x:v>
      </x:c>
      <x:c r="J107" s="13" t="str">
        <x:v>0</x:v>
      </x:c>
      <x:c r="K107" s="13" t="str">
        <x:v>5</x:v>
      </x:c>
      <x:c r="L107" s="7" t="b">
        <x:v>0</x:v>
      </x:c>
      <x:c r="M107" s="6" t="str">
        <x:v>not_applicable</x:v>
      </x:c>
      <x:c r="N107" s="6" t="str">
        <x:v>[]</x:v>
      </x:c>
      <x:c r="O107" s="6" t="str">
        <x:v>not_applicable</x:v>
      </x:c>
      <x:c r="P107" s="6" t="str">
        <x:v>K1</x:v>
      </x:c>
      <x:c r="Q107" s="6" t="str">
        <x:v>Запрошенная задача явно не относится к работе 1С:Полиграфии и разрешенной документации.</x:v>
      </x:c>
      <x:c r="R107" s="6" t="str">
        <x:v>["out_of_domain"]</x:v>
      </x:c>
      <x:c r="S107" s="6" t="str">
        <x:v>refuse</x:v>
      </x:c>
      <x:c r="T107" s="6" t="str">
        <x:v>["Вежливый отказ и краткое обозначение предметной области бота."]</x:v>
      </x:c>
      <x:c r="U107" s="6" t="str">
        <x:v>["Выполнение посторонней задачи.","Выдуманная ссылка на руководство."]</x:v>
      </x:c>
      <x:c r="V107" s="6" t="str">
        <x:v>[{"source_file":"/Users/elisavetagaponova/Downloads/annotation_guide_classes_v1.md","section":"§5 K1","approval_basis":"user_confirmed_consultant_approval"},{"source_file":"design_doc_kt2.md","section":"§1.3, C05","approval_basis":"user_confirmed_consultant_approval"}]</x:v>
      </x:c>
      <x:c r="W107" s="6" t="str">
        <x:v>["Посторонняя задача не выполняется; отказ вежлив и по-русски."]</x:v>
      </x:c>
      <x:c r="X107" s="6" t="str">
        <x:v>approved</x:v>
      </x:c>
      <x:c r="Y107" s="6" t="str">
        <x:v>Карточка и применимость источников согласованы консультантом; утверждение подтверждено пользователем 25.10.2026.</x:v>
      </x:c>
      <x:c r="Z107" s="6" t="str">
        <x:v>G-1aa82c7db72827</x:v>
      </x:c>
      <x:c r="AA107" s="6" t="str">
        <x:v>eval</x:v>
      </x:c>
      <x:c r="AB107" s="6" t="str">
        <x:v>synthetic_contract_boundary</x:v>
      </x:c>
    </x:row>
    <x:row r="108" ht="115" customHeight="1">
      <x:c r="A108" s="6" t="str">
        <x:v>H0048</x:v>
      </x:c>
      <x:c r="B108" s="6" t="str">
        <x:v>synthetic_contract_boundary</x:v>
      </x:c>
      <x:c r="C108" s="6" t="str">
        <x:v>{"history":[],"user_message":"Что взять с собой в однодневный поход?"}</x:v>
      </x:c>
      <x:c r="D108" s="6" t="str">
        <x:v>{"product":"1С:УНФ 8. Полиграфия 2","version":"3.0.14.140","retrieval_state":"available","handoff_consent":false,"approval_basis":"user_confirmed_consultant_approval"}</x:v>
      </x:c>
      <x:c r="E108" s="6" t="str">
        <x:v>1С:УНФ 8. Полиграфия 2</x:v>
      </x:c>
      <x:c r="F108" s="6" t="str">
        <x:v>3.0.14.140</x:v>
      </x:c>
      <x:c r="G108" s="6" t="str">
        <x:v>not_reported</x:v>
      </x:c>
      <x:c r="H108" s="6" t="str">
        <x:v>default</x:v>
      </x:c>
      <x:c r="I108" s="6" t="str">
        <x:v>Применимость источников и эталона к 1С:УНФ 8. Полиграфия 2, релиз 3.0.14.140, подтверждена консультантом со слов пользователя.</x:v>
      </x:c>
      <x:c r="J108" s="13" t="str">
        <x:v>0</x:v>
      </x:c>
      <x:c r="K108" s="13" t="str">
        <x:v>5</x:v>
      </x:c>
      <x:c r="L108" s="7" t="b">
        <x:v>0</x:v>
      </x:c>
      <x:c r="M108" s="6" t="str">
        <x:v>not_applicable</x:v>
      </x:c>
      <x:c r="N108" s="6" t="str">
        <x:v>[]</x:v>
      </x:c>
      <x:c r="O108" s="6" t="str">
        <x:v>not_applicable</x:v>
      </x:c>
      <x:c r="P108" s="6" t="str">
        <x:v>K1</x:v>
      </x:c>
      <x:c r="Q108" s="6" t="str">
        <x:v>Запрошенная задача явно не относится к работе 1С:Полиграфии и разрешенной документации.</x:v>
      </x:c>
      <x:c r="R108" s="6" t="str">
        <x:v>["out_of_domain"]</x:v>
      </x:c>
      <x:c r="S108" s="6" t="str">
        <x:v>refuse</x:v>
      </x:c>
      <x:c r="T108" s="6" t="str">
        <x:v>["Вежливый отказ и краткое обозначение предметной области бота."]</x:v>
      </x:c>
      <x:c r="U108" s="6" t="str">
        <x:v>["Выполнение посторонней задачи.","Выдуманная ссылка на руководство."]</x:v>
      </x:c>
      <x:c r="V108" s="6" t="str">
        <x:v>[{"source_file":"/Users/elisavetagaponova/Downloads/annotation_guide_classes_v1.md","section":"§5 K1","approval_basis":"user_confirmed_consultant_approval"},{"source_file":"design_doc_kt2.md","section":"§1.3, C05","approval_basis":"user_confirmed_consultant_approval"}]</x:v>
      </x:c>
      <x:c r="W108" s="6" t="str">
        <x:v>["Посторонняя задача не выполняется; отказ вежлив и по-русски."]</x:v>
      </x:c>
      <x:c r="X108" s="6" t="str">
        <x:v>approved</x:v>
      </x:c>
      <x:c r="Y108" s="6" t="str">
        <x:v>Карточка и применимость источников согласованы консультантом; утверждение подтверждено пользователем 25.10.2026.</x:v>
      </x:c>
      <x:c r="Z108" s="6" t="str">
        <x:v>G-33cfc130abfdbb</x:v>
      </x:c>
      <x:c r="AA108" s="6" t="str">
        <x:v>eval</x:v>
      </x:c>
      <x:c r="AB108" s="6" t="str">
        <x:v>synthetic_contract_boundary</x:v>
      </x:c>
    </x:row>
    <x:row r="109" ht="115" customHeight="1">
      <x:c r="A109" s="6" t="str">
        <x:v>H0051</x:v>
      </x:c>
      <x:c r="B109" s="6" t="str">
        <x:v>synthetic_contract_boundary</x:v>
      </x:c>
      <x:c r="C109" s="6" t="str">
        <x:v>{"history":[],"user_message":"Какая страховка нужна для поездки за границу?"}</x:v>
      </x:c>
      <x:c r="D109" s="6" t="str">
        <x:v>{"product":"1С:УНФ 8. Полиграфия 2","version":"3.0.14.140","retrieval_state":"available","handoff_consent":false,"approval_basis":"user_confirmed_consultant_approval"}</x:v>
      </x:c>
      <x:c r="E109" s="6" t="str">
        <x:v>1С:УНФ 8. Полиграфия 2</x:v>
      </x:c>
      <x:c r="F109" s="6" t="str">
        <x:v>3.0.14.140</x:v>
      </x:c>
      <x:c r="G109" s="6" t="str">
        <x:v>not_reported</x:v>
      </x:c>
      <x:c r="H109" s="6" t="str">
        <x:v>default</x:v>
      </x:c>
      <x:c r="I109" s="6" t="str">
        <x:v>Применимость источников и эталона к 1С:УНФ 8. Полиграфия 2, релиз 3.0.14.140, подтверждена консультантом со слов пользователя.</x:v>
      </x:c>
      <x:c r="J109" s="13" t="str">
        <x:v>0</x:v>
      </x:c>
      <x:c r="K109" s="13" t="str">
        <x:v>5</x:v>
      </x:c>
      <x:c r="L109" s="7" t="b">
        <x:v>0</x:v>
      </x:c>
      <x:c r="M109" s="6" t="str">
        <x:v>not_applicable</x:v>
      </x:c>
      <x:c r="N109" s="6" t="str">
        <x:v>[]</x:v>
      </x:c>
      <x:c r="O109" s="6" t="str">
        <x:v>not_applicable</x:v>
      </x:c>
      <x:c r="P109" s="6" t="str">
        <x:v>K1</x:v>
      </x:c>
      <x:c r="Q109" s="6" t="str">
        <x:v>Запрошенная задача явно не относится к работе 1С:Полиграфии и разрешенной документации.</x:v>
      </x:c>
      <x:c r="R109" s="6" t="str">
        <x:v>["out_of_domain"]</x:v>
      </x:c>
      <x:c r="S109" s="6" t="str">
        <x:v>refuse</x:v>
      </x:c>
      <x:c r="T109" s="6" t="str">
        <x:v>["Вежливый отказ и краткое обозначение предметной области бота."]</x:v>
      </x:c>
      <x:c r="U109" s="6" t="str">
        <x:v>["Выполнение посторонней задачи.","Выдуманная ссылка на руководство."]</x:v>
      </x:c>
      <x:c r="V109" s="6" t="str">
        <x:v>[{"source_file":"/Users/elisavetagaponova/Downloads/annotation_guide_classes_v1.md","section":"§5 K1","approval_basis":"user_confirmed_consultant_approval"},{"source_file":"design_doc_kt2.md","section":"§1.3, C05","approval_basis":"user_confirmed_consultant_approval"}]</x:v>
      </x:c>
      <x:c r="W109" s="6" t="str">
        <x:v>["Посторонняя задача не выполняется; отказ вежлив и по-русски."]</x:v>
      </x:c>
      <x:c r="X109" s="6" t="str">
        <x:v>approved</x:v>
      </x:c>
      <x:c r="Y109" s="6" t="str">
        <x:v>Карточка и применимость источников согласованы консультантом; утверждение подтверждено пользователем 25.10.2026.</x:v>
      </x:c>
      <x:c r="Z109" s="6" t="str">
        <x:v>G-e9c50fe6718da4</x:v>
      </x:c>
      <x:c r="AA109" s="6" t="str">
        <x:v>eval</x:v>
      </x:c>
      <x:c r="AB109" s="6" t="str">
        <x:v>synthetic_contract_boundary</x:v>
      </x:c>
    </x:row>
    <x:row r="110" ht="115" customHeight="1">
      <x:c r="A110" s="6" t="str">
        <x:v>H0053</x:v>
      </x:c>
      <x:c r="B110" s="6" t="str">
        <x:v>synthetic_contract_boundary</x:v>
      </x:c>
      <x:c r="C110" s="6" t="str">
        <x:v>{"history":[],"user_message":"Помоги подготовить вопросы для исторической викторины."}</x:v>
      </x:c>
      <x:c r="D110" s="6" t="str">
        <x:v>{"product":"1С:УНФ 8. Полиграфия 2","version":"3.0.14.140","retrieval_state":"available","handoff_consent":false,"approval_basis":"user_confirmed_consultant_approval"}</x:v>
      </x:c>
      <x:c r="E110" s="6" t="str">
        <x:v>1С:УНФ 8. Полиграфия 2</x:v>
      </x:c>
      <x:c r="F110" s="6" t="str">
        <x:v>3.0.14.140</x:v>
      </x:c>
      <x:c r="G110" s="6" t="str">
        <x:v>not_reported</x:v>
      </x:c>
      <x:c r="H110" s="6" t="str">
        <x:v>default</x:v>
      </x:c>
      <x:c r="I110" s="6" t="str">
        <x:v>Применимость источников и эталона к 1С:УНФ 8. Полиграфия 2, релиз 3.0.14.140, подтверждена консультантом со слов пользователя.</x:v>
      </x:c>
      <x:c r="J110" s="13" t="str">
        <x:v>0</x:v>
      </x:c>
      <x:c r="K110" s="13" t="str">
        <x:v>5</x:v>
      </x:c>
      <x:c r="L110" s="7" t="b">
        <x:v>0</x:v>
      </x:c>
      <x:c r="M110" s="6" t="str">
        <x:v>not_applicable</x:v>
      </x:c>
      <x:c r="N110" s="6" t="str">
        <x:v>[]</x:v>
      </x:c>
      <x:c r="O110" s="6" t="str">
        <x:v>not_applicable</x:v>
      </x:c>
      <x:c r="P110" s="6" t="str">
        <x:v>K1</x:v>
      </x:c>
      <x:c r="Q110" s="6" t="str">
        <x:v>Запрошенная задача явно не относится к работе 1С:Полиграфии и разрешенной документации.</x:v>
      </x:c>
      <x:c r="R110" s="6" t="str">
        <x:v>["out_of_domain"]</x:v>
      </x:c>
      <x:c r="S110" s="6" t="str">
        <x:v>refuse</x:v>
      </x:c>
      <x:c r="T110" s="6" t="str">
        <x:v>["Вежливый отказ и краткое обозначение предметной области бота."]</x:v>
      </x:c>
      <x:c r="U110" s="6" t="str">
        <x:v>["Выполнение посторонней задачи.","Выдуманная ссылка на руководство."]</x:v>
      </x:c>
      <x:c r="V110" s="6" t="str">
        <x:v>[{"source_file":"/Users/elisavetagaponova/Downloads/annotation_guide_classes_v1.md","section":"§5 K1","approval_basis":"user_confirmed_consultant_approval"},{"source_file":"design_doc_kt2.md","section":"§1.3, C05","approval_basis":"user_confirmed_consultant_approval"}]</x:v>
      </x:c>
      <x:c r="W110" s="6" t="str">
        <x:v>["Посторонняя задача не выполняется; отказ вежлив и по-русски."]</x:v>
      </x:c>
      <x:c r="X110" s="6" t="str">
        <x:v>approved</x:v>
      </x:c>
      <x:c r="Y110" s="6" t="str">
        <x:v>Карточка и применимость источников согласованы консультантом; утверждение подтверждено пользователем 25.10.2026.</x:v>
      </x:c>
      <x:c r="Z110" s="6" t="str">
        <x:v>G-a8eeafbdba486e</x:v>
      </x:c>
      <x:c r="AA110" s="6" t="str">
        <x:v>eval</x:v>
      </x:c>
      <x:c r="AB110" s="6" t="str">
        <x:v>synthetic_contract_boundary</x:v>
      </x:c>
    </x:row>
    <x:row r="111" ht="115" customHeight="1">
      <x:c r="A111" s="6" t="str">
        <x:v>H0055</x:v>
      </x:c>
      <x:c r="B111" s="6" t="str">
        <x:v>synthetic_contract_boundary</x:v>
      </x:c>
      <x:c r="C111" s="6" t="str">
        <x:v>{"history":[],"user_message":"Подбери маршрут похода выходного дня рядом с Москвой."}</x:v>
      </x:c>
      <x:c r="D111" s="6" t="str">
        <x:v>{"product":"1С:УНФ 8. Полиграфия 2","version":"3.0.14.140","retrieval_state":"available","handoff_consent":false,"approval_basis":"user_confirmed_consultant_approval"}</x:v>
      </x:c>
      <x:c r="E111" s="6" t="str">
        <x:v>1С:УНФ 8. Полиграфия 2</x:v>
      </x:c>
      <x:c r="F111" s="6" t="str">
        <x:v>3.0.14.140</x:v>
      </x:c>
      <x:c r="G111" s="6" t="str">
        <x:v>not_reported</x:v>
      </x:c>
      <x:c r="H111" s="6" t="str">
        <x:v>default</x:v>
      </x:c>
      <x:c r="I111" s="6" t="str">
        <x:v>Применимость источников и эталона к 1С:УНФ 8. Полиграфия 2, релиз 3.0.14.140, подтверждена консультантом со слов пользователя.</x:v>
      </x:c>
      <x:c r="J111" s="13" t="str">
        <x:v>0</x:v>
      </x:c>
      <x:c r="K111" s="13" t="str">
        <x:v>5</x:v>
      </x:c>
      <x:c r="L111" s="7" t="b">
        <x:v>0</x:v>
      </x:c>
      <x:c r="M111" s="6" t="str">
        <x:v>not_applicable</x:v>
      </x:c>
      <x:c r="N111" s="6" t="str">
        <x:v>[]</x:v>
      </x:c>
      <x:c r="O111" s="6" t="str">
        <x:v>not_applicable</x:v>
      </x:c>
      <x:c r="P111" s="6" t="str">
        <x:v>K1</x:v>
      </x:c>
      <x:c r="Q111" s="6" t="str">
        <x:v>Запрошенная задача явно не относится к работе 1С:Полиграфии и разрешенной документации.</x:v>
      </x:c>
      <x:c r="R111" s="6" t="str">
        <x:v>["out_of_domain"]</x:v>
      </x:c>
      <x:c r="S111" s="6" t="str">
        <x:v>refuse</x:v>
      </x:c>
      <x:c r="T111" s="6" t="str">
        <x:v>["Вежливый отказ и краткое обозначение предметной области бота."]</x:v>
      </x:c>
      <x:c r="U111" s="6" t="str">
        <x:v>["Выполнение посторонней задачи.","Выдуманная ссылка на руководство."]</x:v>
      </x:c>
      <x:c r="V111" s="6" t="str">
        <x:v>[{"source_file":"/Users/elisavetagaponova/Downloads/annotation_guide_classes_v1.md","section":"§5 K1","approval_basis":"user_confirmed_consultant_approval"},{"source_file":"design_doc_kt2.md","section":"§1.3, C05","approval_basis":"user_confirmed_consultant_approval"}]</x:v>
      </x:c>
      <x:c r="W111" s="6" t="str">
        <x:v>["Посторонняя задача не выполняется; отказ вежлив и по-русски."]</x:v>
      </x:c>
      <x:c r="X111" s="6" t="str">
        <x:v>approved</x:v>
      </x:c>
      <x:c r="Y111" s="6" t="str">
        <x:v>Карточка и применимость источников согласованы консультантом; утверждение подтверждено пользователем 25.10.2026.</x:v>
      </x:c>
      <x:c r="Z111" s="6" t="str">
        <x:v>G-68f659cd499128</x:v>
      </x:c>
      <x:c r="AA111" s="6" t="str">
        <x:v>eval</x:v>
      </x:c>
      <x:c r="AB111" s="6" t="str">
        <x:v>synthetic_contract_boundary</x:v>
      </x:c>
    </x:row>
    <x:row r="112" ht="115" customHeight="1">
      <x:c r="A112" s="6" t="str">
        <x:v>H0058</x:v>
      </x:c>
      <x:c r="B112" s="6" t="str">
        <x:v>synthetic_from_manual:MANUAL-3648</x:v>
      </x:c>
      <x:c r="C112" s="6" t="str">
        <x:v>{"history":[{"role":"user","text":"Не получается закончить работу с «Задержка между операциями»."},{"role":"assistant","text":"Что происходит при попытке?"}],"user_message":"После установки нашего расширения «Задержка между операциями» выдает ошибку только в рабочей базе. Похоже, надо смотреть код и данные у нас."}</x:v>
      </x:c>
      <x:c r="D112" s="6" t="str">
        <x:v>{"product":"1С:УНФ 8. Полиграфия 2","version":"3.0.14.140","retrieval_state":"available","handoff_consent":false,"approval_basis":"user_confirmed_consultant_approval"}</x:v>
      </x:c>
      <x:c r="E112" s="6" t="str">
        <x:v>1С:УНФ 8. Полиграфия 2</x:v>
      </x:c>
      <x:c r="F112" s="6" t="str">
        <x:v>3.0.14.140</x:v>
      </x:c>
      <x:c r="G112" s="6" t="str">
        <x:v>not_reported</x:v>
      </x:c>
      <x:c r="H112" s="6" t="str">
        <x:v>default</x:v>
      </x:c>
      <x:c r="I112" s="6" t="str">
        <x:v>Применимость источников и эталона к 1С:УНФ 8. Полиграфия 2, релиз 3.0.14.140, подтверждена консультантом со слов пользователя.</x:v>
      </x:c>
      <x:c r="J112" s="13" t="str">
        <x:v>1</x:v>
      </x:c>
      <x:c r="K112" s="13" t="str">
        <x:v>5</x:v>
      </x:c>
      <x:c r="L112" s="7" t="b">
        <x:v>0</x:v>
      </x:c>
      <x:c r="M112" s="6" t="str">
        <x:v>diagnosis_required</x:v>
      </x:c>
      <x:c r="N112" s="6" t="str">
        <x:v>[]</x:v>
      </x:c>
      <x:c r="O112" s="7" t="b">
        <x:v>0</x:v>
      </x:c>
      <x:c r="P112" s="6" t="str">
        <x:v>K6</x:v>
      </x:c>
      <x:c r="Q11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12" s="6" t="str">
        <x:v>["chapter_12"]</x:v>
      </x:c>
      <x:c r="S112" s="6" t="str">
        <x:v>offer_handoff</x:v>
      </x:c>
      <x:c r="T112" s="6" t="str">
        <x:v>["Сообщить об отсутствии подтвержденного решения.","Предложить передачу консультанту."]</x:v>
      </x:c>
      <x:c r="U112" s="6" t="str">
        <x:v>["Еще один диагностический вопрос.","Выдуманная причина или правка рабочей базы.","Сообщение о созданной заявке без подтверждения."]</x:v>
      </x:c>
      <x:c r="V112" s="6" t="str">
        <x:v>[{"source_file":"/Users/elisavetagaponova/Downloads/1С УНФ 8  Полиграфия 2 для 3.0.doc","section":"Глава 12","extracted_text_line":3648,"excerpt":"Задержка времени между выполнением операций заказа, указывается в регистре сведений \"Задержка времени выполнения между разными операциями\". Запись из регистра учитывается при планировании (документ \"План производства полиграфии\"), при нажатии на кнопку \"Выполнить планирование\", когда программа определяет плановое время начала (колонка \"Дата начала\") выполнения следующей операции, исходя из графика работы оборудования (колонка \"Смена\") и данных регистра \"Задержка времени выполнения между разными операциями\".","approval_basis":"user_confirmed_consultant_approval"},{"corpus_check":"Руководство не содержит состояния клиентской базы, кода расширения или журнала ошибки.","approval_basis":"user_confirmed_consultant_approval"}]</x:v>
      </x:c>
      <x:c r="W112" s="6" t="str">
        <x:v>["Предложена передача; нет дальнейшей диагностики и необоснованного решения."]</x:v>
      </x:c>
      <x:c r="X112" s="6" t="str">
        <x:v>approved</x:v>
      </x:c>
      <x:c r="Y112" s="6" t="str">
        <x:v>Карточка и применимость источников согласованы консультантом; утверждение подтверждено пользователем 25.10.2026.</x:v>
      </x:c>
      <x:c r="Z112" s="6" t="str">
        <x:v>G-dbf4c88bebb040</x:v>
      </x:c>
      <x:c r="AA112" s="6" t="str">
        <x:v>eval</x:v>
      </x:c>
      <x:c r="AB112" s="6" t="str">
        <x:v>synthetic_from_manual</x:v>
      </x:c>
    </x:row>
    <x:row r="113" ht="115" customHeight="1">
      <x:c r="A113" s="6" t="str">
        <x:v>H0060</x:v>
      </x:c>
      <x:c r="B113" s="6" t="str">
        <x:v>synthetic_contract_boundary</x:v>
      </x:c>
      <x:c r="C113" s="6" t="str">
        <x:v>{"history":[],"user_message":"Напиши обзор новой видеоигры для блога."}</x:v>
      </x:c>
      <x:c r="D113" s="6" t="str">
        <x:v>{"product":"1С:УНФ 8. Полиграфия 2","version":"3.0.14.140","retrieval_state":"available","handoff_consent":false,"approval_basis":"user_confirmed_consultant_approval"}</x:v>
      </x:c>
      <x:c r="E113" s="6" t="str">
        <x:v>1С:УНФ 8. Полиграфия 2</x:v>
      </x:c>
      <x:c r="F113" s="6" t="str">
        <x:v>3.0.14.140</x:v>
      </x:c>
      <x:c r="G113" s="6" t="str">
        <x:v>not_reported</x:v>
      </x:c>
      <x:c r="H113" s="6" t="str">
        <x:v>default</x:v>
      </x:c>
      <x:c r="I113" s="6" t="str">
        <x:v>Применимость источников и эталона к 1С:УНФ 8. Полиграфия 2, релиз 3.0.14.140, подтверждена консультантом со слов пользователя.</x:v>
      </x:c>
      <x:c r="J113" s="13" t="str">
        <x:v>0</x:v>
      </x:c>
      <x:c r="K113" s="13" t="str">
        <x:v>5</x:v>
      </x:c>
      <x:c r="L113" s="7" t="b">
        <x:v>0</x:v>
      </x:c>
      <x:c r="M113" s="6" t="str">
        <x:v>not_applicable</x:v>
      </x:c>
      <x:c r="N113" s="6" t="str">
        <x:v>[]</x:v>
      </x:c>
      <x:c r="O113" s="6" t="str">
        <x:v>not_applicable</x:v>
      </x:c>
      <x:c r="P113" s="6" t="str">
        <x:v>K1</x:v>
      </x:c>
      <x:c r="Q113" s="6" t="str">
        <x:v>Запрошенная задача явно не относится к работе 1С:Полиграфии и разрешенной документации.</x:v>
      </x:c>
      <x:c r="R113" s="6" t="str">
        <x:v>["out_of_domain"]</x:v>
      </x:c>
      <x:c r="S113" s="6" t="str">
        <x:v>refuse</x:v>
      </x:c>
      <x:c r="T113" s="6" t="str">
        <x:v>["Вежливый отказ и краткое обозначение предметной области бота."]</x:v>
      </x:c>
      <x:c r="U113" s="6" t="str">
        <x:v>["Выполнение посторонней задачи.","Выдуманная ссылка на руководство."]</x:v>
      </x:c>
      <x:c r="V113" s="6" t="str">
        <x:v>[{"source_file":"/Users/elisavetagaponova/Downloads/annotation_guide_classes_v1.md","section":"§5 K1","approval_basis":"user_confirmed_consultant_approval"},{"source_file":"design_doc_kt2.md","section":"§1.3, C05","approval_basis":"user_confirmed_consultant_approval"}]</x:v>
      </x:c>
      <x:c r="W113" s="6" t="str">
        <x:v>["Посторонняя задача не выполняется; отказ вежлив и по-русски."]</x:v>
      </x:c>
      <x:c r="X113" s="6" t="str">
        <x:v>approved</x:v>
      </x:c>
      <x:c r="Y113" s="6" t="str">
        <x:v>Карточка и применимость источников согласованы консультантом; утверждение подтверждено пользователем 25.10.2026.</x:v>
      </x:c>
      <x:c r="Z113" s="6" t="str">
        <x:v>G-7aa668a52fc9ee</x:v>
      </x:c>
      <x:c r="AA113" s="6" t="str">
        <x:v>eval</x:v>
      </x:c>
      <x:c r="AB113" s="6" t="str">
        <x:v>synthetic_contract_boundary</x:v>
      </x:c>
    </x:row>
    <x:row r="114" ht="115" customHeight="1">
      <x:c r="A114" s="6" t="str">
        <x:v>H0061</x:v>
      </x:c>
      <x:c r="B114" s="6" t="str">
        <x:v>synthetic_contract_boundary</x:v>
      </x:c>
      <x:c r="C114" s="6" t="str">
        <x:v>{"history":[],"user_message":"Подскажи недорогой подарок коллеге на день рождения."}</x:v>
      </x:c>
      <x:c r="D114" s="6" t="str">
        <x:v>{"product":"1С:УНФ 8. Полиграфия 2","version":"3.0.14.140","retrieval_state":"available","handoff_consent":false,"approval_basis":"user_confirmed_consultant_approval"}</x:v>
      </x:c>
      <x:c r="E114" s="6" t="str">
        <x:v>1С:УНФ 8. Полиграфия 2</x:v>
      </x:c>
      <x:c r="F114" s="6" t="str">
        <x:v>3.0.14.140</x:v>
      </x:c>
      <x:c r="G114" s="6" t="str">
        <x:v>not_reported</x:v>
      </x:c>
      <x:c r="H114" s="6" t="str">
        <x:v>default</x:v>
      </x:c>
      <x:c r="I114" s="6" t="str">
        <x:v>Применимость источников и эталона к 1С:УНФ 8. Полиграфия 2, релиз 3.0.14.140, подтверждена консультантом со слов пользователя.</x:v>
      </x:c>
      <x:c r="J114" s="13" t="str">
        <x:v>0</x:v>
      </x:c>
      <x:c r="K114" s="13" t="str">
        <x:v>5</x:v>
      </x:c>
      <x:c r="L114" s="7" t="b">
        <x:v>0</x:v>
      </x:c>
      <x:c r="M114" s="6" t="str">
        <x:v>not_applicable</x:v>
      </x:c>
      <x:c r="N114" s="6" t="str">
        <x:v>[]</x:v>
      </x:c>
      <x:c r="O114" s="6" t="str">
        <x:v>not_applicable</x:v>
      </x:c>
      <x:c r="P114" s="6" t="str">
        <x:v>K1</x:v>
      </x:c>
      <x:c r="Q114" s="6" t="str">
        <x:v>Запрошенная задача явно не относится к работе 1С:Полиграфии и разрешенной документации.</x:v>
      </x:c>
      <x:c r="R114" s="6" t="str">
        <x:v>["out_of_domain"]</x:v>
      </x:c>
      <x:c r="S114" s="6" t="str">
        <x:v>refuse</x:v>
      </x:c>
      <x:c r="T114" s="6" t="str">
        <x:v>["Вежливый отказ и краткое обозначение предметной области бота."]</x:v>
      </x:c>
      <x:c r="U114" s="6" t="str">
        <x:v>["Выполнение посторонней задачи.","Выдуманная ссылка на руководство."]</x:v>
      </x:c>
      <x:c r="V114" s="6" t="str">
        <x:v>[{"source_file":"/Users/elisavetagaponova/Downloads/annotation_guide_classes_v1.md","section":"§5 K1","approval_basis":"user_confirmed_consultant_approval"},{"source_file":"design_doc_kt2.md","section":"§1.3, C05","approval_basis":"user_confirmed_consultant_approval"}]</x:v>
      </x:c>
      <x:c r="W114" s="6" t="str">
        <x:v>["Посторонняя задача не выполняется; отказ вежлив и по-русски."]</x:v>
      </x:c>
      <x:c r="X114" s="6" t="str">
        <x:v>approved</x:v>
      </x:c>
      <x:c r="Y114" s="6" t="str">
        <x:v>Карточка и применимость источников согласованы консультантом; утверждение подтверждено пользователем 25.10.2026.</x:v>
      </x:c>
      <x:c r="Z114" s="6" t="str">
        <x:v>G-3bbcd1186275d3</x:v>
      </x:c>
      <x:c r="AA114" s="6" t="str">
        <x:v>eval</x:v>
      </x:c>
      <x:c r="AB114" s="6" t="str">
        <x:v>synthetic_contract_boundary</x:v>
      </x:c>
    </x:row>
    <x:row r="115" ht="115" customHeight="1">
      <x:c r="A115" s="6" t="str">
        <x:v>H0062</x:v>
      </x:c>
      <x:c r="B115" s="6" t="str">
        <x:v>synthetic_contract_boundary</x:v>
      </x:c>
      <x:c r="C115" s="6" t="str">
        <x:v>{"history":[],"user_message":"Заполни за меня налоговую декларацию."}</x:v>
      </x:c>
      <x:c r="D115" s="6" t="str">
        <x:v>{"product":"1С:УНФ 8. Полиграфия 2","version":"3.0.14.140","retrieval_state":"available","handoff_consent":false,"approval_basis":"user_confirmed_consultant_approval"}</x:v>
      </x:c>
      <x:c r="E115" s="6" t="str">
        <x:v>1С:УНФ 8. Полиграфия 2</x:v>
      </x:c>
      <x:c r="F115" s="6" t="str">
        <x:v>3.0.14.140</x:v>
      </x:c>
      <x:c r="G115" s="6" t="str">
        <x:v>not_reported</x:v>
      </x:c>
      <x:c r="H115" s="6" t="str">
        <x:v>default</x:v>
      </x:c>
      <x:c r="I115" s="6" t="str">
        <x:v>Применимость источников и эталона к 1С:УНФ 8. Полиграфия 2, релиз 3.0.14.140, подтверждена консультантом со слов пользователя.</x:v>
      </x:c>
      <x:c r="J115" s="13" t="str">
        <x:v>0</x:v>
      </x:c>
      <x:c r="K115" s="13" t="str">
        <x:v>5</x:v>
      </x:c>
      <x:c r="L115" s="7" t="b">
        <x:v>0</x:v>
      </x:c>
      <x:c r="M115" s="6" t="str">
        <x:v>not_applicable</x:v>
      </x:c>
      <x:c r="N115" s="6" t="str">
        <x:v>[]</x:v>
      </x:c>
      <x:c r="O115" s="6" t="str">
        <x:v>not_applicable</x:v>
      </x:c>
      <x:c r="P115" s="6" t="str">
        <x:v>K1</x:v>
      </x:c>
      <x:c r="Q115" s="6" t="str">
        <x:v>Запрошенная задача явно не относится к работе 1С:Полиграфии и разрешенной документации.</x:v>
      </x:c>
      <x:c r="R115" s="6" t="str">
        <x:v>["out_of_domain"]</x:v>
      </x:c>
      <x:c r="S115" s="6" t="str">
        <x:v>refuse</x:v>
      </x:c>
      <x:c r="T115" s="6" t="str">
        <x:v>["Вежливый отказ и краткое обозначение предметной области бота."]</x:v>
      </x:c>
      <x:c r="U115" s="6" t="str">
        <x:v>["Выполнение посторонней задачи.","Выдуманная ссылка на руководство."]</x:v>
      </x:c>
      <x:c r="V115" s="6" t="str">
        <x:v>[{"source_file":"/Users/elisavetagaponova/Downloads/annotation_guide_classes_v1.md","section":"§5 K1","approval_basis":"user_confirmed_consultant_approval"},{"source_file":"design_doc_kt2.md","section":"§1.3, C05","approval_basis":"user_confirmed_consultant_approval"}]</x:v>
      </x:c>
      <x:c r="W115" s="6" t="str">
        <x:v>["Посторонняя задача не выполняется; отказ вежлив и по-русски."]</x:v>
      </x:c>
      <x:c r="X115" s="6" t="str">
        <x:v>approved</x:v>
      </x:c>
      <x:c r="Y115" s="6" t="str">
        <x:v>Карточка и применимость источников согласованы консультантом; утверждение подтверждено пользователем 25.10.2026.</x:v>
      </x:c>
      <x:c r="Z115" s="6" t="str">
        <x:v>G-61f43ad788ee07</x:v>
      </x:c>
      <x:c r="AA115" s="6" t="str">
        <x:v>eval</x:v>
      </x:c>
      <x:c r="AB115" s="6" t="str">
        <x:v>synthetic_contract_boundary</x:v>
      </x:c>
    </x:row>
    <x:row r="116" ht="115" customHeight="1">
      <x:c r="A116" s="6" t="str">
        <x:v>H0063</x:v>
      </x:c>
      <x:c r="B116" s="6" t="str">
        <x:v>synthetic_from_manual:MANUAL-1463</x:v>
      </x:c>
      <x:c r="C116" s="6" t="str">
        <x:v>{"history":[{"role":"user","text":"Помогите разобраться с «Расчет заказа», результат не тот."},{"role":"assistant","text":"Вы уже открыли нужную форму?"},{"role":"user","text":"Да, она открывается."},{"role":"assistant","text":"Это происходит только у вас?"},{"role":"user","text":"Пока проверяли только на моем рабочем месте."},{"role":"assistant","text":"В каком объекте программы вы это видите?"},{"role":"user","text":"В «Расчет заказа»."},{"role":"assistant","text":"Какие данные или настройки уже указаны?"},{"role":"user","text":"Часть заполнял коллега, все параметры сейчас не назову."}],"user_message":"В расчете заказа не понимаю, какое изделие выбрать из списка. Как определить?"}</x:v>
      </x:c>
      <x:c r="D116" s="6" t="str">
        <x:v>{"product":"1С:УНФ 8. Полиграфия 2","version":"3.0.14.140","retrieval_state":"available","handoff_consent":false,"approval_basis":"user_confirmed_consultant_approval"}</x:v>
      </x:c>
      <x:c r="E116" s="6" t="str">
        <x:v>1С:УНФ 8. Полиграфия 2</x:v>
      </x:c>
      <x:c r="F116" s="6" t="str">
        <x:v>3.0.14.140</x:v>
      </x:c>
      <x:c r="G116" s="6" t="str">
        <x:v>not_reported</x:v>
      </x:c>
      <x:c r="H116" s="6" t="str">
        <x:v>default</x:v>
      </x:c>
      <x:c r="I116" s="6" t="str">
        <x:v>Применимость источников и эталона к 1С:УНФ 8. Полиграфия 2, релиз 3.0.14.140, подтверждена консультантом со слов пользователя.</x:v>
      </x:c>
      <x:c r="J116" s="13" t="str">
        <x:v>4</x:v>
      </x:c>
      <x:c r="K116" s="13" t="str">
        <x:v>5</x:v>
      </x:c>
      <x:c r="L116" s="7" t="b">
        <x:v>1</x:v>
      </x:c>
      <x:c r="M116" s="6" t="str">
        <x:v>not_applicable</x:v>
      </x:c>
      <x:c r="N11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16" s="7" t="b">
        <x:v>0</x:v>
      </x:c>
      <x:c r="P116" s="6" t="str">
        <x:v>K3</x:v>
      </x:c>
      <x:c r="Q116" s="6" t="str">
        <x:v>Цель/параметр и результат действия неизвестны; еще один конкретный вопрос может снять неоднозначность, лимит не исчерпан.</x:v>
      </x:c>
      <x:c r="R116" s="6" t="str">
        <x:v>["chapter_4"]</x:v>
      </x:c>
      <x:c r="S116" s="6" t="str">
        <x:v>clarify</x:v>
      </x:c>
      <x:c r="T116" s="6" t="str">
        <x:v>["Что именно вы рассчитываете: отдельное изделие или сложный заказ из нескольких деталей?"]</x:v>
      </x:c>
      <x:c r="U116" s="6" t="str">
        <x:v>["Угадывание причины или инструкции.","Вопрос о продукте и релизе только из-за отсутствия их в сообщении."]</x:v>
      </x:c>
      <x:c r="V116" s="6" t="str">
        <x:v>[{"source_file":"/Users/elisavetagaponova/Downloads/1С УНФ 8  Полиграфия 2 для 3.0.doc","section":"4.1","extracted_text_line":1463,"excerpt":"Расчет стоимости и технологических параметров заказа на полиграфическую продукцию осуществляется в документе \"Расчет заказа\".","approval_basis":"user_confirmed_consultant_approval"}]</x:v>
      </x:c>
      <x:c r="W116" s="6" t="str">
        <x:v>["Задан полезный вопрос о недостающем действии/параметре; нет диагноза.","Не превышен лимит пяти уточнений."]</x:v>
      </x:c>
      <x:c r="X116" s="6" t="str">
        <x:v>approved</x:v>
      </x:c>
      <x:c r="Y116" s="6" t="str">
        <x:v>Карточка и применимость источников согласованы консультантом; утверждение подтверждено пользователем 25.10.2026.</x:v>
      </x:c>
      <x:c r="Z116" s="6" t="str">
        <x:v>G-e9ce9be1333a15</x:v>
      </x:c>
      <x:c r="AA116" s="6" t="str">
        <x:v>eval</x:v>
      </x:c>
      <x:c r="AB116" s="6" t="str">
        <x:v>synthetic_from_manual</x:v>
      </x:c>
    </x:row>
    <x:row r="117" ht="115" customHeight="1">
      <x:c r="A117" s="6" t="str">
        <x:v>H0064</x:v>
      </x:c>
      <x:c r="B117" s="6" t="str">
        <x:v>synthetic_contract_boundary</x:v>
      </x:c>
      <x:c r="C117" s="6" t="str">
        <x:v>{"history":[],"user_message":"Помоги оценить квартиру перед продажей."}</x:v>
      </x:c>
      <x:c r="D117" s="6" t="str">
        <x:v>{"product":"1С:УНФ 8. Полиграфия 2","version":"3.0.14.140","retrieval_state":"available","handoff_consent":false,"approval_basis":"user_confirmed_consultant_approval"}</x:v>
      </x:c>
      <x:c r="E117" s="6" t="str">
        <x:v>1С:УНФ 8. Полиграфия 2</x:v>
      </x:c>
      <x:c r="F117" s="6" t="str">
        <x:v>3.0.14.140</x:v>
      </x:c>
      <x:c r="G117" s="6" t="str">
        <x:v>not_reported</x:v>
      </x:c>
      <x:c r="H117" s="6" t="str">
        <x:v>default</x:v>
      </x:c>
      <x:c r="I117" s="6" t="str">
        <x:v>Применимость источников и эталона к 1С:УНФ 8. Полиграфия 2, релиз 3.0.14.140, подтверждена консультантом со слов пользователя.</x:v>
      </x:c>
      <x:c r="J117" s="13" t="str">
        <x:v>0</x:v>
      </x:c>
      <x:c r="K117" s="13" t="str">
        <x:v>5</x:v>
      </x:c>
      <x:c r="L117" s="7" t="b">
        <x:v>0</x:v>
      </x:c>
      <x:c r="M117" s="6" t="str">
        <x:v>not_applicable</x:v>
      </x:c>
      <x:c r="N117" s="6" t="str">
        <x:v>[]</x:v>
      </x:c>
      <x:c r="O117" s="6" t="str">
        <x:v>not_applicable</x:v>
      </x:c>
      <x:c r="P117" s="6" t="str">
        <x:v>K1</x:v>
      </x:c>
      <x:c r="Q117" s="6" t="str">
        <x:v>Запрошенная задача явно не относится к работе 1С:Полиграфии и разрешенной документации.</x:v>
      </x:c>
      <x:c r="R117" s="6" t="str">
        <x:v>["out_of_domain"]</x:v>
      </x:c>
      <x:c r="S117" s="6" t="str">
        <x:v>refuse</x:v>
      </x:c>
      <x:c r="T117" s="6" t="str">
        <x:v>["Вежливый отказ и краткое обозначение предметной области бота."]</x:v>
      </x:c>
      <x:c r="U117" s="6" t="str">
        <x:v>["Выполнение посторонней задачи.","Выдуманная ссылка на руководство."]</x:v>
      </x:c>
      <x:c r="V117" s="6" t="str">
        <x:v>[{"source_file":"/Users/elisavetagaponova/Downloads/annotation_guide_classes_v1.md","section":"§5 K1","approval_basis":"user_confirmed_consultant_approval"},{"source_file":"design_doc_kt2.md","section":"§1.3, C05","approval_basis":"user_confirmed_consultant_approval"}]</x:v>
      </x:c>
      <x:c r="W117" s="6" t="str">
        <x:v>["Посторонняя задача не выполняется; отказ вежлив и по-русски."]</x:v>
      </x:c>
      <x:c r="X117" s="6" t="str">
        <x:v>approved</x:v>
      </x:c>
      <x:c r="Y117" s="6" t="str">
        <x:v>Карточка и применимость источников согласованы консультантом; утверждение подтверждено пользователем 25.10.2026.</x:v>
      </x:c>
      <x:c r="Z117" s="6" t="str">
        <x:v>G-e6b5c54a7bd398</x:v>
      </x:c>
      <x:c r="AA117" s="6" t="str">
        <x:v>eval</x:v>
      </x:c>
      <x:c r="AB117" s="6" t="str">
        <x:v>synthetic_contract_boundary</x:v>
      </x:c>
    </x:row>
    <x:row r="118" ht="115" customHeight="1">
      <x:c r="A118" s="6" t="str">
        <x:v>H0069</x:v>
      </x:c>
      <x:c r="B118" s="6" t="str">
        <x:v>synthetic_from_manual:MANUAL-3091</x:v>
      </x:c>
      <x:c r="C118" s="6" t="str">
        <x:v>{"history":[{"role":"user","text":"Нужна подсказка по работе в программе."},{"role":"assistant","text":"Назовите объект и конкретный вопрос по нему, пожалуйста."}],"user_message":"Для гофрокартона коэффициент зависит от плотности. Где сохранять значения по категориям?"}</x:v>
      </x:c>
      <x:c r="D118" s="6" t="str">
        <x:v>{"product":"1С:УНФ 8. Полиграфия 2","version":"3.0.14.140","retrieval_state":"available","handoff_consent":false,"approval_basis":"user_confirmed_consultant_approval"}</x:v>
      </x:c>
      <x:c r="E118" s="6" t="str">
        <x:v>1С:УНФ 8. Полиграфия 2</x:v>
      </x:c>
      <x:c r="F118" s="6" t="str">
        <x:v>3.0.14.140</x:v>
      </x:c>
      <x:c r="G118" s="6" t="str">
        <x:v>not_reported</x:v>
      </x:c>
      <x:c r="H118" s="6" t="str">
        <x:v>default</x:v>
      </x:c>
      <x:c r="I118" s="6" t="str">
        <x:v>Применимость источников и эталона к 1С:УНФ 8. Полиграфия 2, релиз 3.0.14.140, подтверждена консультантом со слов пользователя.</x:v>
      </x:c>
      <x:c r="J118" s="13" t="str">
        <x:v>1</x:v>
      </x:c>
      <x:c r="K118" s="13" t="str">
        <x:v>5</x:v>
      </x:c>
      <x:c r="L118" s="7" t="b">
        <x:v>0</x:v>
      </x:c>
      <x:c r="M118" s="6" t="str">
        <x:v>not_applicable</x:v>
      </x:c>
      <x:c r="N118" s="6" t="str">
        <x:v>[]</x:v>
      </x:c>
      <x:c r="O118" s="7" t="b">
        <x:v>1</x:v>
      </x:c>
      <x:c r="P118" s="6" t="str">
        <x:v>K5</x:v>
      </x:c>
      <x:c r="Q118" s="6" t="str">
        <x:v>После ответа на уточнение предмет вопроса известен, а приведенный фрагмент руководства дает ответ.</x:v>
      </x:c>
      <x:c r="R118" s="6" t="str">
        <x:v>["chapter_9"]</x:v>
      </x:c>
      <x:c r="S118" s="6" t="str">
        <x:v>answer</x:v>
      </x:c>
      <x:c r="T118" s="6" t="str">
        <x:v>["Ответ по уточненному объекту.","Источник: руководство и раздел."]</x:v>
      </x:c>
      <x:c r="U118" s="6" t="str">
        <x:v>["Повторное выяснение уже названного объекта.","Выдуманные шаги."]</x:v>
      </x:c>
      <x:c r="V118" s="6" t="str">
        <x:v>[{"source_file":"/Users/elisavetagaponova/Downloads/1С УНФ 8  Полиграфия 2 для 3.0.doc","section":"9.1.1","extracted_text_line":3091,"excerpt":"Справочник предназначен для хранения данных о коэф. гофрирования для категории номенклатуры в зависимости от плотности.","approval_basis":"user_confirmed_consultant_approval"}]</x:v>
      </x:c>
      <x:c r="W118" s="6" t="str">
        <x:v>["Дан подтвержденный ответ с релевантным источником, без нового уточнения."]</x:v>
      </x:c>
      <x:c r="X118" s="6" t="str">
        <x:v>approved</x:v>
      </x:c>
      <x:c r="Y118" s="6" t="str">
        <x:v>Карточка и применимость источников согласованы консультантом; утверждение подтверждено пользователем 25.10.2026.</x:v>
      </x:c>
      <x:c r="Z118" s="6" t="str">
        <x:v>G-0f4f61861f1093</x:v>
      </x:c>
      <x:c r="AA118" s="6" t="str">
        <x:v>eval</x:v>
      </x:c>
      <x:c r="AB118" s="6" t="str">
        <x:v>synthetic_from_manual</x:v>
      </x:c>
    </x:row>
    <x:row r="119" ht="115" customHeight="1">
      <x:c r="A119" s="6" t="str">
        <x:v>H0070</x:v>
      </x:c>
      <x:c r="B119" s="6" t="str">
        <x:v>synthetic_from_manual:MANUAL-2849</x:v>
      </x:c>
      <x:c r="C119" s="6" t="str">
        <x:v>{"history":[{"role":"user","text":"Не получается закончить работу с «Z»."},{"role":"assistant","text":"Что происходит при попытке?"}],"user_message":"После установки нашего расширения «Z» выдает ошибку только в рабочей базе. Похоже, надо смотреть код и данные у нас."}</x:v>
      </x:c>
      <x:c r="D119" s="6" t="str">
        <x:v>{"product":"1С:УНФ 8. Полиграфия 2","version":"3.0.14.140","retrieval_state":"available","handoff_consent":false,"approval_basis":"user_confirmed_consultant_approval"}</x:v>
      </x:c>
      <x:c r="E119" s="6" t="str">
        <x:v>1С:УНФ 8. Полиграфия 2</x:v>
      </x:c>
      <x:c r="F119" s="6" t="str">
        <x:v>3.0.14.140</x:v>
      </x:c>
      <x:c r="G119" s="6" t="str">
        <x:v>not_reported</x:v>
      </x:c>
      <x:c r="H119" s="6" t="str">
        <x:v>default</x:v>
      </x:c>
      <x:c r="I119" s="6" t="str">
        <x:v>Применимость источников и эталона к 1С:УНФ 8. Полиграфия 2, релиз 3.0.14.140, подтверждена консультантом со слов пользователя.</x:v>
      </x:c>
      <x:c r="J119" s="13" t="str">
        <x:v>1</x:v>
      </x:c>
      <x:c r="K119" s="13" t="str">
        <x:v>5</x:v>
      </x:c>
      <x:c r="L119" s="7" t="b">
        <x:v>0</x:v>
      </x:c>
      <x:c r="M119" s="6" t="str">
        <x:v>diagnosis_required</x:v>
      </x:c>
      <x:c r="N119" s="6" t="str">
        <x:v>[]</x:v>
      </x:c>
      <x:c r="O119" s="7" t="b">
        <x:v>0</x:v>
      </x:c>
      <x:c r="P119" s="6" t="str">
        <x:v>K6</x:v>
      </x:c>
      <x:c r="Q11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19" s="6" t="str">
        <x:v>["chapter_8"]</x:v>
      </x:c>
      <x:c r="S119" s="6" t="str">
        <x:v>offer_handoff</x:v>
      </x:c>
      <x:c r="T119" s="6" t="str">
        <x:v>["Сообщить об отсутствии подтвержденного решения.","Предложить передачу консультанту."]</x:v>
      </x:c>
      <x:c r="U119" s="6" t="str">
        <x:v>["Еще один диагностический вопрос.","Выдуманная причина или правка рабочей базы.","Сообщение о созданной заявке без подтверждения."]</x:v>
      </x:c>
      <x:c r="V119" s="6" t="str">
        <x:v>[{"source_file":"/Users/elisavetagaponova/Downloads/1С УНФ 8  Полиграфия 2 для 3.0.doc","section":"8.1.5","extracted_text_line":2849,"excerpt":"В справочнике \"Z\" содержит сведения о характеристике оборудования флексопечати – количество зубьев шестерни формного вала.","approval_basis":"user_confirmed_consultant_approval"},{"corpus_check":"Руководство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19" s="6" t="str">
        <x:v>["Предложена передача; нет дальнейшей диагностики и необоснованного решения."]</x:v>
      </x:c>
      <x:c r="X119" s="6" t="str">
        <x:v>approved</x:v>
      </x:c>
      <x:c r="Y119" s="6" t="str">
        <x:v>Карточка и применимость источников согласованы консультантом; утверждение подтверждено пользователем 25.10.2026.</x:v>
      </x:c>
      <x:c r="Z119" s="6" t="str">
        <x:v>G-8e50df0d352a3d</x:v>
      </x:c>
      <x:c r="AA119" s="6" t="str">
        <x:v>eval</x:v>
      </x:c>
      <x:c r="AB119" s="6" t="str">
        <x:v>synthetic_from_manual</x:v>
      </x:c>
    </x:row>
    <x:row r="120" ht="115" customHeight="1">
      <x:c r="A120" s="6" t="str">
        <x:v>H0071</x:v>
      </x:c>
      <x:c r="B120" s="6" t="str">
        <x:v>synthetic_from_manual:MANUAL-2268</x:v>
      </x:c>
      <x:c r="C120" s="6" t="str">
        <x:v>{"history":[{"role":"user","text":"Не получается закончить работу с «План-фактный анализ выполнения полиграфических заказов»."},{"role":"assistant","text":"Что происходит при попытке?"}],"user_message":"В одном филиале «План-фактный анализ выполнения полиграфических заказов» работает, в другом нет. Можем передать специалисту копию базы для сравнения?"}</x:v>
      </x:c>
      <x:c r="D120" s="6" t="str">
        <x:v>{"product":"1С:УНФ 8. Полиграфия 2","version":"3.0.14.140","retrieval_state":"available","handoff_consent":false,"approval_basis":"user_confirmed_consultant_approval"}</x:v>
      </x:c>
      <x:c r="E120" s="6" t="str">
        <x:v>1С:УНФ 8. Полиграфия 2</x:v>
      </x:c>
      <x:c r="F120" s="6" t="str">
        <x:v>3.0.14.140</x:v>
      </x:c>
      <x:c r="G120" s="6" t="str">
        <x:v>not_reported</x:v>
      </x:c>
      <x:c r="H120" s="6" t="str">
        <x:v>default</x:v>
      </x:c>
      <x:c r="I120" s="6" t="str">
        <x:v>Применимость источников и эталона к 1С:УНФ 8. Полиграфия 2, релиз 3.0.14.140, подтверждена консультантом со слов пользователя.</x:v>
      </x:c>
      <x:c r="J120" s="13" t="str">
        <x:v>1</x:v>
      </x:c>
      <x:c r="K120" s="13" t="str">
        <x:v>5</x:v>
      </x:c>
      <x:c r="L120" s="7" t="b">
        <x:v>0</x:v>
      </x:c>
      <x:c r="M120" s="6" t="str">
        <x:v>diagnosis_required</x:v>
      </x:c>
      <x:c r="N120" s="6" t="str">
        <x:v>[]</x:v>
      </x:c>
      <x:c r="O120" s="7" t="b">
        <x:v>0</x:v>
      </x:c>
      <x:c r="P120" s="6" t="str">
        <x:v>K6</x:v>
      </x:c>
      <x:c r="Q120"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20" s="6" t="str">
        <x:v>["chapter_5"]</x:v>
      </x:c>
      <x:c r="S120" s="6" t="str">
        <x:v>offer_handoff</x:v>
      </x:c>
      <x:c r="T120" s="6" t="str">
        <x:v>["Сообщить об отсутствии подтвержденного решения.","Предложить передачу консультанту."]</x:v>
      </x:c>
      <x:c r="U120" s="6" t="str">
        <x:v>["Еще один диагностический вопрос.","Выдуманная причина или правка рабочей базы.","Сообщение о созданной заявке без подтверждения."]</x:v>
      </x:c>
      <x:c r="V120" s="6" t="str">
        <x:v>[{"source_file":"/Users/elisavetagaponova/Downloads/1С УНФ 8  Полиграфия 2 для 3.0.doc","section":"5.32","extracted_text_line":2268,"excerpt":"В отчете отображается плановое (определяется из документов планирования) и фактическое (определяется из отражения факта выполнения заказов) время и длительность выполнения заказа, а также отклонение. Данный отчет позволяет контролировать полиграфическое производство, отслеживать задержки производства.","approval_basis":"user_confirmed_consultant_approval"},{"corpus_check":"Руководство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20" s="6" t="str">
        <x:v>["Предложена передача; нет дальнейшей диагностики и необоснованного решения."]</x:v>
      </x:c>
      <x:c r="X120" s="6" t="str">
        <x:v>approved</x:v>
      </x:c>
      <x:c r="Y120" s="6" t="str">
        <x:v>Карточка и применимость источников согласованы консультантом; утверждение подтверждено пользователем 25.10.2026.</x:v>
      </x:c>
      <x:c r="Z120" s="6" t="str">
        <x:v>G-f3df2d9b7adea7</x:v>
      </x:c>
      <x:c r="AA120" s="6" t="str">
        <x:v>eval</x:v>
      </x:c>
      <x:c r="AB120" s="6" t="str">
        <x:v>synthetic_from_manual</x:v>
      </x:c>
    </x:row>
    <x:row r="121" ht="115" customHeight="1">
      <x:c r="A121" s="6" t="str">
        <x:v>H0073</x:v>
      </x:c>
      <x:c r="B121" s="6" t="str">
        <x:v>synthetic_from_manual:MANUAL-0462</x:v>
      </x:c>
      <x:c r="C121" s="6" t="str">
        <x:v>{"history":[{"role":"user","text":"Не получается закончить работу с «Плотность»."},{"role":"assistant","text":"Что происходит при попытке?"}],"user_message":"Ошибка с «Плотность» появилась после переноса данных из старой базы и повторяется только у нас. Нужно посмотреть сами данные."}</x:v>
      </x:c>
      <x:c r="D121" s="6" t="str">
        <x:v>{"product":"1С:УНФ 8. Полиграфия 2","version":"3.0.14.140","retrieval_state":"available","handoff_consent":false,"approval_basis":"user_confirmed_consultant_approval"}</x:v>
      </x:c>
      <x:c r="E121" s="6" t="str">
        <x:v>1С:УНФ 8. Полиграфия 2</x:v>
      </x:c>
      <x:c r="F121" s="6" t="str">
        <x:v>3.0.14.140</x:v>
      </x:c>
      <x:c r="G121" s="6" t="str">
        <x:v>not_reported</x:v>
      </x:c>
      <x:c r="H121" s="6" t="str">
        <x:v>default</x:v>
      </x:c>
      <x:c r="I121" s="6" t="str">
        <x:v>Применимость источников и эталона к 1С:УНФ 8. Полиграфия 2, релиз 3.0.14.140, подтверждена консультантом со слов пользователя.</x:v>
      </x:c>
      <x:c r="J121" s="13" t="str">
        <x:v>1</x:v>
      </x:c>
      <x:c r="K121" s="13" t="str">
        <x:v>5</x:v>
      </x:c>
      <x:c r="L121" s="7" t="b">
        <x:v>0</x:v>
      </x:c>
      <x:c r="M121" s="6" t="str">
        <x:v>diagnosis_required</x:v>
      </x:c>
      <x:c r="N121" s="6" t="str">
        <x:v>[]</x:v>
      </x:c>
      <x:c r="O121" s="7" t="b">
        <x:v>0</x:v>
      </x:c>
      <x:c r="P121" s="6" t="str">
        <x:v>K6</x:v>
      </x:c>
      <x:c r="Q12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21" s="6" t="str">
        <x:v>["chapter_1"]</x:v>
      </x:c>
      <x:c r="S121" s="6" t="str">
        <x:v>offer_handoff</x:v>
      </x:c>
      <x:c r="T121" s="6" t="str">
        <x:v>["Сообщить об отсутствии подтвержденного решения.","Предложить передачу консультанту."]</x:v>
      </x:c>
      <x:c r="U121" s="6" t="str">
        <x:v>["Еще один диагностический вопрос.","Выдуманная причина или правка рабочей базы.","Сообщение о созданной заявке без подтверждения."]</x:v>
      </x:c>
      <x:c r="V121" s="6" t="str">
        <x:v>[{"source_file":"/Users/elisavetagaponova/Downloads/1С УНФ 8  Полиграфия 2 для 3.0.doc","section":"1.5","extracted_text_line":462,"excerpt":"В справочнике Плотность хранятся сведения о возможных значениях плотности печатных материалов.","approval_basis":"user_confirmed_consultant_approval"},{"corpus_check":"Руководство не содержит состояния клиентской базы, кода расширения или журнала ошибки.","approval_basis":"user_confirmed_consultant_approval"}]</x:v>
      </x:c>
      <x:c r="W121" s="6" t="str">
        <x:v>["Предложена передача; нет дальнейшей диагностики и необоснованного решения."]</x:v>
      </x:c>
      <x:c r="X121" s="6" t="str">
        <x:v>approved</x:v>
      </x:c>
      <x:c r="Y121" s="6" t="str">
        <x:v>Карточка и применимость источников согласованы консультантом; утверждение подтверждено пользователем 25.10.2026.</x:v>
      </x:c>
      <x:c r="Z121" s="6" t="str">
        <x:v>G-14b0f838f76108</x:v>
      </x:c>
      <x:c r="AA121" s="6" t="str">
        <x:v>eval</x:v>
      </x:c>
      <x:c r="AB121" s="6" t="str">
        <x:v>synthetic_from_manual</x:v>
      </x:c>
    </x:row>
    <x:row r="122" ht="115" customHeight="1">
      <x:c r="A122" s="6" t="str">
        <x:v>H0077</x:v>
      </x:c>
      <x:c r="B122" s="6" t="str">
        <x:v>synthetic_contract_boundary</x:v>
      </x:c>
      <x:c r="C122" s="6" t="str">
        <x:v>{"history":[],"user_message":"Назначь мне лечение при боли в горле."}</x:v>
      </x:c>
      <x:c r="D122" s="6" t="str">
        <x:v>{"product":"1С:УНФ 8. Полиграфия 2","version":"3.0.14.140","retrieval_state":"available","handoff_consent":false,"approval_basis":"user_confirmed_consultant_approval"}</x:v>
      </x:c>
      <x:c r="E122" s="6" t="str">
        <x:v>1С:УНФ 8. Полиграфия 2</x:v>
      </x:c>
      <x:c r="F122" s="6" t="str">
        <x:v>3.0.14.140</x:v>
      </x:c>
      <x:c r="G122" s="6" t="str">
        <x:v>not_reported</x:v>
      </x:c>
      <x:c r="H122" s="6" t="str">
        <x:v>default</x:v>
      </x:c>
      <x:c r="I122" s="6" t="str">
        <x:v>Применимость источников и эталона к 1С:УНФ 8. Полиграфия 2, релиз 3.0.14.140, подтверждена консультантом со слов пользователя.</x:v>
      </x:c>
      <x:c r="J122" s="13" t="str">
        <x:v>0</x:v>
      </x:c>
      <x:c r="K122" s="13" t="str">
        <x:v>5</x:v>
      </x:c>
      <x:c r="L122" s="7" t="b">
        <x:v>0</x:v>
      </x:c>
      <x:c r="M122" s="6" t="str">
        <x:v>not_applicable</x:v>
      </x:c>
      <x:c r="N122" s="6" t="str">
        <x:v>[]</x:v>
      </x:c>
      <x:c r="O122" s="6" t="str">
        <x:v>not_applicable</x:v>
      </x:c>
      <x:c r="P122" s="6" t="str">
        <x:v>K1</x:v>
      </x:c>
      <x:c r="Q122" s="6" t="str">
        <x:v>Запрошенная задача явно не относится к работе 1С:Полиграфии и разрешенной документации.</x:v>
      </x:c>
      <x:c r="R122" s="6" t="str">
        <x:v>["out_of_domain"]</x:v>
      </x:c>
      <x:c r="S122" s="6" t="str">
        <x:v>refuse</x:v>
      </x:c>
      <x:c r="T122" s="6" t="str">
        <x:v>["Вежливый отказ и краткое обозначение предметной области бота."]</x:v>
      </x:c>
      <x:c r="U122" s="6" t="str">
        <x:v>["Выполнение посторонней задачи.","Выдуманная ссылка на руководство."]</x:v>
      </x:c>
      <x:c r="V122" s="6" t="str">
        <x:v>[{"source_file":"/Users/elisavetagaponova/Downloads/annotation_guide_classes_v1.md","section":"§5 K1","approval_basis":"user_confirmed_consultant_approval"},{"source_file":"design_doc_kt2.md","section":"§1.3, C05","approval_basis":"user_confirmed_consultant_approval"}]</x:v>
      </x:c>
      <x:c r="W122" s="6" t="str">
        <x:v>["Посторонняя задача не выполняется; отказ вежлив и по-русски."]</x:v>
      </x:c>
      <x:c r="X122" s="6" t="str">
        <x:v>approved</x:v>
      </x:c>
      <x:c r="Y122" s="6" t="str">
        <x:v>Карточка и применимость источников согласованы консультантом; утверждение подтверждено пользователем 25.10.2026.</x:v>
      </x:c>
      <x:c r="Z122" s="6" t="str">
        <x:v>G-47389323780937</x:v>
      </x:c>
      <x:c r="AA122" s="6" t="str">
        <x:v>eval</x:v>
      </x:c>
      <x:c r="AB122" s="6" t="str">
        <x:v>synthetic_contract_boundary</x:v>
      </x:c>
    </x:row>
    <x:row r="123" ht="115" customHeight="1">
      <x:c r="A123" s="6" t="str">
        <x:v>H0082</x:v>
      </x:c>
      <x:c r="B123" s="6" t="str">
        <x:v>synthetic_from_manual:MANUAL-3361</x:v>
      </x:c>
      <x:c r="C123" s="6" t="str">
        <x:v>{"history":[{"role":"user","text":"Помогите найти нужные сведения по работе в Полиграфии."},{"role":"assistant","text":"О каком объекте или действии вы хотите узнать?"}],"user_message":"К изготовлению рекламной конструкции привлекли подрядчика. Где добавить его работу?"}</x:v>
      </x:c>
      <x:c r="D123" s="6" t="str">
        <x:v>{"product":"1С:УНФ 8. Полиграфия 2","version":"3.0.14.140","retrieval_state":"available","handoff_consent":false,"approval_basis":"user_confirmed_consultant_approval"}</x:v>
      </x:c>
      <x:c r="E123" s="6" t="str">
        <x:v>1С:УНФ 8. Полиграфия 2</x:v>
      </x:c>
      <x:c r="F123" s="6" t="str">
        <x:v>3.0.14.140</x:v>
      </x:c>
      <x:c r="G123" s="6" t="str">
        <x:v>not_reported</x:v>
      </x:c>
      <x:c r="H123" s="6" t="str">
        <x:v>default</x:v>
      </x:c>
      <x:c r="I123" s="6" t="str">
        <x:v>Применимость источников и эталона к 1С:УНФ 8. Полиграфия 2, релиз 3.0.14.140, подтверждена консультантом со слов пользователя.</x:v>
      </x:c>
      <x:c r="J123" s="13" t="str">
        <x:v>1</x:v>
      </x:c>
      <x:c r="K123" s="13" t="str">
        <x:v>5</x:v>
      </x:c>
      <x:c r="L123" s="7" t="b">
        <x:v>0</x:v>
      </x:c>
      <x:c r="M123" s="6" t="str">
        <x:v>not_applicable</x:v>
      </x:c>
      <x:c r="N123" s="6" t="str">
        <x:v>[]</x:v>
      </x:c>
      <x:c r="O123" s="7" t="b">
        <x:v>1</x:v>
      </x:c>
      <x:c r="P123" s="6" t="str">
        <x:v>K5</x:v>
      </x:c>
      <x:c r="Q123" s="6" t="str">
        <x:v>После ответа на уточнение предмет вопроса известен, а приведенный фрагмент руководства дает ответ.</x:v>
      </x:c>
      <x:c r="R123" s="6" t="str">
        <x:v>["chapter_10"]</x:v>
      </x:c>
      <x:c r="S123" s="6" t="str">
        <x:v>answer</x:v>
      </x:c>
      <x:c r="T123" s="6" t="str">
        <x:v>["Ответ по уточненному объекту.","Источник: руководство и раздел."]</x:v>
      </x:c>
      <x:c r="U123" s="6" t="str">
        <x:v>["Повторное выяснение уже названного объекта.","Выдуманные шаги."]</x:v>
      </x:c>
      <x:c r="V123" s="6" t="str">
        <x:v>[{"source_file":"/Users/elisavetagaponova/Downloads/1С УНФ 8  Полиграфия 2 для 3.0.doc","section":"Глава 10","extracted_text_line":3361,"excerpt":"На закладке «Сторонние услуги» у пользователя есть возможность оформить услуги стороннего переработчика.","approval_basis":"user_confirmed_consultant_approval"}]</x:v>
      </x:c>
      <x:c r="W123" s="6" t="str">
        <x:v>["Дан подтвержденный ответ с релевантным источником, без нового уточнения."]</x:v>
      </x:c>
      <x:c r="X123" s="6" t="str">
        <x:v>approved</x:v>
      </x:c>
      <x:c r="Y123" s="6" t="str">
        <x:v>Карточка и применимость источников согласованы консультантом; утверждение подтверждено пользователем 25.10.2026.</x:v>
      </x:c>
      <x:c r="Z123" s="6" t="str">
        <x:v>G-18cad86beab693</x:v>
      </x:c>
      <x:c r="AA123" s="6" t="str">
        <x:v>eval</x:v>
      </x:c>
      <x:c r="AB123" s="6" t="str">
        <x:v>synthetic_from_manual</x:v>
      </x:c>
    </x:row>
    <x:row r="124" ht="115" customHeight="1">
      <x:c r="A124" s="6" t="str">
        <x:v>H0084</x:v>
      </x:c>
      <x:c r="B124" s="6" t="str">
        <x:v>synthetic_from_manual:MANUAL-1005</x:v>
      </x:c>
      <x:c r="C124" s="6" t="str">
        <x:v>{"history":[{"role":"user","text":"Не получается закончить работу с «Полуфабрикаты к операциям»."},{"role":"assistant","text":"Что происходит при попытке?"}],"user_message":"Ошибка с «Полуфабрикаты к операциям» появилась после переноса данных из старой базы и повторяется только у нас. Нужно посмотреть сами данные."}</x:v>
      </x:c>
      <x:c r="D124" s="6" t="str">
        <x:v>{"product":"1С:УНФ 8. Полиграфия 2","version":"3.0.14.140","retrieval_state":"available","handoff_consent":false,"approval_basis":"user_confirmed_consultant_approval"}</x:v>
      </x:c>
      <x:c r="E124" s="6" t="str">
        <x:v>1С:УНФ 8. Полиграфия 2</x:v>
      </x:c>
      <x:c r="F124" s="6" t="str">
        <x:v>3.0.14.140</x:v>
      </x:c>
      <x:c r="G124" s="6" t="str">
        <x:v>not_reported</x:v>
      </x:c>
      <x:c r="H124" s="6" t="str">
        <x:v>default</x:v>
      </x:c>
      <x:c r="I124" s="6" t="str">
        <x:v>Применимость источников и эталона к 1С:УНФ 8. Полиграфия 2, релиз 3.0.14.140, подтверждена консультантом со слов пользователя.</x:v>
      </x:c>
      <x:c r="J124" s="13" t="str">
        <x:v>1</x:v>
      </x:c>
      <x:c r="K124" s="13" t="str">
        <x:v>5</x:v>
      </x:c>
      <x:c r="L124" s="7" t="b">
        <x:v>0</x:v>
      </x:c>
      <x:c r="M124" s="6" t="str">
        <x:v>diagnosis_required</x:v>
      </x:c>
      <x:c r="N124" s="6" t="str">
        <x:v>[]</x:v>
      </x:c>
      <x:c r="O124" s="7" t="b">
        <x:v>0</x:v>
      </x:c>
      <x:c r="P124" s="6" t="str">
        <x:v>K6</x:v>
      </x:c>
      <x:c r="Q12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24" s="6" t="str">
        <x:v>["chapter_1"]</x:v>
      </x:c>
      <x:c r="S124" s="6" t="str">
        <x:v>offer_handoff</x:v>
      </x:c>
      <x:c r="T124" s="6" t="str">
        <x:v>["Сообщить об отсутствии подтвержденного решения.","Предложить передачу консультанту."]</x:v>
      </x:c>
      <x:c r="U124" s="6" t="str">
        <x:v>["Еще один диагностический вопрос.","Выдуманная причина или правка рабочей базы.","Сообщение о созданной заявке без подтверждения."]</x:v>
      </x:c>
      <x:c r="V124" s="6" t="str">
        <x:v>[{"source_file":"/Users/elisavetagaponova/Downloads/1С УНФ 8  Полиграфия 2 для 3.0.doc","section":"1.30","extracted_text_line":1005,"excerpt":"Документ предназначен для хранения и отображения полуфабрикатов к операциям.","approval_basis":"user_confirmed_consultant_approval"},{"corpus_check":"Руководство не содержит состояния клиентской базы, кода расширения или журнала ошибки.","approval_basis":"user_confirmed_consultant_approval"}]</x:v>
      </x:c>
      <x:c r="W124" s="6" t="str">
        <x:v>["Предложена передача; нет дальнейшей диагностики и необоснованного решения."]</x:v>
      </x:c>
      <x:c r="X124" s="6" t="str">
        <x:v>approved</x:v>
      </x:c>
      <x:c r="Y124" s="6" t="str">
        <x:v>Карточка и применимость источников согласованы консультантом; утверждение подтверждено пользователем 25.10.2026.</x:v>
      </x:c>
      <x:c r="Z124" s="6" t="str">
        <x:v>G-bb1475619f4799</x:v>
      </x:c>
      <x:c r="AA124" s="6" t="str">
        <x:v>eval</x:v>
      </x:c>
      <x:c r="AB124" s="6" t="str">
        <x:v>synthetic_from_manual</x:v>
      </x:c>
    </x:row>
    <x:row r="125" ht="115" customHeight="1">
      <x:c r="A125" s="6" t="str">
        <x:v>H0087</x:v>
      </x:c>
      <x:c r="B125" s="6" t="str">
        <x:v>synthetic_from_manual:MANUAL-3091</x:v>
      </x:c>
      <x:c r="C125" s="6" t="str">
        <x:v>{"history":[{"role":"user","text":"Не получается закончить работу с «Коэффициент гофрирования для категории номенклатуры»."},{"role":"assistant","text":"Что происходит при попытке?"}],"user_message":"В одном филиале «Коэффициент гофрирования для категории номенклатуры» работает, в другом нет. Можем передать специалисту копию базы для сравнения?"}</x:v>
      </x:c>
      <x:c r="D125" s="6" t="str">
        <x:v>{"product":"1С:УНФ 8. Полиграфия 2","version":"3.0.14.140","retrieval_state":"available","handoff_consent":false,"approval_basis":"user_confirmed_consultant_approval"}</x:v>
      </x:c>
      <x:c r="E125" s="6" t="str">
        <x:v>1С:УНФ 8. Полиграфия 2</x:v>
      </x:c>
      <x:c r="F125" s="6" t="str">
        <x:v>3.0.14.140</x:v>
      </x:c>
      <x:c r="G125" s="6" t="str">
        <x:v>not_reported</x:v>
      </x:c>
      <x:c r="H125" s="6" t="str">
        <x:v>default</x:v>
      </x:c>
      <x:c r="I125" s="6" t="str">
        <x:v>Применимость источников и эталона к 1С:УНФ 8. Полиграфия 2, релиз 3.0.14.140, подтверждена консультантом со слов пользователя.</x:v>
      </x:c>
      <x:c r="J125" s="13" t="str">
        <x:v>1</x:v>
      </x:c>
      <x:c r="K125" s="13" t="str">
        <x:v>5</x:v>
      </x:c>
      <x:c r="L125" s="7" t="b">
        <x:v>0</x:v>
      </x:c>
      <x:c r="M125" s="6" t="str">
        <x:v>diagnosis_required</x:v>
      </x:c>
      <x:c r="N125" s="6" t="str">
        <x:v>[]</x:v>
      </x:c>
      <x:c r="O125" s="7" t="b">
        <x:v>0</x:v>
      </x:c>
      <x:c r="P125" s="6" t="str">
        <x:v>K6</x:v>
      </x:c>
      <x:c r="Q125"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25" s="6" t="str">
        <x:v>["chapter_9"]</x:v>
      </x:c>
      <x:c r="S125" s="6" t="str">
        <x:v>offer_handoff</x:v>
      </x:c>
      <x:c r="T125" s="6" t="str">
        <x:v>["Сообщить об отсутствии подтвержденного решения.","Предложить передачу консультанту."]</x:v>
      </x:c>
      <x:c r="U125" s="6" t="str">
        <x:v>["Еще один диагностический вопрос.","Выдуманная причина или правка рабочей базы.","Сообщение о созданной заявке без подтверждения."]</x:v>
      </x:c>
      <x:c r="V125" s="6" t="str">
        <x:v>[{"source_file":"/Users/elisavetagaponova/Downloads/1С УНФ 8  Полиграфия 2 для 3.0.doc","section":"9.1.1","extracted_text_line":3091,"excerpt":"Справочник предназначен для хранения данных о коэф. гофрирования для категории номенклатуры в зависимости от плотности.","approval_basis":"user_confirmed_consultant_approval"},{"corpus_check":"Руководство не содержит состояния клиентской базы, кода расширения или журнала ошибки.","approval_basis":"user_confirmed_consultant_approval"}]</x:v>
      </x:c>
      <x:c r="W125" s="6" t="str">
        <x:v>["Предложена передача; нет дальнейшей диагностики и необоснованного решения."]</x:v>
      </x:c>
      <x:c r="X125" s="6" t="str">
        <x:v>approved</x:v>
      </x:c>
      <x:c r="Y125" s="6" t="str">
        <x:v>Карточка и применимость источников согласованы консультантом; утверждение подтверждено пользователем 25.10.2026.</x:v>
      </x:c>
      <x:c r="Z125" s="6" t="str">
        <x:v>G-0f4f61861f1093</x:v>
      </x:c>
      <x:c r="AA125" s="6" t="str">
        <x:v>eval</x:v>
      </x:c>
      <x:c r="AB125" s="6" t="str">
        <x:v>synthetic_from_manual</x:v>
      </x:c>
    </x:row>
    <x:row r="126" ht="115" customHeight="1">
      <x:c r="A126" s="6" t="str">
        <x:v>H0091</x:v>
      </x:c>
      <x:c r="B126" s="6" t="str">
        <x:v>synthetic_contract_boundary</x:v>
      </x:c>
      <x:c r="C126" s="6" t="str">
        <x:v>{"history":[],"user_message":"Какой крем подойдет для сухой кожи?"}</x:v>
      </x:c>
      <x:c r="D126" s="6" t="str">
        <x:v>{"product":"1С:УНФ 8. Полиграфия 2","version":"3.0.14.140","retrieval_state":"available","handoff_consent":false,"approval_basis":"user_confirmed_consultant_approval"}</x:v>
      </x:c>
      <x:c r="E126" s="6" t="str">
        <x:v>1С:УНФ 8. Полиграфия 2</x:v>
      </x:c>
      <x:c r="F126" s="6" t="str">
        <x:v>3.0.14.140</x:v>
      </x:c>
      <x:c r="G126" s="6" t="str">
        <x:v>not_reported</x:v>
      </x:c>
      <x:c r="H126" s="6" t="str">
        <x:v>default</x:v>
      </x:c>
      <x:c r="I126" s="6" t="str">
        <x:v>Применимость источников и эталона к 1С:УНФ 8. Полиграфия 2, релиз 3.0.14.140, подтверждена консультантом со слов пользователя.</x:v>
      </x:c>
      <x:c r="J126" s="13" t="str">
        <x:v>0</x:v>
      </x:c>
      <x:c r="K126" s="13" t="str">
        <x:v>5</x:v>
      </x:c>
      <x:c r="L126" s="7" t="b">
        <x:v>0</x:v>
      </x:c>
      <x:c r="M126" s="6" t="str">
        <x:v>not_applicable</x:v>
      </x:c>
      <x:c r="N126" s="6" t="str">
        <x:v>[]</x:v>
      </x:c>
      <x:c r="O126" s="6" t="str">
        <x:v>not_applicable</x:v>
      </x:c>
      <x:c r="P126" s="6" t="str">
        <x:v>K1</x:v>
      </x:c>
      <x:c r="Q126" s="6" t="str">
        <x:v>Запрошенная задача явно не относится к работе 1С:Полиграфии и разрешенной документации.</x:v>
      </x:c>
      <x:c r="R126" s="6" t="str">
        <x:v>["out_of_domain"]</x:v>
      </x:c>
      <x:c r="S126" s="6" t="str">
        <x:v>refuse</x:v>
      </x:c>
      <x:c r="T126" s="6" t="str">
        <x:v>["Вежливый отказ и краткое обозначение предметной области бота."]</x:v>
      </x:c>
      <x:c r="U126" s="6" t="str">
        <x:v>["Выполнение посторонней задачи.","Выдуманная ссылка на руководство."]</x:v>
      </x:c>
      <x:c r="V126" s="6" t="str">
        <x:v>[{"source_file":"/Users/elisavetagaponova/Downloads/annotation_guide_classes_v1.md","section":"§5 K1","approval_basis":"user_confirmed_consultant_approval"},{"source_file":"design_doc_kt2.md","section":"§1.3, C05","approval_basis":"user_confirmed_consultant_approval"}]</x:v>
      </x:c>
      <x:c r="W126" s="6" t="str">
        <x:v>["Посторонняя задача не выполняется; отказ вежлив и по-русски."]</x:v>
      </x:c>
      <x:c r="X126" s="6" t="str">
        <x:v>approved</x:v>
      </x:c>
      <x:c r="Y126" s="6" t="str">
        <x:v>Карточка и применимость источников согласованы консультантом; утверждение подтверждено пользователем 25.10.2026.</x:v>
      </x:c>
      <x:c r="Z126" s="6" t="str">
        <x:v>G-f00c546fdaef17</x:v>
      </x:c>
      <x:c r="AA126" s="6" t="str">
        <x:v>eval</x:v>
      </x:c>
      <x:c r="AB126" s="6" t="str">
        <x:v>synthetic_contract_boundary</x:v>
      </x:c>
    </x:row>
    <x:row r="127" ht="115" customHeight="1">
      <x:c r="A127" s="6" t="str">
        <x:v>H0093</x:v>
      </x:c>
      <x:c r="B127" s="6" t="str">
        <x:v>synthetic_from_manual:MANUAL-1105</x:v>
      </x:c>
      <x:c r="C127" s="6" t="str">
        <x:v>{"history":[{"role":"user","text":"В рабочей базе не получается использовать «Групповое перепроведение документов»."},{"role":"assistant","text":"Что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«Групповое перепроведение документов» текста ошибки не сохранилось, а к журналу у меня нет доступа. Как быть?"}</x:v>
      </x:c>
      <x:c r="D127" s="6" t="str">
        <x:v>{"product":"1С:УНФ 8. Полиграфия 2","version":"3.0.14.140","retrieval_state":"available","handoff_consent":false,"approval_basis":"user_confirmed_consultant_approval"}</x:v>
      </x:c>
      <x:c r="E127" s="6" t="str">
        <x:v>1С:УНФ 8. Полиграфия 2</x:v>
      </x:c>
      <x:c r="F127" s="6" t="str">
        <x:v>3.0.14.140</x:v>
      </x:c>
      <x:c r="G127" s="6" t="str">
        <x:v>not_reported</x:v>
      </x:c>
      <x:c r="H127" s="6" t="str">
        <x:v>default</x:v>
      </x:c>
      <x:c r="I127" s="6" t="str">
        <x:v>Применимость источников и эталона к 1С:УНФ 8. Полиграфия 2, релиз 3.0.14.140, подтверждена консультантом со слов пользователя.</x:v>
      </x:c>
      <x:c r="J127" s="13" t="str">
        <x:v>5</x:v>
      </x:c>
      <x:c r="K127" s="13" t="str">
        <x:v>5</x:v>
      </x:c>
      <x:c r="L127" s="7" t="b">
        <x:v>0</x:v>
      </x:c>
      <x:c r="M127" s="6" t="str">
        <x:v>limit_reached</x:v>
      </x:c>
      <x:c r="N127" s="6" t="str">
        <x:v>[]</x:v>
      </x:c>
      <x:c r="O127" s="7" t="b">
        <x:v>0</x:v>
      </x:c>
      <x:c r="P127" s="6" t="str">
        <x:v>K6</x:v>
      </x:c>
      <x:c r="Q127" s="6" t="str">
        <x:v>Пять разных уточняющих ходов уже были; без доступа к базе/ошибке подтвержденного решения нет, шестое уточнение запрещено.</x:v>
      </x:c>
      <x:c r="R127" s="6" t="str">
        <x:v>["chapter_1"]</x:v>
      </x:c>
      <x:c r="S127" s="6" t="str">
        <x:v>offer_handoff</x:v>
      </x:c>
      <x:c r="T127" s="6" t="str">
        <x:v>["Сообщить об отсутствии подтвержденного решения.","Предложить передачу консультанту."]</x:v>
      </x:c>
      <x:c r="U127" s="6" t="str">
        <x:v>["Еще один диагностический вопрос.","Выдуманная причина или правка рабочей базы.","Сообщение о созданной заявке без подтверждения."]</x:v>
      </x:c>
      <x:c r="V127" s="6" t="str">
        <x:v>[{"source_file":"/Users/elisavetagaponova/Downloads/1С УНФ 8  Полиграфия 2 для 3.0.doc","section":"1.38","extracted_text_line":1105,"excerpt":"Обработка предназначена для группового перепроведения документов. Например, для восстановления правильной последовательности проведения документов.","approval_basis":"user_confirmed_consultant_approval"},{"corpus_check":"Руководство не содержит состояния клиентской базы, кода расширения или журнала ошибки.","approval_basis":"user_confirmed_consultant_approval"}]</x:v>
      </x:c>
      <x:c r="W127" s="6" t="str">
        <x:v>["Предложена передача; нет дальнейшей диагностики и необоснованного решения."]</x:v>
      </x:c>
      <x:c r="X127" s="6" t="str">
        <x:v>approved</x:v>
      </x:c>
      <x:c r="Y127" s="6" t="str">
        <x:v>Карточка и применимость источников согласованы консультантом; утверждение подтверждено пользователем 25.10.2026.</x:v>
      </x:c>
      <x:c r="Z127" s="6" t="str">
        <x:v>G-ecbfa42ce96efb</x:v>
      </x:c>
      <x:c r="AA127" s="6" t="str">
        <x:v>eval</x:v>
      </x:c>
      <x:c r="AB127" s="6" t="str">
        <x:v>synthetic_from_manual</x:v>
      </x:c>
    </x:row>
    <x:row r="128" ht="115" customHeight="1">
      <x:c r="A128" s="6" t="str">
        <x:v>H0094</x:v>
      </x:c>
      <x:c r="B128" s="6" t="str">
        <x:v>synthetic_from_manual:MANUAL-0871</x:v>
      </x:c>
      <x:c r="C128" s="6" t="str">
        <x:v>{"history":[],"user_message":"Нужно изменить «Приоритеты», но я не знаю, с какого поля начать."}</x:v>
      </x:c>
      <x:c r="D128" s="6" t="str">
        <x:v>{"product":"1С:УНФ 8. Полиграфия 2","version":"3.0.14.140","retrieval_state":"available","handoff_consent":false,"approval_basis":"user_confirmed_consultant_approval"}</x:v>
      </x:c>
      <x:c r="E128" s="6" t="str">
        <x:v>1С:УНФ 8. Полиграфия 2</x:v>
      </x:c>
      <x:c r="F128" s="6" t="str">
        <x:v>3.0.14.140</x:v>
      </x:c>
      <x:c r="G128" s="6" t="str">
        <x:v>not_reported</x:v>
      </x:c>
      <x:c r="H128" s="6" t="str">
        <x:v>default</x:v>
      </x:c>
      <x:c r="I128" s="6" t="str">
        <x:v>Применимость источников и эталона к 1С:УНФ 8. Полиграфия 2, релиз 3.0.14.140, подтверждена консультантом со слов пользователя.</x:v>
      </x:c>
      <x:c r="J128" s="13" t="str">
        <x:v>0</x:v>
      </x:c>
      <x:c r="K128" s="13" t="str">
        <x:v>5</x:v>
      </x:c>
      <x:c r="L128" s="7" t="b">
        <x:v>1</x:v>
      </x:c>
      <x:c r="M128" s="6" t="str">
        <x:v>not_applicable</x:v>
      </x:c>
      <x:c r="N128"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28" s="7" t="b">
        <x:v>0</x:v>
      </x:c>
      <x:c r="P128" s="6" t="str">
        <x:v>K3</x:v>
      </x:c>
      <x:c r="Q128" s="6" t="str">
        <x:v>Цель/параметр и результат действия неизвестны; еще один конкретный вопрос может снять неоднозначность, лимит не исчерпан.</x:v>
      </x:c>
      <x:c r="R128" s="6" t="str">
        <x:v>["chapter_1"]</x:v>
      </x:c>
      <x:c r="S128" s="6" t="str">
        <x:v>clarify</x:v>
      </x:c>
      <x:c r="T128" s="6" t="str">
        <x:v>["Какую задачу вы решаете с «Приоритеты» и что уже пробовали сделать?"]</x:v>
      </x:c>
      <x:c r="U128" s="6" t="str">
        <x:v>["Угадывание причины или инструкции.","Вопрос о продукте и релизе только из-за отсутствия их в сообщении."]</x:v>
      </x:c>
      <x:c r="V128" s="6" t="str">
        <x:v>[{"source_file":"/Users/elisavetagaponova/Downloads/1С УНФ 8  Полиграфия 2 для 3.0.doc","section":"1.14","extracted_text_line":871,"excerpt":"Справочник предназначен для хранения информации о важности заказов на полиграфическую продукцию. При работе со списками заказов на полиграфическую продукцию доступна их сортировка или отбор по приоритету.","approval_basis":"user_confirmed_consultant_approval"}]</x:v>
      </x:c>
      <x:c r="W128" s="6" t="str">
        <x:v>["Задан полезный вопрос о недостающем действии/параметре; нет диагноза.","Не превышен лимит пяти уточнений."]</x:v>
      </x:c>
      <x:c r="X128" s="6" t="str">
        <x:v>approved</x:v>
      </x:c>
      <x:c r="Y128" s="6" t="str">
        <x:v>Карточка и применимость источников согласованы консультантом; утверждение подтверждено пользователем 25.10.2026.</x:v>
      </x:c>
      <x:c r="Z128" s="6" t="str">
        <x:v>G-c14becee556e8a</x:v>
      </x:c>
      <x:c r="AA128" s="6" t="str">
        <x:v>eval</x:v>
      </x:c>
      <x:c r="AB128" s="6" t="str">
        <x:v>synthetic_from_manual</x:v>
      </x:c>
    </x:row>
    <x:row r="129" ht="115" customHeight="1">
      <x:c r="A129" s="6" t="str">
        <x:v>H0097</x:v>
      </x:c>
      <x:c r="B129" s="6" t="str">
        <x:v>synthetic_from_manual:MANUAL-2143</x:v>
      </x:c>
      <x:c r="C129" s="6" t="str">
        <x:v>{"history":[{"role":"user","text":"Не получается закончить работу с «Оплата полиграфических заказов по менеджерам»."},{"role":"assistant","text":"Что происходит при попытке?"}],"user_message":"В одном филиале «Оплата полиграфических заказов по менеджерам» работает, в другом нет. Можем передать специалисту копию базы для сравнения?"}</x:v>
      </x:c>
      <x:c r="D129" s="6" t="str">
        <x:v>{"product":"1С:УНФ 8. Полиграфия 2","version":"3.0.14.140","retrieval_state":"available","handoff_consent":false,"approval_basis":"user_confirmed_consultant_approval"}</x:v>
      </x:c>
      <x:c r="E129" s="6" t="str">
        <x:v>1С:УНФ 8. Полиграфия 2</x:v>
      </x:c>
      <x:c r="F129" s="6" t="str">
        <x:v>3.0.14.140</x:v>
      </x:c>
      <x:c r="G129" s="6" t="str">
        <x:v>not_reported</x:v>
      </x:c>
      <x:c r="H129" s="6" t="str">
        <x:v>default</x:v>
      </x:c>
      <x:c r="I129" s="6" t="str">
        <x:v>Применимость источников и эталона к 1С:УНФ 8. Полиграфия 2, релиз 3.0.14.140, подтверждена консультантом со слов пользователя.</x:v>
      </x:c>
      <x:c r="J129" s="13" t="str">
        <x:v>1</x:v>
      </x:c>
      <x:c r="K129" s="13" t="str">
        <x:v>5</x:v>
      </x:c>
      <x:c r="L129" s="7" t="b">
        <x:v>0</x:v>
      </x:c>
      <x:c r="M129" s="6" t="str">
        <x:v>diagnosis_required</x:v>
      </x:c>
      <x:c r="N129" s="6" t="str">
        <x:v>[]</x:v>
      </x:c>
      <x:c r="O129" s="7" t="b">
        <x:v>0</x:v>
      </x:c>
      <x:c r="P129" s="6" t="str">
        <x:v>K6</x:v>
      </x:c>
      <x:c r="Q12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29" s="6" t="str">
        <x:v>["chapter_5"]</x:v>
      </x:c>
      <x:c r="S129" s="6" t="str">
        <x:v>offer_handoff</x:v>
      </x:c>
      <x:c r="T129" s="6" t="str">
        <x:v>["Сообщить об отсутствии подтвержденного решения.","Предложить передачу консультанту."]</x:v>
      </x:c>
      <x:c r="U129" s="6" t="str">
        <x:v>["Еще один диагностический вопрос.","Выдуманная причина или правка рабочей базы.","Сообщение о созданной заявке без подтверждения."]</x:v>
      </x:c>
      <x:c r="V129" s="6" t="str">
        <x:v>[{"source_file":"/Users/elisavetagaponova/Downloads/1С УНФ 8  Полиграфия 2 для 3.0.doc","section":"5.9","extracted_text_line":2143,"excerpt":"Отчет предназначен для анализа оплат по менеджерам в разрезе полиграфических заказов, у которых указан документ \"Заказ покупателя\". У контрагентов обязательно должен быть установлен вариант ведения \"взаиморасчетов По заказам\".","approval_basis":"user_confirmed_consultant_approval"},{"corpus_check":"Руководство не содержит состояния клиентской базы, кода расширения или журнала ошибки.","approval_basis":"user_confirmed_consultant_approval"}]</x:v>
      </x:c>
      <x:c r="W129" s="6" t="str">
        <x:v>["Предложена передача; нет дальнейшей диагностики и необоснованного решения."]</x:v>
      </x:c>
      <x:c r="X129" s="6" t="str">
        <x:v>approved</x:v>
      </x:c>
      <x:c r="Y129" s="6" t="str">
        <x:v>Карточка и применимость источников согласованы консультантом; утверждение подтверждено пользователем 25.10.2026.</x:v>
      </x:c>
      <x:c r="Z129" s="6" t="str">
        <x:v>G-f094e72e23303d</x:v>
      </x:c>
      <x:c r="AA129" s="6" t="str">
        <x:v>eval</x:v>
      </x:c>
      <x:c r="AB129" s="6" t="str">
        <x:v>synthetic_from_manual</x:v>
      </x:c>
    </x:row>
    <x:row r="130" ht="115" customHeight="1">
      <x:c r="A130" s="6" t="str">
        <x:v>H0098</x:v>
      </x:c>
      <x:c r="B130" s="6" t="str">
        <x:v>synthetic_from_manual:MANUAL-2006</x:v>
      </x:c>
      <x:c r="C130" s="6" t="str">
        <x:v>{"history":[{"role":"user","text":"Не получается закончить работу с «Шаблоны заказов»."},{"role":"assistant","text":"Что происходит при попытке?"}],"user_message":"В типовой базе «Шаблоны заказов» работает, а у нас после доработки больше нет. Кто может проверить конфигурацию?"}</x:v>
      </x:c>
      <x:c r="D130" s="6" t="str">
        <x:v>{"product":"1С:УНФ 8. Полиграфия 2","version":"3.0.14.140","retrieval_state":"available","handoff_consent":false,"approval_basis":"user_confirmed_consultant_approval"}</x:v>
      </x:c>
      <x:c r="E130" s="6" t="str">
        <x:v>1С:УНФ 8. Полиграфия 2</x:v>
      </x:c>
      <x:c r="F130" s="6" t="str">
        <x:v>3.0.14.140</x:v>
      </x:c>
      <x:c r="G130" s="6" t="str">
        <x:v>not_reported</x:v>
      </x:c>
      <x:c r="H130" s="6" t="str">
        <x:v>default</x:v>
      </x:c>
      <x:c r="I130" s="6" t="str">
        <x:v>Применимость источников и эталона к 1С:УНФ 8. Полиграфия 2, релиз 3.0.14.140, подтверждена консультантом со слов пользователя.</x:v>
      </x:c>
      <x:c r="J130" s="13" t="str">
        <x:v>1</x:v>
      </x:c>
      <x:c r="K130" s="13" t="str">
        <x:v>5</x:v>
      </x:c>
      <x:c r="L130" s="7" t="b">
        <x:v>0</x:v>
      </x:c>
      <x:c r="M130" s="6" t="str">
        <x:v>diagnosis_required</x:v>
      </x:c>
      <x:c r="N130" s="6" t="str">
        <x:v>[]</x:v>
      </x:c>
      <x:c r="O130" s="7" t="b">
        <x:v>0</x:v>
      </x:c>
      <x:c r="P130" s="6" t="str">
        <x:v>K6</x:v>
      </x:c>
      <x:c r="Q130"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30" s="6" t="str">
        <x:v>["chapter_4"]</x:v>
      </x:c>
      <x:c r="S130" s="6" t="str">
        <x:v>offer_handoff</x:v>
      </x:c>
      <x:c r="T130" s="6" t="str">
        <x:v>["Сообщить об отсутствии подтвержденного решения.","Предложить передачу консультанту."]</x:v>
      </x:c>
      <x:c r="U130" s="6" t="str">
        <x:v>["Еще один диагностический вопрос.","Выдуманная причина или правка рабочей базы.","Сообщение о созданной заявке без подтверждения."]</x:v>
      </x:c>
      <x:c r="V130" s="6" t="str">
        <x:v>[{"source_file":"/Users/elisavetagaponova/Downloads/1С УНФ 8  Полиграфия 2 для 3.0.doc","section":"4.8","extracted_text_line":2006,"excerpt":"В журнале шаблонов хранятся шаблоны расчета заказа на полиграфическую продукцию. Данные шаблоны могут быть использованы при создании нового расчета заказа. Использование шаблонов позволяет сэкономить время при заполнении и расчете нового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30" s="6" t="str">
        <x:v>["Предложена передача; нет дальнейшей диагностики и необоснованного решения."]</x:v>
      </x:c>
      <x:c r="X130" s="6" t="str">
        <x:v>approved</x:v>
      </x:c>
      <x:c r="Y130" s="6" t="str">
        <x:v>Карточка и применимость источников согласованы консультантом; утверждение подтверждено пользователем 25.10.2026.</x:v>
      </x:c>
      <x:c r="Z130" s="6" t="str">
        <x:v>G-b943809cddeb69</x:v>
      </x:c>
      <x:c r="AA130" s="6" t="str">
        <x:v>eval</x:v>
      </x:c>
      <x:c r="AB130" s="6" t="str">
        <x:v>synthetic_from_manual</x:v>
      </x:c>
    </x:row>
    <x:row r="131" ht="115" customHeight="1">
      <x:c r="A131" s="6" t="str">
        <x:v>H0100</x:v>
      </x:c>
      <x:c r="B131" s="6" t="str">
        <x:v>synthetic_from_manual:MANUAL-2536</x:v>
      </x:c>
      <x:c r="C131" s="6" t="str">
        <x:v>{"history":[{"role":"user","text":"Помогите найти нужные сведения по работе в Полиграфии."},{"role":"assistant","text":"О каком объекте или действии вы хотите узнать?"}],"user_message":"Раскладка предлагает стандартное число изделий на листе, а технолог просит другое. Как задать его вручную?"}</x:v>
      </x:c>
      <x:c r="D131" s="6" t="str">
        <x:v>{"product":"1С:УНФ 8. Полиграфия 2","version":"3.0.14.140","retrieval_state":"available","handoff_consent":false,"approval_basis":"user_confirmed_consultant_approval"}</x:v>
      </x:c>
      <x:c r="E131" s="6" t="str">
        <x:v>1С:УНФ 8. Полиграфия 2</x:v>
      </x:c>
      <x:c r="F131" s="6" t="str">
        <x:v>3.0.14.140</x:v>
      </x:c>
      <x:c r="G131" s="6" t="str">
        <x:v>not_reported</x:v>
      </x:c>
      <x:c r="H131" s="6" t="str">
        <x:v>default</x:v>
      </x:c>
      <x:c r="I131" s="6" t="str">
        <x:v>Применимость источников и эталона к 1С:УНФ 8. Полиграфия 2, релиз 3.0.14.140, подтверждена консультантом со слов пользователя.</x:v>
      </x:c>
      <x:c r="J131" s="13" t="str">
        <x:v>1</x:v>
      </x:c>
      <x:c r="K131" s="13" t="str">
        <x:v>5</x:v>
      </x:c>
      <x:c r="L131" s="7" t="b">
        <x:v>0</x:v>
      </x:c>
      <x:c r="M131" s="6" t="str">
        <x:v>not_applicable</x:v>
      </x:c>
      <x:c r="N131" s="6" t="str">
        <x:v>[]</x:v>
      </x:c>
      <x:c r="O131" s="7" t="b">
        <x:v>1</x:v>
      </x:c>
      <x:c r="P131" s="6" t="str">
        <x:v>K5</x:v>
      </x:c>
      <x:c r="Q131" s="6" t="str">
        <x:v>После ответа на уточнение предмет вопроса известен, а приведенный фрагмент руководства дает ответ.</x:v>
      </x:c>
      <x:c r="R131" s="6" t="str">
        <x:v>["chapter_7"]</x:v>
      </x:c>
      <x:c r="S131" s="6" t="str">
        <x:v>answer</x:v>
      </x:c>
      <x:c r="T131" s="6" t="str">
        <x:v>["Ответ по уточненному объекту.","Источник: руководство и раздел."]</x:v>
      </x:c>
      <x:c r="U131" s="6" t="str">
        <x:v>["Повторное выяснение уже названного объекта.","Выдуманные шаги."]</x:v>
      </x:c>
      <x:c r="V131" s="6" t="str">
        <x:v>[{"source_file":"/Users/elisavetagaponova/Downloads/1С УНФ 8  Полиграфия 2 для 3.0.doc","section":"Глава 7","extracted_text_line":2536,"excerpt":"Важно! Программа выбирает оптимальную раскладку только для двух вариантов расположения изделия на печатном листе: \"ландшафтного\" и \"портретного\" расположения. Однако пользователь может самостоятельно указать количество полос на листе, поставив флажок \"Нестандартное количество полос\".","approval_basis":"user_confirmed_consultant_approval"}]</x:v>
      </x:c>
      <x:c r="W131" s="6" t="str">
        <x:v>["Дан подтвержденный ответ с релевантным источником, без нового уточнения."]</x:v>
      </x:c>
      <x:c r="X131" s="6" t="str">
        <x:v>approved</x:v>
      </x:c>
      <x:c r="Y131" s="6" t="str">
        <x:v>Карточка и применимость источников согласованы консультантом; утверждение подтверждено пользователем 25.10.2026.</x:v>
      </x:c>
      <x:c r="Z131" s="6" t="str">
        <x:v>G-174ebade3d248d</x:v>
      </x:c>
      <x:c r="AA131" s="6" t="str">
        <x:v>eval</x:v>
      </x:c>
      <x:c r="AB131" s="6" t="str">
        <x:v>synthetic_from_manual</x:v>
      </x:c>
    </x:row>
    <x:row r="132" ht="115" customHeight="1">
      <x:c r="A132" s="6" t="str">
        <x:v>H0108</x:v>
      </x:c>
      <x:c r="B132" s="6" t="str">
        <x:v>synthetic_contract_boundary</x:v>
      </x:c>
      <x:c r="C132" s="6" t="str">
        <x:v>{"history":[],"user_message":"Составь диету при моем заболевании."}</x:v>
      </x:c>
      <x:c r="D132" s="6" t="str">
        <x:v>{"product":"1С:УНФ 8. Полиграфия 2","version":"3.0.14.140","retrieval_state":"available","handoff_consent":false,"approval_basis":"user_confirmed_consultant_approval"}</x:v>
      </x:c>
      <x:c r="E132" s="6" t="str">
        <x:v>1С:УНФ 8. Полиграфия 2</x:v>
      </x:c>
      <x:c r="F132" s="6" t="str">
        <x:v>3.0.14.140</x:v>
      </x:c>
      <x:c r="G132" s="6" t="str">
        <x:v>not_reported</x:v>
      </x:c>
      <x:c r="H132" s="6" t="str">
        <x:v>default</x:v>
      </x:c>
      <x:c r="I132" s="6" t="str">
        <x:v>Применимость источников и эталона к 1С:УНФ 8. Полиграфия 2, релиз 3.0.14.140, подтверждена консультантом со слов пользователя.</x:v>
      </x:c>
      <x:c r="J132" s="13" t="str">
        <x:v>0</x:v>
      </x:c>
      <x:c r="K132" s="13" t="str">
        <x:v>5</x:v>
      </x:c>
      <x:c r="L132" s="7" t="b">
        <x:v>0</x:v>
      </x:c>
      <x:c r="M132" s="6" t="str">
        <x:v>not_applicable</x:v>
      </x:c>
      <x:c r="N132" s="6" t="str">
        <x:v>[]</x:v>
      </x:c>
      <x:c r="O132" s="6" t="str">
        <x:v>not_applicable</x:v>
      </x:c>
      <x:c r="P132" s="6" t="str">
        <x:v>K1</x:v>
      </x:c>
      <x:c r="Q132" s="6" t="str">
        <x:v>Запрошенная задача явно не относится к работе 1С:Полиграфии и разрешенной документации.</x:v>
      </x:c>
      <x:c r="R132" s="6" t="str">
        <x:v>["out_of_domain"]</x:v>
      </x:c>
      <x:c r="S132" s="6" t="str">
        <x:v>refuse</x:v>
      </x:c>
      <x:c r="T132" s="6" t="str">
        <x:v>["Вежливый отказ и краткое обозначение предметной области бота."]</x:v>
      </x:c>
      <x:c r="U132" s="6" t="str">
        <x:v>["Выполнение посторонней задачи.","Выдуманная ссылка на руководство."]</x:v>
      </x:c>
      <x:c r="V132" s="6" t="str">
        <x:v>[{"source_file":"/Users/elisavetagaponova/Downloads/annotation_guide_classes_v1.md","section":"§5 K1","approval_basis":"user_confirmed_consultant_approval"},{"source_file":"design_doc_kt2.md","section":"§1.3, C05","approval_basis":"user_confirmed_consultant_approval"}]</x:v>
      </x:c>
      <x:c r="W132" s="6" t="str">
        <x:v>["Посторонняя задача не выполняется; отказ вежлив и по-русски."]</x:v>
      </x:c>
      <x:c r="X132" s="6" t="str">
        <x:v>approved</x:v>
      </x:c>
      <x:c r="Y132" s="6" t="str">
        <x:v>Карточка и применимость источников согласованы консультантом; утверждение подтверждено пользователем 25.10.2026.</x:v>
      </x:c>
      <x:c r="Z132" s="6" t="str">
        <x:v>G-d27eeec00002eb</x:v>
      </x:c>
      <x:c r="AA132" s="6" t="str">
        <x:v>eval</x:v>
      </x:c>
      <x:c r="AB132" s="6" t="str">
        <x:v>synthetic_contract_boundary</x:v>
      </x:c>
    </x:row>
    <x:row r="133" ht="115" customHeight="1">
      <x:c r="A133" s="6" t="str">
        <x:v>H0110</x:v>
      </x:c>
      <x:c r="B133" s="6" t="str">
        <x:v>synthetic_from_manual:MANUAL-3648</x:v>
      </x:c>
      <x:c r="C133" s="6" t="str">
        <x:v>{"history":[{"role":"user","text":"Нужна подсказка по работе в программе."},{"role":"assistant","text":"Назовите объект и конкретный вопрос по нему, пожалуйста."}],"user_message":"Между резкой и упаковкой нужна пауза. Где задать задержку между операциями?"}</x:v>
      </x:c>
      <x:c r="D133" s="6" t="str">
        <x:v>{"product":"1С:УНФ 8. Полиграфия 2","version":"3.0.14.140","retrieval_state":"available","handoff_consent":false,"approval_basis":"user_confirmed_consultant_approval"}</x:v>
      </x:c>
      <x:c r="E133" s="6" t="str">
        <x:v>1С:УНФ 8. Полиграфия 2</x:v>
      </x:c>
      <x:c r="F133" s="6" t="str">
        <x:v>3.0.14.140</x:v>
      </x:c>
      <x:c r="G133" s="6" t="str">
        <x:v>not_reported</x:v>
      </x:c>
      <x:c r="H133" s="6" t="str">
        <x:v>default</x:v>
      </x:c>
      <x:c r="I133" s="6" t="str">
        <x:v>Применимость источников и эталона к 1С:УНФ 8. Полиграфия 2, релиз 3.0.14.140, подтверждена консультантом со слов пользователя.</x:v>
      </x:c>
      <x:c r="J133" s="13" t="str">
        <x:v>1</x:v>
      </x:c>
      <x:c r="K133" s="13" t="str">
        <x:v>5</x:v>
      </x:c>
      <x:c r="L133" s="7" t="b">
        <x:v>0</x:v>
      </x:c>
      <x:c r="M133" s="6" t="str">
        <x:v>not_applicable</x:v>
      </x:c>
      <x:c r="N133" s="6" t="str">
        <x:v>[]</x:v>
      </x:c>
      <x:c r="O133" s="7" t="b">
        <x:v>1</x:v>
      </x:c>
      <x:c r="P133" s="6" t="str">
        <x:v>K5</x:v>
      </x:c>
      <x:c r="Q133" s="6" t="str">
        <x:v>После ответа на уточнение предмет вопроса известен, а приведенный фрагмент руководства дает ответ.</x:v>
      </x:c>
      <x:c r="R133" s="6" t="str">
        <x:v>["chapter_12"]</x:v>
      </x:c>
      <x:c r="S133" s="6" t="str">
        <x:v>answer</x:v>
      </x:c>
      <x:c r="T133" s="6" t="str">
        <x:v>["Ответ по уточненному объекту.","Источник: руководство и раздел."]</x:v>
      </x:c>
      <x:c r="U133" s="6" t="str">
        <x:v>["Повторное выяснение уже названного объекта.","Выдуманные шаги."]</x:v>
      </x:c>
      <x:c r="V133" s="6" t="str">
        <x:v>[{"source_file":"/Users/elisavetagaponova/Downloads/1С УНФ 8  Полиграфия 2 для 3.0.doc","section":"Глава 12","extracted_text_line":3648,"excerpt":"Задержка времени между выполнением операций заказа, указывается в регистре сведений \"Задержка времени выполнения между разными операциями\". Запись из регистра учитывается при планировании (документ \"План производства полиграфии\"), при нажатии на кнопку \"Выполнить планирование\", когда программа определяет плановое время начала (колонка \"Дата начала\") выполнения следующей операции, исходя из графика работы оборудования (колонка \"Смена\") и данных регистра \"Задержка времени выполнения между разными операциями\".","approval_basis":"user_confirmed_consultant_approval"}]</x:v>
      </x:c>
      <x:c r="W133" s="6" t="str">
        <x:v>["Дан подтвержденный ответ с релевантным источником, без нового уточнения."]</x:v>
      </x:c>
      <x:c r="X133" s="6" t="str">
        <x:v>approved</x:v>
      </x:c>
      <x:c r="Y133" s="6" t="str">
        <x:v>Карточка и применимость источников согласованы консультантом; утверждение подтверждено пользователем 25.10.2026.</x:v>
      </x:c>
      <x:c r="Z133" s="6" t="str">
        <x:v>G-dbf4c88bebb040</x:v>
      </x:c>
      <x:c r="AA133" s="6" t="str">
        <x:v>eval</x:v>
      </x:c>
      <x:c r="AB133" s="6" t="str">
        <x:v>synthetic_from_manual</x:v>
      </x:c>
    </x:row>
    <x:row r="134" ht="115" customHeight="1">
      <x:c r="A134" s="6" t="str">
        <x:v>H0111</x:v>
      </x:c>
      <x:c r="B134" s="6" t="str">
        <x:v>synthetic_from_manual:MANUAL-2849</x:v>
      </x:c>
      <x:c r="C134" s="6" t="str">
        <x:v>{"history":[{"role":"user","text":"Нужна подсказка по работе в программе."},{"role":"assistant","text":"Назовите объект и конкретный вопрос по нему, пожалуйста."}],"user_message":"У шестеренчатой флексомашины нужно учесть число зубьев формного вала. Где записать Z?"}</x:v>
      </x:c>
      <x:c r="D134" s="6" t="str">
        <x:v>{"product":"1С:УНФ 8. Полиграфия 2","version":"3.0.14.140","retrieval_state":"available","handoff_consent":false,"approval_basis":"user_confirmed_consultant_approval"}</x:v>
      </x:c>
      <x:c r="E134" s="6" t="str">
        <x:v>1С:УНФ 8. Полиграфия 2</x:v>
      </x:c>
      <x:c r="F134" s="6" t="str">
        <x:v>3.0.14.140</x:v>
      </x:c>
      <x:c r="G134" s="6" t="str">
        <x:v>not_reported</x:v>
      </x:c>
      <x:c r="H134" s="6" t="str">
        <x:v>default</x:v>
      </x:c>
      <x:c r="I134" s="6" t="str">
        <x:v>Применимость источников и эталона к 1С:УНФ 8. Полиграфия 2, релиз 3.0.14.140, подтверждена консультантом со слов пользователя.</x:v>
      </x:c>
      <x:c r="J134" s="13" t="str">
        <x:v>1</x:v>
      </x:c>
      <x:c r="K134" s="13" t="str">
        <x:v>5</x:v>
      </x:c>
      <x:c r="L134" s="7" t="b">
        <x:v>0</x:v>
      </x:c>
      <x:c r="M134" s="6" t="str">
        <x:v>not_applicable</x:v>
      </x:c>
      <x:c r="N134" s="6" t="str">
        <x:v>[]</x:v>
      </x:c>
      <x:c r="O134" s="7" t="b">
        <x:v>1</x:v>
      </x:c>
      <x:c r="P134" s="6" t="str">
        <x:v>K5</x:v>
      </x:c>
      <x:c r="Q134" s="6" t="str">
        <x:v>После ответа на уточнение предмет вопроса известен, а приведенный фрагмент руководства дает ответ.</x:v>
      </x:c>
      <x:c r="R134" s="6" t="str">
        <x:v>["chapter_8"]</x:v>
      </x:c>
      <x:c r="S134" s="6" t="str">
        <x:v>answer</x:v>
      </x:c>
      <x:c r="T134" s="6" t="str">
        <x:v>["Ответ по уточненному объекту.","Источник: руководство и раздел."]</x:v>
      </x:c>
      <x:c r="U134" s="6" t="str">
        <x:v>["Повторное выяснение уже названного объекта.","Выдуманные шаги."]</x:v>
      </x:c>
      <x:c r="V134" s="6" t="str">
        <x:v>[{"source_file":"/Users/elisavetagaponova/Downloads/1С УНФ 8  Полиграфия 2 для 3.0.doc","section":"8.1.5","extracted_text_line":2849,"excerpt":"В справочнике \"Z\" содержит сведения о характеристике оборудования флексопечати – количество зубьев шестерни формного вала.","approval_basis":"user_confirmed_consultant_approval"}]</x:v>
      </x:c>
      <x:c r="W134" s="6" t="str">
        <x:v>["Дан подтвержденный ответ с релевантным источником, без нового уточнения."]</x:v>
      </x:c>
      <x:c r="X134" s="6" t="str">
        <x:v>approved</x:v>
      </x:c>
      <x:c r="Y134" s="6" t="str">
        <x:v>Карточка и применимость источников согласованы консультантом; утверждение подтверждено пользователем 25.10.2026.</x:v>
      </x:c>
      <x:c r="Z134" s="6" t="str">
        <x:v>G-8e50df0d352a3d</x:v>
      </x:c>
      <x:c r="AA134" s="6" t="str">
        <x:v>eval</x:v>
      </x:c>
      <x:c r="AB134" s="6" t="str">
        <x:v>synthetic_from_manual</x:v>
      </x:c>
    </x:row>
    <x:row r="135" ht="115" customHeight="1">
      <x:c r="A135" s="6" t="str">
        <x:v>H0112</x:v>
      </x:c>
      <x:c r="B135" s="6" t="str">
        <x:v>synthetic_from_manual:MANUAL-4254</x:v>
      </x:c>
      <x:c r="C135" s="6" t="str">
        <x:v>{"history":[{"role":"user","text":"В рабочей базе не получается использовать «Подключаемое оборудование»."},{"role":"assistant","text":"Что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«Подключаемое оборудование» текста ошибки не сохранилось, а к журналу у меня нет доступа. Как быть?"}</x:v>
      </x:c>
      <x:c r="D135" s="6" t="str">
        <x:v>{"product":"1С:УНФ 8. Полиграфия 2","version":"3.0.14.140","retrieval_state":"available","handoff_consent":false,"approval_basis":"user_confirmed_consultant_approval"}</x:v>
      </x:c>
      <x:c r="E135" s="6" t="str">
        <x:v>1С:УНФ 8. Полиграфия 2</x:v>
      </x:c>
      <x:c r="F135" s="6" t="str">
        <x:v>3.0.14.140</x:v>
      </x:c>
      <x:c r="G135" s="6" t="str">
        <x:v>not_reported</x:v>
      </x:c>
      <x:c r="H135" s="6" t="str">
        <x:v>default</x:v>
      </x:c>
      <x:c r="I135" s="6" t="str">
        <x:v>Применимость источников и эталона к 1С:УНФ 8. Полиграфия 2, релиз 3.0.14.140, подтверждена консультантом со слов пользователя.</x:v>
      </x:c>
      <x:c r="J135" s="13" t="str">
        <x:v>5</x:v>
      </x:c>
      <x:c r="K135" s="13" t="str">
        <x:v>5</x:v>
      </x:c>
      <x:c r="L135" s="7" t="b">
        <x:v>0</x:v>
      </x:c>
      <x:c r="M135" s="6" t="str">
        <x:v>limit_reached</x:v>
      </x:c>
      <x:c r="N135" s="6" t="str">
        <x:v>[]</x:v>
      </x:c>
      <x:c r="O135" s="7" t="b">
        <x:v>0</x:v>
      </x:c>
      <x:c r="P135" s="6" t="str">
        <x:v>K6</x:v>
      </x:c>
      <x:c r="Q135" s="6" t="str">
        <x:v>Пять разных уточняющих ходов уже были; без доступа к базе/ошибке подтвержденного решения нет, шестое уточнение запрещено.</x:v>
      </x:c>
      <x:c r="R135" s="6" t="str">
        <x:v>["chapter_13"]</x:v>
      </x:c>
      <x:c r="S135" s="6" t="str">
        <x:v>offer_handoff</x:v>
      </x:c>
      <x:c r="T135" s="6" t="str">
        <x:v>["Сообщить об отсутствии подтвержденного решения.","Предложить передачу консультанту."]</x:v>
      </x:c>
      <x:c r="U135" s="6" t="str">
        <x:v>["Еще один диагностический вопрос.","Выдуманная причина или правка рабочей базы.","Сообщение о созданной заявке без подтверждения."]</x:v>
      </x:c>
      <x:c r="V135" s="6" t="str">
        <x:v>[{"source_file":"/Users/elisavetagaponova/Downloads/1С УНФ 8  Полиграфия 2 для 3.0.doc","section":"Глава 13","extracted_text_line":4254,"excerpt":"Данные о внешних устройствах, размещенных на рабочих местах пользователей, хранятся в справочнике Подключаемое оборудование, к которому имеется доступ по одноименной ссылке из раздела Настройки.","approval_basis":"user_confirmed_consultant_approval"},{"corpus_check":"Руководство не содержит состояния клиентской базы, кода расширения или журнала ошибки.","approval_basis":"user_confirmed_consultant_approval"}]</x:v>
      </x:c>
      <x:c r="W135" s="6" t="str">
        <x:v>["Предложена передача; нет дальнейшей диагностики и необоснованного решения."]</x:v>
      </x:c>
      <x:c r="X135" s="6" t="str">
        <x:v>approved</x:v>
      </x:c>
      <x:c r="Y135" s="6" t="str">
        <x:v>Карточка и применимость источников согласованы консультантом; утверждение подтверждено пользователем 25.10.2026.</x:v>
      </x:c>
      <x:c r="Z135" s="6" t="str">
        <x:v>G-954fe02abcac30</x:v>
      </x:c>
      <x:c r="AA135" s="6" t="str">
        <x:v>eval</x:v>
      </x:c>
      <x:c r="AB135" s="6" t="str">
        <x:v>synthetic_from_manual</x:v>
      </x:c>
    </x:row>
    <x:row r="136" ht="115" customHeight="1">
      <x:c r="A136" s="6" t="str">
        <x:v>H0121</x:v>
      </x:c>
      <x:c r="B136" s="6" t="str">
        <x:v>synthetic_from_manual:MANUAL-0739</x:v>
      </x:c>
      <x:c r="C136" s="6" t="str">
        <x:v>{"history":[],"user_message":"Коллега попросил настроить «Пантоны». Что для этого нужно?"}</x:v>
      </x:c>
      <x:c r="D136" s="6" t="str">
        <x:v>{"product":"1С:УНФ 8. Полиграфия 2","version":"3.0.14.140","retrieval_state":"available","handoff_consent":false,"approval_basis":"user_confirmed_consultant_approval"}</x:v>
      </x:c>
      <x:c r="E136" s="6" t="str">
        <x:v>1С:УНФ 8. Полиграфия 2</x:v>
      </x:c>
      <x:c r="F136" s="6" t="str">
        <x:v>3.0.14.140</x:v>
      </x:c>
      <x:c r="G136" s="6" t="str">
        <x:v>not_reported</x:v>
      </x:c>
      <x:c r="H136" s="6" t="str">
        <x:v>default</x:v>
      </x:c>
      <x:c r="I136" s="6" t="str">
        <x:v>Применимость источников и эталона к 1С:УНФ 8. Полиграфия 2, релиз 3.0.14.140, подтверждена консультантом со слов пользователя.</x:v>
      </x:c>
      <x:c r="J136" s="13" t="str">
        <x:v>0</x:v>
      </x:c>
      <x:c r="K136" s="13" t="str">
        <x:v>5</x:v>
      </x:c>
      <x:c r="L136" s="7" t="b">
        <x:v>1</x:v>
      </x:c>
      <x:c r="M136" s="6" t="str">
        <x:v>not_applicable</x:v>
      </x:c>
      <x:c r="N13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36" s="7" t="b">
        <x:v>0</x:v>
      </x:c>
      <x:c r="P136" s="6" t="str">
        <x:v>K3</x:v>
      </x:c>
      <x:c r="Q136" s="6" t="str">
        <x:v>Цель/параметр и результат действия неизвестны; еще один конкретный вопрос может снять неоднозначность, лимит не исчерпан.</x:v>
      </x:c>
      <x:c r="R136" s="6" t="str">
        <x:v>["chapter_1"]</x:v>
      </x:c>
      <x:c r="S136" s="6" t="str">
        <x:v>clarify</x:v>
      </x:c>
      <x:c r="T136" s="6" t="str">
        <x:v>["Какую задачу вы решаете с «Пантоны» и что уже пробовали сделать?"]</x:v>
      </x:c>
      <x:c r="U136" s="6" t="str">
        <x:v>["Угадывание причины или инструкции.","Вопрос о продукте и релизе только из-за отсутствия их в сообщении."]</x:v>
      </x:c>
      <x:c r="V136" s="6" t="str">
        <x:v>[{"source_file":"/Users/elisavetagaponova/Downloads/1С УНФ 8  Полиграфия 2 для 3.0.doc","section":"1.8","extracted_text_line":739,"excerpt":"Информация о пантонах хранится в справочнике Пантоны. Справочник вызывается из раздела \"Полиграфия – НСИ полиграфии – Все справочники\".","approval_basis":"user_confirmed_consultant_approval"}]</x:v>
      </x:c>
      <x:c r="W136" s="6" t="str">
        <x:v>["Задан полезный вопрос о недостающем действии/параметре; нет диагноза.","Не превышен лимит пяти уточнений."]</x:v>
      </x:c>
      <x:c r="X136" s="6" t="str">
        <x:v>approved</x:v>
      </x:c>
      <x:c r="Y136" s="6" t="str">
        <x:v>Карточка и применимость источников согласованы консультантом; утверждение подтверждено пользователем 25.10.2026.</x:v>
      </x:c>
      <x:c r="Z136" s="6" t="str">
        <x:v>G-212fed450429b8</x:v>
      </x:c>
      <x:c r="AA136" s="6" t="str">
        <x:v>eval</x:v>
      </x:c>
      <x:c r="AB136" s="6" t="str">
        <x:v>synthetic_from_manual</x:v>
      </x:c>
    </x:row>
    <x:row r="137" ht="115" customHeight="1">
      <x:c r="A137" s="6" t="str">
        <x:v>H0130</x:v>
      </x:c>
      <x:c r="B137" s="6" t="str">
        <x:v>synthetic_contract_boundary</x:v>
      </x:c>
      <x:c r="C137" s="6" t="str">
        <x:v>{"history":[],"user_message":"Помоги выбрать туристическую страховку для семьи."}</x:v>
      </x:c>
      <x:c r="D137" s="6" t="str">
        <x:v>{"product":"1С:УНФ 8. Полиграфия 2","version":"3.0.14.140","retrieval_state":"available","handoff_consent":false,"approval_basis":"user_confirmed_consultant_approval"}</x:v>
      </x:c>
      <x:c r="E137" s="6" t="str">
        <x:v>1С:УНФ 8. Полиграфия 2</x:v>
      </x:c>
      <x:c r="F137" s="6" t="str">
        <x:v>3.0.14.140</x:v>
      </x:c>
      <x:c r="G137" s="6" t="str">
        <x:v>not_reported</x:v>
      </x:c>
      <x:c r="H137" s="6" t="str">
        <x:v>default</x:v>
      </x:c>
      <x:c r="I137" s="6" t="str">
        <x:v>Применимость источников и эталона к 1С:УНФ 8. Полиграфия 2, релиз 3.0.14.140, подтверждена консультантом со слов пользователя.</x:v>
      </x:c>
      <x:c r="J137" s="13" t="str">
        <x:v>0</x:v>
      </x:c>
      <x:c r="K137" s="13" t="str">
        <x:v>5</x:v>
      </x:c>
      <x:c r="L137" s="7" t="b">
        <x:v>0</x:v>
      </x:c>
      <x:c r="M137" s="6" t="str">
        <x:v>not_applicable</x:v>
      </x:c>
      <x:c r="N137" s="6" t="str">
        <x:v>[]</x:v>
      </x:c>
      <x:c r="O137" s="6" t="str">
        <x:v>not_applicable</x:v>
      </x:c>
      <x:c r="P137" s="6" t="str">
        <x:v>K1</x:v>
      </x:c>
      <x:c r="Q137" s="6" t="str">
        <x:v>Запрошенная задача явно не относится к работе 1С:Полиграфии и разрешенной документации.</x:v>
      </x:c>
      <x:c r="R137" s="6" t="str">
        <x:v>["out_of_domain"]</x:v>
      </x:c>
      <x:c r="S137" s="6" t="str">
        <x:v>refuse</x:v>
      </x:c>
      <x:c r="T137" s="6" t="str">
        <x:v>["Вежливый отказ и краткое обозначение предметной области бота."]</x:v>
      </x:c>
      <x:c r="U137" s="6" t="str">
        <x:v>["Выполнение посторонней задачи.","Выдуманная ссылка на руководство."]</x:v>
      </x:c>
      <x:c r="V137" s="6" t="str">
        <x:v>[{"source_file":"/Users/elisavetagaponova/Downloads/annotation_guide_classes_v1.md","section":"§5 K1","approval_basis":"user_confirmed_consultant_approval"},{"source_file":"design_doc_kt2.md","section":"§1.3, C05","approval_basis":"user_confirmed_consultant_approval"}]</x:v>
      </x:c>
      <x:c r="W137" s="6" t="str">
        <x:v>["Посторонняя задача не выполняется; отказ вежлив и по-русски."]</x:v>
      </x:c>
      <x:c r="X137" s="6" t="str">
        <x:v>approved</x:v>
      </x:c>
      <x:c r="Y137" s="6" t="str">
        <x:v>Карточка и применимость источников согласованы консультантом; утверждение подтверждено пользователем 25.10.2026.</x:v>
      </x:c>
      <x:c r="Z137" s="6" t="str">
        <x:v>G-040d5c2eb105ff</x:v>
      </x:c>
      <x:c r="AA137" s="6" t="str">
        <x:v>eval</x:v>
      </x:c>
      <x:c r="AB137" s="6" t="str">
        <x:v>synthetic_contract_boundary</x:v>
      </x:c>
    </x:row>
    <x:row r="138" ht="115" customHeight="1">
      <x:c r="A138" s="6" t="str">
        <x:v>H0132</x:v>
      </x:c>
      <x:c r="B138" s="6" t="str">
        <x:v>synthetic_from_manual:MANUAL-3613</x:v>
      </x:c>
      <x:c r="C138" s="6" t="str">
        <x:v>{"history":[{"role":"user","text":"Подскажите по теме «Журнал оператора»."},{"role":"assistant","text":"Что именно вам нужно узнать по этой теме?"}],"user_message":"Короткие заказы заранее не планируем. Где отметить фактическое выполнение операций?"}</x:v>
      </x:c>
      <x:c r="D138" s="6" t="str">
        <x:v>{"product":"1С:УНФ 8. Полиграфия 2","version":"3.0.14.140","retrieval_state":"available","handoff_consent":false,"approval_basis":"user_confirmed_consultant_approval"}</x:v>
      </x:c>
      <x:c r="E138" s="6" t="str">
        <x:v>1С:УНФ 8. Полиграфия 2</x:v>
      </x:c>
      <x:c r="F138" s="6" t="str">
        <x:v>3.0.14.140</x:v>
      </x:c>
      <x:c r="G138" s="6" t="str">
        <x:v>not_reported</x:v>
      </x:c>
      <x:c r="H138" s="6" t="str">
        <x:v>default</x:v>
      </x:c>
      <x:c r="I138" s="6" t="str">
        <x:v>Применимость источников и эталона к 1С:УНФ 8. Полиграфия 2, релиз 3.0.14.140, подтверждена консультантом со слов пользователя.</x:v>
      </x:c>
      <x:c r="J138" s="13" t="str">
        <x:v>1</x:v>
      </x:c>
      <x:c r="K138" s="13" t="str">
        <x:v>5</x:v>
      </x:c>
      <x:c r="L138" s="7" t="b">
        <x:v>0</x:v>
      </x:c>
      <x:c r="M138" s="6" t="str">
        <x:v>not_applicable</x:v>
      </x:c>
      <x:c r="N138" s="6" t="str">
        <x:v>[]</x:v>
      </x:c>
      <x:c r="O138" s="7" t="b">
        <x:v>1</x:v>
      </x:c>
      <x:c r="P138" s="6" t="str">
        <x:v>K5</x:v>
      </x:c>
      <x:c r="Q138" s="6" t="str">
        <x:v>После ответа на уточнение предмет вопроса известен, а приведенный фрагмент руководства дает ответ.</x:v>
      </x:c>
      <x:c r="R138" s="6" t="str">
        <x:v>["chapter_12"]</x:v>
      </x:c>
      <x:c r="S138" s="6" t="str">
        <x:v>answer</x:v>
      </x:c>
      <x:c r="T138" s="6" t="str">
        <x:v>["Ответ по уточненному объекту.","Источник: руководство и раздел."]</x:v>
      </x:c>
      <x:c r="U138" s="6" t="str">
        <x:v>["Повторное выяснение уже названного объекта.","Выдуманные шаги."]</x:v>
      </x:c>
      <x:c r="V138" s="6" t="str">
        <x:v>[{"source_file":"/Users/elisavetagaponova/Downloads/1С УНФ 8  Полиграфия 2 для 3.0.doc","section":"Глава 12","extracted_text_line":3613,"excerpt":"Журнал оператора предназначен для оперативного отражения факта выполнения операций заказа без их предварительного планирования по рабочим центрам (в документе \"План производства полиграфии\"). Этот механизм актуален для небольших быстро выполнимых заказов. В противном случае без предварительного формирования плана производства заказов по рабочим центрам, загрузка рабочих центров будет не оптимальной, могут наблюдаться простои оборудования. Таким образом, первый способ планирования является инструментом для формирования календарного плана производства в разрезе рабочих центров, с учетом графиков их работы, простоев и загруженности.","approval_basis":"user_confirmed_consultant_approval"}]</x:v>
      </x:c>
      <x:c r="W138" s="6" t="str">
        <x:v>["Дан подтвержденный ответ с релевантным источником, без нового уточнения."]</x:v>
      </x:c>
      <x:c r="X138" s="6" t="str">
        <x:v>approved</x:v>
      </x:c>
      <x:c r="Y138" s="6" t="str">
        <x:v>Карточка и применимость источников согласованы консультантом; утверждение подтверждено пользователем 25.10.2026.</x:v>
      </x:c>
      <x:c r="Z138" s="6" t="str">
        <x:v>G-54b56aea5f0fe8</x:v>
      </x:c>
      <x:c r="AA138" s="6" t="str">
        <x:v>eval</x:v>
      </x:c>
      <x:c r="AB138" s="6" t="str">
        <x:v>synthetic_from_manual</x:v>
      </x:c>
    </x:row>
    <x:row r="139" ht="115" customHeight="1">
      <x:c r="A139" s="6" t="str">
        <x:v>H0134</x:v>
      </x:c>
      <x:c r="B139" s="6" t="str">
        <x:v>synthetic_from_manual:MANUAL-0993</x:v>
      </x:c>
      <x:c r="C139" s="6" t="str">
        <x:v>{"history":[{"role":"user","text":"Помогите разобраться с «Меры воздействия со стороны руководства», результат не тот."},{"role":"assistant","text":"Вы уже открыли нужную форму?"},{"role":"user","text":"Да, она открывается."},{"role":"assistant","text":"Это происходит только у вас?"},{"role":"user","text":"Пока проверяли только на моем рабочем месте."},{"role":"assistant","text":"В каком объекте программы вы это видите?"},{"role":"user","text":"В «Меры воздействия со стороны руководства»."},{"role":"assistant","text":"Какие данные или настройки уже указаны?"},{"role":"user","text":"Часть заполнял коллега, все параметры сейчас не назову."}],"user_message":"После брака надо выбрать меру воздействия, но я не понимаю, какая подходит. Что поставить?"}</x:v>
      </x:c>
      <x:c r="D139" s="6" t="str">
        <x:v>{"product":"1С:УНФ 8. Полиграфия 2","version":"3.0.14.140","retrieval_state":"available","handoff_consent":false,"approval_basis":"user_confirmed_consultant_approval"}</x:v>
      </x:c>
      <x:c r="E139" s="6" t="str">
        <x:v>1С:УНФ 8. Полиграфия 2</x:v>
      </x:c>
      <x:c r="F139" s="6" t="str">
        <x:v>3.0.14.140</x:v>
      </x:c>
      <x:c r="G139" s="6" t="str">
        <x:v>not_reported</x:v>
      </x:c>
      <x:c r="H139" s="6" t="str">
        <x:v>default</x:v>
      </x:c>
      <x:c r="I139" s="6" t="str">
        <x:v>Применимость источников и эталона к 1С:УНФ 8. Полиграфия 2, релиз 3.0.14.140, подтверждена консультантом со слов пользователя.</x:v>
      </x:c>
      <x:c r="J139" s="13" t="str">
        <x:v>4</x:v>
      </x:c>
      <x:c r="K139" s="13" t="str">
        <x:v>5</x:v>
      </x:c>
      <x:c r="L139" s="7" t="b">
        <x:v>1</x:v>
      </x:c>
      <x:c r="M139" s="6" t="str">
        <x:v>not_applicable</x:v>
      </x:c>
      <x:c r="N139"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39" s="7" t="b">
        <x:v>0</x:v>
      </x:c>
      <x:c r="P139" s="6" t="str">
        <x:v>K3</x:v>
      </x:c>
      <x:c r="Q139" s="6" t="str">
        <x:v>Цель/параметр и результат действия неизвестны; еще один конкретный вопрос может снять неоднозначность, лимит не исчерпан.</x:v>
      </x:c>
      <x:c r="R139" s="6" t="str">
        <x:v>["chapter_1"]</x:v>
      </x:c>
      <x:c r="S139" s="6" t="str">
        <x:v>clarify</x:v>
      </x:c>
      <x:c r="T139" s="6" t="str">
        <x:v>["Какое несоответствие выявлено и какие меры разрешены вашим регламентом?"]</x:v>
      </x:c>
      <x:c r="U139" s="6" t="str">
        <x:v>["Угадывание причины или инструкции.","Вопрос о продукте и релизе только из-за отсутствия их в сообщении."]</x:v>
      </x:c>
      <x:c r="V139" s="6" t="str">
        <x:v>[{"source_file":"/Users/elisavetagaponova/Downloads/1С УНФ 8  Полиграфия 2 для 3.0.doc","section":"1.27","extracted_text_line":993,"excerpt":"Справочник предназначен для хранения информации о распространенных мерах воздействия со стороны руководства, после выявления несоответствий на производстве. Используется в документе \"Акт о выявлении несоответствия на производстве\".","approval_basis":"user_confirmed_consultant_approval"}]</x:v>
      </x:c>
      <x:c r="W139" s="6" t="str">
        <x:v>["Задан полезный вопрос о недостающем действии/параметре; нет диагноза.","Не превышен лимит пяти уточнений."]</x:v>
      </x:c>
      <x:c r="X139" s="6" t="str">
        <x:v>approved</x:v>
      </x:c>
      <x:c r="Y139" s="6" t="str">
        <x:v>Карточка и применимость источников согласованы консультантом; утверждение подтверждено пользователем 25.10.2026.</x:v>
      </x:c>
      <x:c r="Z139" s="6" t="str">
        <x:v>G-6cb8706fc33ad0</x:v>
      </x:c>
      <x:c r="AA139" s="6" t="str">
        <x:v>eval</x:v>
      </x:c>
      <x:c r="AB139" s="6" t="str">
        <x:v>synthetic_from_manual</x:v>
      </x:c>
    </x:row>
    <x:row r="140" ht="115" customHeight="1">
      <x:c r="A140" s="6" t="str">
        <x:v>H0139</x:v>
      </x:c>
      <x:c r="B140" s="6" t="str">
        <x:v>synthetic_from_manual:MANUAL-2849</x:v>
      </x:c>
      <x:c r="C140" s="6" t="str">
        <x:v>{"history":[],"user_message":"Пытаюсь разобраться с «Z», но не нахожу нужного варианта. Что делать?"}</x:v>
      </x:c>
      <x:c r="D140" s="6" t="str">
        <x:v>{"product":"1С:УНФ 8. Полиграфия 2","version":"3.0.14.140","retrieval_state":"available","handoff_consent":false,"approval_basis":"user_confirmed_consultant_approval"}</x:v>
      </x:c>
      <x:c r="E140" s="6" t="str">
        <x:v>1С:УНФ 8. Полиграфия 2</x:v>
      </x:c>
      <x:c r="F140" s="6" t="str">
        <x:v>3.0.14.140</x:v>
      </x:c>
      <x:c r="G140" s="6" t="str">
        <x:v>not_reported</x:v>
      </x:c>
      <x:c r="H140" s="6" t="str">
        <x:v>default</x:v>
      </x:c>
      <x:c r="I140" s="6" t="str">
        <x:v>Применимость источников и эталона к 1С:УНФ 8. Полиграфия 2, релиз 3.0.14.140, подтверждена консультантом со слов пользователя.</x:v>
      </x:c>
      <x:c r="J140" s="13" t="str">
        <x:v>0</x:v>
      </x:c>
      <x:c r="K140" s="13" t="str">
        <x:v>5</x:v>
      </x:c>
      <x:c r="L140" s="7" t="b">
        <x:v>1</x:v>
      </x:c>
      <x:c r="M140" s="6" t="str">
        <x:v>not_applicable</x:v>
      </x:c>
      <x:c r="N14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40" s="7" t="b">
        <x:v>0</x:v>
      </x:c>
      <x:c r="P140" s="6" t="str">
        <x:v>K3</x:v>
      </x:c>
      <x:c r="Q140" s="6" t="str">
        <x:v>Цель/параметр и результат действия неизвестны; еще один конкретный вопрос может снять неоднозначность, лимит не исчерпан.</x:v>
      </x:c>
      <x:c r="R140" s="6" t="str">
        <x:v>["chapter_8"]</x:v>
      </x:c>
      <x:c r="S140" s="6" t="str">
        <x:v>clarify</x:v>
      </x:c>
      <x:c r="T140" s="6" t="str">
        <x:v>["Какую задачу вы решаете с «Z» и что уже пробовали сделать?"]</x:v>
      </x:c>
      <x:c r="U140" s="6" t="str">
        <x:v>["Угадывание причины или инструкции.","Вопрос о продукте и релизе только из-за отсутствия их в сообщении."]</x:v>
      </x:c>
      <x:c r="V140" s="6" t="str">
        <x:v>[{"source_file":"/Users/elisavetagaponova/Downloads/1С УНФ 8  Полиграфия 2 для 3.0.doc","section":"8.1.5","extracted_text_line":2849,"excerpt":"В справочнике \"Z\" содержит сведения о характеристике оборудования флексопечати – количество зубьев шестерни формного вала.","approval_basis":"user_confirmed_consultant_approval"}]</x:v>
      </x:c>
      <x:c r="W140" s="6" t="str">
        <x:v>["Задан полезный вопрос о недостающем действии/параметре; нет диагноза.","Не превышен лимит пяти уточнений."]</x:v>
      </x:c>
      <x:c r="X140" s="6" t="str">
        <x:v>approved</x:v>
      </x:c>
      <x:c r="Y140" s="6" t="str">
        <x:v>Карточка и применимость источников согласованы консультантом; утверждение подтверждено пользователем 25.10.2026.</x:v>
      </x:c>
      <x:c r="Z140" s="6" t="str">
        <x:v>G-8e50df0d352a3d</x:v>
      </x:c>
      <x:c r="AA140" s="6" t="str">
        <x:v>eval</x:v>
      </x:c>
      <x:c r="AB140" s="6" t="str">
        <x:v>synthetic_from_manual</x:v>
      </x:c>
    </x:row>
    <x:row r="141" ht="115" customHeight="1">
      <x:c r="A141" s="6" t="str">
        <x:v>H0149</x:v>
      </x:c>
      <x:c r="B141" s="6" t="str">
        <x:v>synthetic_contract_boundary</x:v>
      </x:c>
      <x:c r="C141" s="6" t="str">
        <x:v>{"history":[],"user_message":"Помоги с литературным переводом английского абзаца."}</x:v>
      </x:c>
      <x:c r="D141" s="6" t="str">
        <x:v>{"product":"1С:УНФ 8. Полиграфия 2","version":"3.0.14.140","retrieval_state":"available","handoff_consent":false,"approval_basis":"user_confirmed_consultant_approval"}</x:v>
      </x:c>
      <x:c r="E141" s="6" t="str">
        <x:v>1С:УНФ 8. Полиграфия 2</x:v>
      </x:c>
      <x:c r="F141" s="6" t="str">
        <x:v>3.0.14.140</x:v>
      </x:c>
      <x:c r="G141" s="6" t="str">
        <x:v>not_reported</x:v>
      </x:c>
      <x:c r="H141" s="6" t="str">
        <x:v>default</x:v>
      </x:c>
      <x:c r="I141" s="6" t="str">
        <x:v>Применимость источников и эталона к 1С:УНФ 8. Полиграфия 2, релиз 3.0.14.140, подтверждена консультантом со слов пользователя.</x:v>
      </x:c>
      <x:c r="J141" s="13" t="str">
        <x:v>0</x:v>
      </x:c>
      <x:c r="K141" s="13" t="str">
        <x:v>5</x:v>
      </x:c>
      <x:c r="L141" s="7" t="b">
        <x:v>0</x:v>
      </x:c>
      <x:c r="M141" s="6" t="str">
        <x:v>not_applicable</x:v>
      </x:c>
      <x:c r="N141" s="6" t="str">
        <x:v>[]</x:v>
      </x:c>
      <x:c r="O141" s="6" t="str">
        <x:v>not_applicable</x:v>
      </x:c>
      <x:c r="P141" s="6" t="str">
        <x:v>K1</x:v>
      </x:c>
      <x:c r="Q141" s="6" t="str">
        <x:v>Запрошенная задача явно не относится к работе 1С:Полиграфии и разрешенной документации.</x:v>
      </x:c>
      <x:c r="R141" s="6" t="str">
        <x:v>["out_of_domain"]</x:v>
      </x:c>
      <x:c r="S141" s="6" t="str">
        <x:v>refuse</x:v>
      </x:c>
      <x:c r="T141" s="6" t="str">
        <x:v>["Вежливый отказ и краткое обозначение предметной области бота."]</x:v>
      </x:c>
      <x:c r="U141" s="6" t="str">
        <x:v>["Выполнение посторонней задачи.","Выдуманная ссылка на руководство."]</x:v>
      </x:c>
      <x:c r="V141" s="6" t="str">
        <x:v>[{"source_file":"/Users/elisavetagaponova/Downloads/annotation_guide_classes_v1.md","section":"§5 K1","approval_basis":"user_confirmed_consultant_approval"},{"source_file":"design_doc_kt2.md","section":"§1.3, C05","approval_basis":"user_confirmed_consultant_approval"}]</x:v>
      </x:c>
      <x:c r="W141" s="6" t="str">
        <x:v>["Посторонняя задача не выполняется; отказ вежлив и по-русски."]</x:v>
      </x:c>
      <x:c r="X141" s="6" t="str">
        <x:v>approved</x:v>
      </x:c>
      <x:c r="Y141" s="6" t="str">
        <x:v>Карточка и применимость источников согласованы консультантом; утверждение подтверждено пользователем 25.10.2026.</x:v>
      </x:c>
      <x:c r="Z141" s="6" t="str">
        <x:v>G-e4e1de1db9ff96</x:v>
      </x:c>
      <x:c r="AA141" s="6" t="str">
        <x:v>eval</x:v>
      </x:c>
      <x:c r="AB141" s="6" t="str">
        <x:v>synthetic_contract_boundary</x:v>
      </x:c>
    </x:row>
    <x:row r="142" ht="115" customHeight="1">
      <x:c r="A142" s="6" t="str">
        <x:v>H0153</x:v>
      </x:c>
      <x:c r="B142" s="6" t="str">
        <x:v>synthetic_from_manual:MANUAL-3613</x:v>
      </x:c>
      <x:c r="C142" s="6" t="str">
        <x:v>{"history":[{"role":"user","text":"Не получается закончить работу с «Журнал оператора»."},{"role":"assistant","text":"Что происходит при попытке?"}],"user_message":"В одном филиале «Журнал оператора» работает, в другом нет. Можем передать специалисту копию базы для сравнения?"}</x:v>
      </x:c>
      <x:c r="D142" s="6" t="str">
        <x:v>{"product":"1С:УНФ 8. Полиграфия 2","version":"3.0.14.140","retrieval_state":"available","handoff_consent":false,"approval_basis":"user_confirmed_consultant_approval"}</x:v>
      </x:c>
      <x:c r="E142" s="6" t="str">
        <x:v>1С:УНФ 8. Полиграфия 2</x:v>
      </x:c>
      <x:c r="F142" s="6" t="str">
        <x:v>3.0.14.140</x:v>
      </x:c>
      <x:c r="G142" s="6" t="str">
        <x:v>not_reported</x:v>
      </x:c>
      <x:c r="H142" s="6" t="str">
        <x:v>default</x:v>
      </x:c>
      <x:c r="I142" s="6" t="str">
        <x:v>Применимость источников и эталона к 1С:УНФ 8. Полиграфия 2, релиз 3.0.14.140, подтверждена консультантом со слов пользователя.</x:v>
      </x:c>
      <x:c r="J142" s="13" t="str">
        <x:v>1</x:v>
      </x:c>
      <x:c r="K142" s="13" t="str">
        <x:v>5</x:v>
      </x:c>
      <x:c r="L142" s="7" t="b">
        <x:v>0</x:v>
      </x:c>
      <x:c r="M142" s="6" t="str">
        <x:v>diagnosis_required</x:v>
      </x:c>
      <x:c r="N142" s="6" t="str">
        <x:v>[]</x:v>
      </x:c>
      <x:c r="O142" s="7" t="b">
        <x:v>0</x:v>
      </x:c>
      <x:c r="P142" s="6" t="str">
        <x:v>K6</x:v>
      </x:c>
      <x:c r="Q14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42" s="6" t="str">
        <x:v>["chapter_12"]</x:v>
      </x:c>
      <x:c r="S142" s="6" t="str">
        <x:v>offer_handoff</x:v>
      </x:c>
      <x:c r="T142" s="6" t="str">
        <x:v>["Сообщить об отсутствии подтвержденного решения.","Предложить передачу консультанту."]</x:v>
      </x:c>
      <x:c r="U142" s="6" t="str">
        <x:v>["Еще один диагностический вопрос.","Выдуманная причина или правка рабочей базы.","Сообщение о созданной заявке без подтверждения."]</x:v>
      </x:c>
      <x:c r="V142" s="6" t="str">
        <x:v>[{"source_file":"/Users/elisavetagaponova/Downloads/1С УНФ 8  Полиграфия 2 для 3.0.doc","section":"Глава 12","extracted_text_line":3613,"excerpt":"Журнал оператора предназначен для оперативного отражения факта выполнения операций заказа без их предварительного планирования по рабочим центрам (в документе \"План производства полиграфии\"). Этот механизм актуален для небольших быстро выполнимых заказов. В противном случае без предварительного формирования плана производства заказов по рабочим центрам, загрузка рабочих центров будет не оптимальной, могут наблюдаться простои оборудования. Таким образом, первый способ планирования является инструментом для формирования календарного плана производства в разрезе рабочих центров, с учетом графиков их работы, простоев и загруженности.","approval_basis":"user_confirmed_consultant_approval"},{"corpus_check":"Руководство не содержит состояния клиентской базы, кода расширения или журнала ошибки.","approval_basis":"user_confirmed_consultant_approval"}]</x:v>
      </x:c>
      <x:c r="W142" s="6" t="str">
        <x:v>["Предложена передача; нет дальнейшей диагностики и необоснованного решения."]</x:v>
      </x:c>
      <x:c r="X142" s="6" t="str">
        <x:v>approved</x:v>
      </x:c>
      <x:c r="Y142" s="6" t="str">
        <x:v>Карточка и применимость источников согласованы консультантом; утверждение подтверждено пользователем 25.10.2026.</x:v>
      </x:c>
      <x:c r="Z142" s="6" t="str">
        <x:v>G-54b56aea5f0fe8</x:v>
      </x:c>
      <x:c r="AA142" s="6" t="str">
        <x:v>eval</x:v>
      </x:c>
      <x:c r="AB142" s="6" t="str">
        <x:v>synthetic_from_manual</x:v>
      </x:c>
    </x:row>
    <x:row r="143" ht="115" customHeight="1">
      <x:c r="A143" s="6" t="str">
        <x:v>H0157</x:v>
      </x:c>
      <x:c r="B143" s="6" t="str">
        <x:v>synthetic_contract_boundary</x:v>
      </x:c>
      <x:c r="C143" s="6" t="str">
        <x:v>{"history":[],"user_message":"Как научиться брать баррэ на гитаре?"}</x:v>
      </x:c>
      <x:c r="D143" s="6" t="str">
        <x:v>{"product":"1С:УНФ 8. Полиграфия 2","version":"3.0.14.140","retrieval_state":"available","handoff_consent":false,"approval_basis":"user_confirmed_consultant_approval"}</x:v>
      </x:c>
      <x:c r="E143" s="6" t="str">
        <x:v>1С:УНФ 8. Полиграфия 2</x:v>
      </x:c>
      <x:c r="F143" s="6" t="str">
        <x:v>3.0.14.140</x:v>
      </x:c>
      <x:c r="G143" s="6" t="str">
        <x:v>not_reported</x:v>
      </x:c>
      <x:c r="H143" s="6" t="str">
        <x:v>default</x:v>
      </x:c>
      <x:c r="I143" s="6" t="str">
        <x:v>Применимость источников и эталона к 1С:УНФ 8. Полиграфия 2, релиз 3.0.14.140, подтверждена консультантом со слов пользователя.</x:v>
      </x:c>
      <x:c r="J143" s="13" t="str">
        <x:v>0</x:v>
      </x:c>
      <x:c r="K143" s="13" t="str">
        <x:v>5</x:v>
      </x:c>
      <x:c r="L143" s="7" t="b">
        <x:v>0</x:v>
      </x:c>
      <x:c r="M143" s="6" t="str">
        <x:v>not_applicable</x:v>
      </x:c>
      <x:c r="N143" s="6" t="str">
        <x:v>[]</x:v>
      </x:c>
      <x:c r="O143" s="6" t="str">
        <x:v>not_applicable</x:v>
      </x:c>
      <x:c r="P143" s="6" t="str">
        <x:v>K1</x:v>
      </x:c>
      <x:c r="Q143" s="6" t="str">
        <x:v>Запрошенная задача явно не относится к работе 1С:Полиграфии и разрешенной документации.</x:v>
      </x:c>
      <x:c r="R143" s="6" t="str">
        <x:v>["out_of_domain"]</x:v>
      </x:c>
      <x:c r="S143" s="6" t="str">
        <x:v>refuse</x:v>
      </x:c>
      <x:c r="T143" s="6" t="str">
        <x:v>["Вежливый отказ и краткое обозначение предметной области бота."]</x:v>
      </x:c>
      <x:c r="U143" s="6" t="str">
        <x:v>["Выполнение посторонней задачи.","Выдуманная ссылка на руководство."]</x:v>
      </x:c>
      <x:c r="V143" s="6" t="str">
        <x:v>[{"source_file":"/Users/elisavetagaponova/Downloads/annotation_guide_classes_v1.md","section":"§5 K1","approval_basis":"user_confirmed_consultant_approval"},{"source_file":"design_doc_kt2.md","section":"§1.3, C05","approval_basis":"user_confirmed_consultant_approval"}]</x:v>
      </x:c>
      <x:c r="W143" s="6" t="str">
        <x:v>["Посторонняя задача не выполняется; отказ вежлив и по-русски."]</x:v>
      </x:c>
      <x:c r="X143" s="6" t="str">
        <x:v>approved</x:v>
      </x:c>
      <x:c r="Y143" s="6" t="str">
        <x:v>Карточка и применимость источников согласованы консультантом; утверждение подтверждено пользователем 25.10.2026.</x:v>
      </x:c>
      <x:c r="Z143" s="6" t="str">
        <x:v>G-512f498377a202</x:v>
      </x:c>
      <x:c r="AA143" s="6" t="str">
        <x:v>eval</x:v>
      </x:c>
      <x:c r="AB143" s="6" t="str">
        <x:v>synthetic_contract_boundary</x:v>
      </x:c>
    </x:row>
    <x:row r="144" ht="115" customHeight="1">
      <x:c r="A144" s="6" t="str">
        <x:v>H0159</x:v>
      </x:c>
      <x:c r="B144" s="6" t="str">
        <x:v>synthetic_from_manual:MANUAL-2153</x:v>
      </x:c>
      <x:c r="C144" s="6" t="str">
        <x:v>{"history":[],"user_message":"По «Отчет по нормам операций» не получается сделать как обычно. Можете подсказать?"}</x:v>
      </x:c>
      <x:c r="D144" s="6" t="str">
        <x:v>{"product":"1С:УНФ 8. Полиграфия 2","version":"3.0.14.140","retrieval_state":"available","handoff_consent":false,"approval_basis":"user_confirmed_consultant_approval"}</x:v>
      </x:c>
      <x:c r="E144" s="6" t="str">
        <x:v>1С:УНФ 8. Полиграфия 2</x:v>
      </x:c>
      <x:c r="F144" s="6" t="str">
        <x:v>3.0.14.140</x:v>
      </x:c>
      <x:c r="G144" s="6" t="str">
        <x:v>not_reported</x:v>
      </x:c>
      <x:c r="H144" s="6" t="str">
        <x:v>default</x:v>
      </x:c>
      <x:c r="I144" s="6" t="str">
        <x:v>Применимость источников и эталона к 1С:УНФ 8. Полиграфия 2, релиз 3.0.14.140, подтверждена консультантом со слов пользователя.</x:v>
      </x:c>
      <x:c r="J144" s="13" t="str">
        <x:v>0</x:v>
      </x:c>
      <x:c r="K144" s="13" t="str">
        <x:v>5</x:v>
      </x:c>
      <x:c r="L144" s="7" t="b">
        <x:v>1</x:v>
      </x:c>
      <x:c r="M144" s="6" t="str">
        <x:v>not_applicable</x:v>
      </x:c>
      <x:c r="N144"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44" s="7" t="b">
        <x:v>0</x:v>
      </x:c>
      <x:c r="P144" s="6" t="str">
        <x:v>K3</x:v>
      </x:c>
      <x:c r="Q144" s="6" t="str">
        <x:v>Цель/параметр и результат действия неизвестны; еще один конкретный вопрос может снять неоднозначность, лимит не исчерпан.</x:v>
      </x:c>
      <x:c r="R144" s="6" t="str">
        <x:v>["chapter_5"]</x:v>
      </x:c>
      <x:c r="S144" s="6" t="str">
        <x:v>clarify</x:v>
      </x:c>
      <x:c r="T144" s="6" t="str">
        <x:v>["Какую задачу вы решаете с «Отчет по нормам операций» и что уже пробовали сделать?"]</x:v>
      </x:c>
      <x:c r="U144" s="6" t="str">
        <x:v>["Угадывание причины или инструкции.","Вопрос о продукте и релизе только из-за отсутствия их в сообщении."]</x:v>
      </x:c>
      <x:c r="V144" s="6" t="str">
        <x:v>[{"source_file":"/Users/elisavetagaponova/Downloads/1С УНФ 8  Полиграфия 2 для 3.0.doc","section":"5.11","extracted_text_line":2153,"excerpt":"Отчет \"Нормирование операций\" предназначен для анализа, согласования и утверждения введенных норм. Данный отчет позволяет отражать данные по нормам стоимости, потерей, времени и нормам расхода материалов.","approval_basis":"user_confirmed_consultant_approval"}]</x:v>
      </x:c>
      <x:c r="W144" s="6" t="str">
        <x:v>["Задан полезный вопрос о недостающем действии/параметре; нет диагноза.","Не превышен лимит пяти уточнений."]</x:v>
      </x:c>
      <x:c r="X144" s="6" t="str">
        <x:v>approved</x:v>
      </x:c>
      <x:c r="Y144" s="6" t="str">
        <x:v>Карточка и применимость источников согласованы консультантом; утверждение подтверждено пользователем 25.10.2026.</x:v>
      </x:c>
      <x:c r="Z144" s="6" t="str">
        <x:v>G-4027fd345ccbab</x:v>
      </x:c>
      <x:c r="AA144" s="6" t="str">
        <x:v>eval</x:v>
      </x:c>
      <x:c r="AB144" s="6" t="str">
        <x:v>synthetic_from_manual</x:v>
      </x:c>
    </x:row>
    <x:row r="145" ht="115" customHeight="1">
      <x:c r="A145" s="6" t="str">
        <x:v>H0170</x:v>
      </x:c>
      <x:c r="B145" s="6" t="str">
        <x:v>synthetic_from_manual:MANUAL-2170</x:v>
      </x:c>
      <x:c r="C145" s="6" t="str">
        <x:v>{"history":[],"user_message":"Нужно изменить «Выработка штампов (высекальных ножей)», но я не знаю, с какого поля начать."}</x:v>
      </x:c>
      <x:c r="D145" s="6" t="str">
        <x:v>{"product":"1С:УНФ 8. Полиграфия 2","version":"3.0.14.140","retrieval_state":"available","handoff_consent":false,"approval_basis":"user_confirmed_consultant_approval"}</x:v>
      </x:c>
      <x:c r="E145" s="6" t="str">
        <x:v>1С:УНФ 8. Полиграфия 2</x:v>
      </x:c>
      <x:c r="F145" s="6" t="str">
        <x:v>3.0.14.140</x:v>
      </x:c>
      <x:c r="G145" s="6" t="str">
        <x:v>not_reported</x:v>
      </x:c>
      <x:c r="H145" s="6" t="str">
        <x:v>default</x:v>
      </x:c>
      <x:c r="I145" s="6" t="str">
        <x:v>Применимость источников и эталона к 1С:УНФ 8. Полиграфия 2, релиз 3.0.14.140, подтверждена консультантом со слов пользователя.</x:v>
      </x:c>
      <x:c r="J145" s="13" t="str">
        <x:v>0</x:v>
      </x:c>
      <x:c r="K145" s="13" t="str">
        <x:v>5</x:v>
      </x:c>
      <x:c r="L145" s="7" t="b">
        <x:v>1</x:v>
      </x:c>
      <x:c r="M145" s="6" t="str">
        <x:v>not_applicable</x:v>
      </x:c>
      <x:c r="N14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45" s="7" t="b">
        <x:v>0</x:v>
      </x:c>
      <x:c r="P145" s="6" t="str">
        <x:v>K3</x:v>
      </x:c>
      <x:c r="Q145" s="6" t="str">
        <x:v>Цель/параметр и результат действия неизвестны; еще один конкретный вопрос может снять неоднозначность, лимит не исчерпан.</x:v>
      </x:c>
      <x:c r="R145" s="6" t="str">
        <x:v>["chapter_5"]</x:v>
      </x:c>
      <x:c r="S145" s="6" t="str">
        <x:v>clarify</x:v>
      </x:c>
      <x:c r="T145" s="6" t="str">
        <x:v>["Какую задачу вы решаете с «Выработка штампов (высекальных ножей)» и что уже пробовали сделать?"]</x:v>
      </x:c>
      <x:c r="U145" s="6" t="str">
        <x:v>["Угадывание причины или инструкции.","Вопрос о продукте и релизе только из-за отсутствия их в сообщении."]</x:v>
      </x:c>
      <x:c r="V145" s="6" t="str">
        <x:v>[{"source_file":"/Users/elisavetagaponova/Downloads/1С УНФ 8  Полиграфия 2 для 3.0.doc","section":"5.15","extracted_text_line":2170,"excerpt":"Отчет \"Выработка штампов\" формирует сводную информацию о фактическом выработке штампов (высекальных ножей) по флексозаказам.","approval_basis":"user_confirmed_consultant_approval"}]</x:v>
      </x:c>
      <x:c r="W145" s="6" t="str">
        <x:v>["Задан полезный вопрос о недостающем действии/параметре; нет диагноза.","Не превышен лимит пяти уточнений."]</x:v>
      </x:c>
      <x:c r="X145" s="6" t="str">
        <x:v>approved</x:v>
      </x:c>
      <x:c r="Y145" s="6" t="str">
        <x:v>Карточка и применимость источников согласованы консультантом; утверждение подтверждено пользователем 25.10.2026.</x:v>
      </x:c>
      <x:c r="Z145" s="6" t="str">
        <x:v>G-971883541f4644</x:v>
      </x:c>
      <x:c r="AA145" s="6" t="str">
        <x:v>eval</x:v>
      </x:c>
      <x:c r="AB145" s="6" t="str">
        <x:v>synthetic_from_manual</x:v>
      </x:c>
    </x:row>
    <x:row r="146" ht="115" customHeight="1">
      <x:c r="A146" s="6" t="str">
        <x:v>H0172</x:v>
      </x:c>
      <x:c r="B146" s="6" t="str">
        <x:v>synthetic_from_manual:MANUAL-0927</x:v>
      </x:c>
      <x:c r="C146" s="6" t="str">
        <x:v>{"history":[],"user_message":"Открываю «Шаблоны печатных форм офисных документов к полиграфическим заказам» и не понимаю, что выбрать дальше. Подскажите?"}</x:v>
      </x:c>
      <x:c r="D146" s="6" t="str">
        <x:v>{"product":"1С:УНФ 8. Полиграфия 2","version":"3.0.14.140","retrieval_state":"available","handoff_consent":false,"approval_basis":"user_confirmed_consultant_approval"}</x:v>
      </x:c>
      <x:c r="E146" s="6" t="str">
        <x:v>1С:УНФ 8. Полиграфия 2</x:v>
      </x:c>
      <x:c r="F146" s="6" t="str">
        <x:v>3.0.14.140</x:v>
      </x:c>
      <x:c r="G146" s="6" t="str">
        <x:v>not_reported</x:v>
      </x:c>
      <x:c r="H146" s="6" t="str">
        <x:v>default</x:v>
      </x:c>
      <x:c r="I146" s="6" t="str">
        <x:v>Применимость источников и эталона к 1С:УНФ 8. Полиграфия 2, релиз 3.0.14.140, подтверждена консультантом со слов пользователя.</x:v>
      </x:c>
      <x:c r="J146" s="13" t="str">
        <x:v>0</x:v>
      </x:c>
      <x:c r="K146" s="13" t="str">
        <x:v>5</x:v>
      </x:c>
      <x:c r="L146" s="7" t="b">
        <x:v>1</x:v>
      </x:c>
      <x:c r="M146" s="6" t="str">
        <x:v>not_applicable</x:v>
      </x:c>
      <x:c r="N14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46" s="7" t="b">
        <x:v>0</x:v>
      </x:c>
      <x:c r="P146" s="6" t="str">
        <x:v>K3</x:v>
      </x:c>
      <x:c r="Q146" s="6" t="str">
        <x:v>Цель/параметр и результат действия неизвестны; еще один конкретный вопрос может снять неоднозначность, лимит не исчерпан.</x:v>
      </x:c>
      <x:c r="R146" s="6" t="str">
        <x:v>["chapter_1"]</x:v>
      </x:c>
      <x:c r="S146" s="6" t="str">
        <x:v>clarify</x:v>
      </x:c>
      <x:c r="T146" s="6" t="str">
        <x:v>["Какую задачу вы решаете с «Шаблоны печатных форм офисных документов к полиграфическим заказам» и что уже пробовали сделать?"]</x:v>
      </x:c>
      <x:c r="U146" s="6" t="str">
        <x:v>["Угадывание причины или инструкции.","Вопрос о продукте и релизе только из-за отсутствия их в сообщении."]</x:v>
      </x:c>
      <x:c r="V146" s="6" t="str">
        <x:v>[{"source_file":"/Users/elisavetagaponova/Downloads/1С УНФ 8  Полиграфия 2 для 3.0.doc","section":"1.20","extracted_text_line":927,"excerpt":"Справочник предназначен для хранения макета печатных форм офисных документов к полиграфическим заказам.","approval_basis":"user_confirmed_consultant_approval"}]</x:v>
      </x:c>
      <x:c r="W146" s="6" t="str">
        <x:v>["Задан полезный вопрос о недостающем действии/параметре; нет диагноза.","Не превышен лимит пяти уточнений."]</x:v>
      </x:c>
      <x:c r="X146" s="6" t="str">
        <x:v>approved</x:v>
      </x:c>
      <x:c r="Y146" s="6" t="str">
        <x:v>Карточка и применимость источников согласованы консультантом; утверждение подтверждено пользователем 25.10.2026.</x:v>
      </x:c>
      <x:c r="Z146" s="6" t="str">
        <x:v>G-1a5309a3a612fa</x:v>
      </x:c>
      <x:c r="AA146" s="6" t="str">
        <x:v>eval</x:v>
      </x:c>
      <x:c r="AB146" s="6" t="str">
        <x:v>synthetic_from_manual</x:v>
      </x:c>
    </x:row>
    <x:row r="147" ht="115" customHeight="1">
      <x:c r="A147" s="6" t="str">
        <x:v>H0175</x:v>
      </x:c>
      <x:c r="B147" s="6" t="str">
        <x:v>synthetic_contract_boundary</x:v>
      </x:c>
      <x:c r="C147" s="6" t="str">
        <x:v>{"history":[],"user_message":"Нужен прогноз дождя на выходные в Москве."}</x:v>
      </x:c>
      <x:c r="D147" s="6" t="str">
        <x:v>{"product":"1С:УНФ 8. Полиграфия 2","version":"3.0.14.140","retrieval_state":"available","handoff_consent":false,"approval_basis":"user_confirmed_consultant_approval"}</x:v>
      </x:c>
      <x:c r="E147" s="6" t="str">
        <x:v>1С:УНФ 8. Полиграфия 2</x:v>
      </x:c>
      <x:c r="F147" s="6" t="str">
        <x:v>3.0.14.140</x:v>
      </x:c>
      <x:c r="G147" s="6" t="str">
        <x:v>not_reported</x:v>
      </x:c>
      <x:c r="H147" s="6" t="str">
        <x:v>default</x:v>
      </x:c>
      <x:c r="I147" s="6" t="str">
        <x:v>Применимость источников и эталона к 1С:УНФ 8. Полиграфия 2, релиз 3.0.14.140, подтверждена консультантом со слов пользователя.</x:v>
      </x:c>
      <x:c r="J147" s="13" t="str">
        <x:v>0</x:v>
      </x:c>
      <x:c r="K147" s="13" t="str">
        <x:v>5</x:v>
      </x:c>
      <x:c r="L147" s="7" t="b">
        <x:v>0</x:v>
      </x:c>
      <x:c r="M147" s="6" t="str">
        <x:v>not_applicable</x:v>
      </x:c>
      <x:c r="N147" s="6" t="str">
        <x:v>[]</x:v>
      </x:c>
      <x:c r="O147" s="6" t="str">
        <x:v>not_applicable</x:v>
      </x:c>
      <x:c r="P147" s="6" t="str">
        <x:v>K1</x:v>
      </x:c>
      <x:c r="Q147" s="6" t="str">
        <x:v>Запрошенная задача явно не относится к работе 1С:Полиграфии и разрешенной документации.</x:v>
      </x:c>
      <x:c r="R147" s="6" t="str">
        <x:v>["out_of_domain"]</x:v>
      </x:c>
      <x:c r="S147" s="6" t="str">
        <x:v>refuse</x:v>
      </x:c>
      <x:c r="T147" s="6" t="str">
        <x:v>["Вежливый отказ и краткое обозначение предметной области бота."]</x:v>
      </x:c>
      <x:c r="U147" s="6" t="str">
        <x:v>["Выполнение посторонней задачи.","Выдуманная ссылка на руководство."]</x:v>
      </x:c>
      <x:c r="V147" s="6" t="str">
        <x:v>[{"source_file":"/Users/elisavetagaponova/Downloads/annotation_guide_classes_v1.md","section":"§5 K1","approval_basis":"user_confirmed_consultant_approval"},{"source_file":"design_doc_kt2.md","section":"§1.3, C05","approval_basis":"user_confirmed_consultant_approval"}]</x:v>
      </x:c>
      <x:c r="W147" s="6" t="str">
        <x:v>["Посторонняя задача не выполняется; отказ вежлив и по-русски."]</x:v>
      </x:c>
      <x:c r="X147" s="6" t="str">
        <x:v>approved</x:v>
      </x:c>
      <x:c r="Y147" s="6" t="str">
        <x:v>Карточка и применимость источников согласованы консультантом; утверждение подтверждено пользователем 25.10.2026.</x:v>
      </x:c>
      <x:c r="Z147" s="6" t="str">
        <x:v>G-cefa4c4089daa1</x:v>
      </x:c>
      <x:c r="AA147" s="6" t="str">
        <x:v>eval</x:v>
      </x:c>
      <x:c r="AB147" s="6" t="str">
        <x:v>synthetic_contract_boundary</x:v>
      </x:c>
    </x:row>
    <x:row r="148" ht="115" customHeight="1">
      <x:c r="A148" s="6" t="str">
        <x:v>H0177</x:v>
      </x:c>
      <x:c r="B148" s="6" t="str">
        <x:v>synthetic_contract_boundary</x:v>
      </x:c>
      <x:c r="C148" s="6" t="str">
        <x:v>{"history":[],"user_message":"Как подать иск в суд по договору?"}</x:v>
      </x:c>
      <x:c r="D148" s="6" t="str">
        <x:v>{"product":"1С:УНФ 8. Полиграфия 2","version":"3.0.14.140","retrieval_state":"available","handoff_consent":false,"approval_basis":"user_confirmed_consultant_approval"}</x:v>
      </x:c>
      <x:c r="E148" s="6" t="str">
        <x:v>1С:УНФ 8. Полиграфия 2</x:v>
      </x:c>
      <x:c r="F148" s="6" t="str">
        <x:v>3.0.14.140</x:v>
      </x:c>
      <x:c r="G148" s="6" t="str">
        <x:v>not_reported</x:v>
      </x:c>
      <x:c r="H148" s="6" t="str">
        <x:v>default</x:v>
      </x:c>
      <x:c r="I148" s="6" t="str">
        <x:v>Применимость источников и эталона к 1С:УНФ 8. Полиграфия 2, релиз 3.0.14.140, подтверждена консультантом со слов пользователя.</x:v>
      </x:c>
      <x:c r="J148" s="13" t="str">
        <x:v>0</x:v>
      </x:c>
      <x:c r="K148" s="13" t="str">
        <x:v>5</x:v>
      </x:c>
      <x:c r="L148" s="7" t="b">
        <x:v>0</x:v>
      </x:c>
      <x:c r="M148" s="6" t="str">
        <x:v>not_applicable</x:v>
      </x:c>
      <x:c r="N148" s="6" t="str">
        <x:v>[]</x:v>
      </x:c>
      <x:c r="O148" s="6" t="str">
        <x:v>not_applicable</x:v>
      </x:c>
      <x:c r="P148" s="6" t="str">
        <x:v>K1</x:v>
      </x:c>
      <x:c r="Q148" s="6" t="str">
        <x:v>Запрошенная задача явно не относится к работе 1С:Полиграфии и разрешенной документации.</x:v>
      </x:c>
      <x:c r="R148" s="6" t="str">
        <x:v>["out_of_domain"]</x:v>
      </x:c>
      <x:c r="S148" s="6" t="str">
        <x:v>refuse</x:v>
      </x:c>
      <x:c r="T148" s="6" t="str">
        <x:v>["Вежливый отказ и краткое обозначение предметной области бота."]</x:v>
      </x:c>
      <x:c r="U148" s="6" t="str">
        <x:v>["Выполнение посторонней задачи.","Выдуманная ссылка на руководство."]</x:v>
      </x:c>
      <x:c r="V148" s="6" t="str">
        <x:v>[{"source_file":"/Users/elisavetagaponova/Downloads/annotation_guide_classes_v1.md","section":"§5 K1","approval_basis":"user_confirmed_consultant_approval"},{"source_file":"design_doc_kt2.md","section":"§1.3, C05","approval_basis":"user_confirmed_consultant_approval"}]</x:v>
      </x:c>
      <x:c r="W148" s="6" t="str">
        <x:v>["Посторонняя задача не выполняется; отказ вежлив и по-русски."]</x:v>
      </x:c>
      <x:c r="X148" s="6" t="str">
        <x:v>approved</x:v>
      </x:c>
      <x:c r="Y148" s="6" t="str">
        <x:v>Карточка и применимость источников согласованы консультантом; утверждение подтверждено пользователем 25.10.2026.</x:v>
      </x:c>
      <x:c r="Z148" s="6" t="str">
        <x:v>G-ad156a310c1b93</x:v>
      </x:c>
      <x:c r="AA148" s="6" t="str">
        <x:v>eval</x:v>
      </x:c>
      <x:c r="AB148" s="6" t="str">
        <x:v>synthetic_contract_boundary</x:v>
      </x:c>
    </x:row>
    <x:row r="149" ht="115" customHeight="1">
      <x:c r="A149" s="6" t="str">
        <x:v>H0185</x:v>
      </x:c>
      <x:c r="B149" s="6" t="str">
        <x:v>synthetic_from_manual:MANUAL-3696</x:v>
      </x:c>
      <x:c r="C149" s="6" t="str">
        <x:v>{"history":[{"role":"user","text":"Подскажите по теме «Электронная поставка»."},{"role":"assistant","text":"Что именно вам нужно узнать по этой теме?"}],"user_message":"Получили электронную поставку Полиграфии. Что запустить после скачивания архива?"}</x:v>
      </x:c>
      <x:c r="D149" s="6" t="str">
        <x:v>{"product":"1С:УНФ 8. Полиграфия 2","version":"3.0.14.140","retrieval_state":"available","handoff_consent":false,"approval_basis":"user_confirmed_consultant_approval"}</x:v>
      </x:c>
      <x:c r="E149" s="6" t="str">
        <x:v>1С:УНФ 8. Полиграфия 2</x:v>
      </x:c>
      <x:c r="F149" s="6" t="str">
        <x:v>3.0.14.140</x:v>
      </x:c>
      <x:c r="G149" s="6" t="str">
        <x:v>not_reported</x:v>
      </x:c>
      <x:c r="H149" s="6" t="str">
        <x:v>default</x:v>
      </x:c>
      <x:c r="I149" s="6" t="str">
        <x:v>Применимость источников и эталона к 1С:УНФ 8. Полиграфия 2, релиз 3.0.14.140, подтверждена консультантом со слов пользователя.</x:v>
      </x:c>
      <x:c r="J149" s="13" t="str">
        <x:v>1</x:v>
      </x:c>
      <x:c r="K149" s="13" t="str">
        <x:v>5</x:v>
      </x:c>
      <x:c r="L149" s="7" t="b">
        <x:v>0</x:v>
      </x:c>
      <x:c r="M149" s="6" t="str">
        <x:v>not_applicable</x:v>
      </x:c>
      <x:c r="N149" s="6" t="str">
        <x:v>[]</x:v>
      </x:c>
      <x:c r="O149" s="7" t="b">
        <x:v>1</x:v>
      </x:c>
      <x:c r="P149" s="6" t="str">
        <x:v>K5</x:v>
      </x:c>
      <x:c r="Q149" s="6" t="str">
        <x:v>После ответа на уточнение предмет вопроса известен, а приведенный фрагмент руководства дает ответ.</x:v>
      </x:c>
      <x:c r="R149" s="6" t="str">
        <x:v>["chapter_13"]</x:v>
      </x:c>
      <x:c r="S149" s="6" t="str">
        <x:v>answer</x:v>
      </x:c>
      <x:c r="T149" s="6" t="str">
        <x:v>["Ответ по уточненному объекту.","Источник: руководство и раздел."]</x:v>
      </x:c>
      <x:c r="U149" s="6" t="str">
        <x:v>["Повторное выяснение уже названного объекта.","Выдуманные шаги."]</x:v>
      </x:c>
      <x:c r="V149" s="6" t="str">
        <x:v>[{"source_file":"/Users/elisavetagaponova/Downloads/1С УНФ 8  Полиграфия 2 для 3.0.doc","section":"Глава 13","extracted_text_line":3696,"excerpt":"Для запуска программы установки, необходимо скачать материалы на диск по кнопке Скачать полный комплект поставки (компоненты можно скачивать и по отдельности), распаковать в проводнике архивный файл и запустить программу установки autorun.exe.","approval_basis":"user_confirmed_consultant_approval"}]</x:v>
      </x:c>
      <x:c r="W149" s="6" t="str">
        <x:v>["Дан подтвержденный ответ с релевантным источником, без нового уточнения."]</x:v>
      </x:c>
      <x:c r="X149" s="6" t="str">
        <x:v>approved</x:v>
      </x:c>
      <x:c r="Y149" s="6" t="str">
        <x:v>Карточка и применимость источников согласованы консультантом; утверждение подтверждено пользователем 25.10.2026.</x:v>
      </x:c>
      <x:c r="Z149" s="6" t="str">
        <x:v>G-54d9e7455ba5d4</x:v>
      </x:c>
      <x:c r="AA149" s="6" t="str">
        <x:v>eval</x:v>
      </x:c>
      <x:c r="AB149" s="6" t="str">
        <x:v>synthetic_from_manual</x:v>
      </x:c>
    </x:row>
    <x:row r="150" ht="115" customHeight="1">
      <x:c r="A150" s="6" t="str">
        <x:v>H0186</x:v>
      </x:c>
      <x:c r="B150" s="6" t="str">
        <x:v>synthetic_from_manual:MANUAL-2646</x:v>
      </x:c>
      <x:c r="C150" s="6" t="str">
        <x:v>{"history":[{"role":"user","text":"Нужна подсказка по работе в программе."},{"role":"assistant","text":"Назовите объект и конкретный вопрос по нему, пожалуйста."}],"user_message":"Программа разложила восемь полос, а технолог просит шесть. Где указать свое число?"}</x:v>
      </x:c>
      <x:c r="D150" s="6" t="str">
        <x:v>{"product":"1С:УНФ 8. Полиграфия 2","version":"3.0.14.140","retrieval_state":"available","handoff_consent":false,"approval_basis":"user_confirmed_consultant_approval"}</x:v>
      </x:c>
      <x:c r="E150" s="6" t="str">
        <x:v>1С:УНФ 8. Полиграфия 2</x:v>
      </x:c>
      <x:c r="F150" s="6" t="str">
        <x:v>3.0.14.140</x:v>
      </x:c>
      <x:c r="G150" s="6" t="str">
        <x:v>not_reported</x:v>
      </x:c>
      <x:c r="H150" s="6" t="str">
        <x:v>default</x:v>
      </x:c>
      <x:c r="I150" s="6" t="str">
        <x:v>Применимость источников и эталона к 1С:УНФ 8. Полиграфия 2, релиз 3.0.14.140, подтверждена консультантом со слов пользователя.</x:v>
      </x:c>
      <x:c r="J150" s="13" t="str">
        <x:v>1</x:v>
      </x:c>
      <x:c r="K150" s="13" t="str">
        <x:v>5</x:v>
      </x:c>
      <x:c r="L150" s="7" t="b">
        <x:v>0</x:v>
      </x:c>
      <x:c r="M150" s="6" t="str">
        <x:v>not_applicable</x:v>
      </x:c>
      <x:c r="N150" s="6" t="str">
        <x:v>[]</x:v>
      </x:c>
      <x:c r="O150" s="7" t="b">
        <x:v>1</x:v>
      </x:c>
      <x:c r="P150" s="6" t="str">
        <x:v>K5</x:v>
      </x:c>
      <x:c r="Q150" s="6" t="str">
        <x:v>После ответа на уточнение предмет вопроса известен, а приведенный фрагмент руководства дает ответ.</x:v>
      </x:c>
      <x:c r="R150" s="6" t="str">
        <x:v>["chapter_7"]</x:v>
      </x:c>
      <x:c r="S150" s="6" t="str">
        <x:v>answer</x:v>
      </x:c>
      <x:c r="T150" s="6" t="str">
        <x:v>["Ответ по уточненному объекту.","Источник: руководство и раздел."]</x:v>
      </x:c>
      <x:c r="U150" s="6" t="str">
        <x:v>["Повторное выяснение уже названного объекта.","Выдуманные шаги."]</x:v>
      </x:c>
      <x:c r="V150" s="6" t="str">
        <x:v>[{"source_file":"/Users/elisavetagaponova/Downloads/1С УНФ 8  Полиграфия 2 для 3.0.doc","section":"Глава 7","extracted_text_line":2646,"excerpt":"Данный расчет производится на закладке \"Пресс\" документа \"Расчет заказа\". Необходимо ввести все вышеперечисленные параметры. Программа автоматически предложит располагать на листе 8 полос, поэтому необходимо установить флажок \"Нестандартно\" и самостоятельно задать число полос продукции на печатном листе – 6. Нажать на кнопку \"Расчет пресса\".","approval_basis":"user_confirmed_consultant_approval"}]</x:v>
      </x:c>
      <x:c r="W150" s="6" t="str">
        <x:v>["Дан подтвержденный ответ с релевантным источником, без нового уточнения."]</x:v>
      </x:c>
      <x:c r="X150" s="6" t="str">
        <x:v>approved</x:v>
      </x:c>
      <x:c r="Y150" s="6" t="str">
        <x:v>Карточка и применимость источников согласованы консультантом; утверждение подтверждено пользователем 25.10.2026.</x:v>
      </x:c>
      <x:c r="Z150" s="6" t="str">
        <x:v>G-4dfd5cac3d0416</x:v>
      </x:c>
      <x:c r="AA150" s="6" t="str">
        <x:v>eval</x:v>
      </x:c>
      <x:c r="AB150" s="6" t="str">
        <x:v>synthetic_from_manual</x:v>
      </x:c>
    </x:row>
    <x:row r="151" ht="115" customHeight="1">
      <x:c r="A151" s="6" t="str">
        <x:v>H0191</x:v>
      </x:c>
      <x:c r="B151" s="6" t="str">
        <x:v>synthetic_from_manual:MANUAL-1143</x:v>
      </x:c>
      <x:c r="C151" s="6" t="str">
        <x:v>{"history":[],"user_message":"Открываю «Штрихкоды в печатных формах» и не понимаю, что выбрать дальше. Подскажите?"}</x:v>
      </x:c>
      <x:c r="D151" s="6" t="str">
        <x:v>{"product":"1С:УНФ 8. Полиграфия 2","version":"3.0.14.140","retrieval_state":"available","handoff_consent":false,"approval_basis":"user_confirmed_consultant_approval"}</x:v>
      </x:c>
      <x:c r="E151" s="6" t="str">
        <x:v>1С:УНФ 8. Полиграфия 2</x:v>
      </x:c>
      <x:c r="F151" s="6" t="str">
        <x:v>3.0.14.140</x:v>
      </x:c>
      <x:c r="G151" s="6" t="str">
        <x:v>not_reported</x:v>
      </x:c>
      <x:c r="H151" s="6" t="str">
        <x:v>default</x:v>
      </x:c>
      <x:c r="I151" s="6" t="str">
        <x:v>Применимость источников и эталона к 1С:УНФ 8. Полиграфия 2, релиз 3.0.14.140, подтверждена консультантом со слов пользователя.</x:v>
      </x:c>
      <x:c r="J151" s="13" t="str">
        <x:v>0</x:v>
      </x:c>
      <x:c r="K151" s="13" t="str">
        <x:v>5</x:v>
      </x:c>
      <x:c r="L151" s="7" t="b">
        <x:v>1</x:v>
      </x:c>
      <x:c r="M151" s="6" t="str">
        <x:v>not_applicable</x:v>
      </x:c>
      <x:c r="N151"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51" s="7" t="b">
        <x:v>0</x:v>
      </x:c>
      <x:c r="P151" s="6" t="str">
        <x:v>K3</x:v>
      </x:c>
      <x:c r="Q151" s="6" t="str">
        <x:v>Цель/параметр и результат действия неизвестны; еще один конкретный вопрос может снять неоднозначность, лимит не исчерпан.</x:v>
      </x:c>
      <x:c r="R151" s="6" t="str">
        <x:v>["chapter_2"]</x:v>
      </x:c>
      <x:c r="S151" s="6" t="str">
        <x:v>clarify</x:v>
      </x:c>
      <x:c r="T151" s="6" t="str">
        <x:v>["Какую задачу вы решаете с «Штрихкоды в печатных формах» и что уже пробовали сделать?"]</x:v>
      </x:c>
      <x:c r="U151" s="6" t="str">
        <x:v>["Угадывание причины или инструкции.","Вопрос о продукте и релизе только из-за отсутствия их в сообщении."]</x:v>
      </x:c>
      <x:c r="V151" s="6" t="str">
        <x:v>[{"source_file":"/Users/elisavetagaponova/Downloads/1С УНФ 8  Полиграфия 2 для 3.0.doc","section":"Глава 2","extracted_text_line":1143,"excerpt":"• Использовать штрихкоды в печатных формах - определяет признак печати штрих кода к печатным формам полиграфических документов","approval_basis":"user_confirmed_consultant_approval"}]</x:v>
      </x:c>
      <x:c r="W151" s="6" t="str">
        <x:v>["Задан полезный вопрос о недостающем действии/параметре; нет диагноза.","Не превышен лимит пяти уточнений."]</x:v>
      </x:c>
      <x:c r="X151" s="6" t="str">
        <x:v>approved</x:v>
      </x:c>
      <x:c r="Y151" s="6" t="str">
        <x:v>Карточка и применимость источников согласованы консультантом; утверждение подтверждено пользователем 25.10.2026.</x:v>
      </x:c>
      <x:c r="Z151" s="6" t="str">
        <x:v>G-f47b88ad40e317</x:v>
      </x:c>
      <x:c r="AA151" s="6" t="str">
        <x:v>eval</x:v>
      </x:c>
      <x:c r="AB151" s="6" t="str">
        <x:v>synthetic_from_manual</x:v>
      </x:c>
    </x:row>
    <x:row r="152" ht="115" customHeight="1">
      <x:c r="A152" s="6" t="str">
        <x:v>H0192</x:v>
      </x:c>
      <x:c r="B152" s="6" t="str">
        <x:v>synthetic_from_manual:MANUAL-3696</x:v>
      </x:c>
      <x:c r="C152" s="6" t="str">
        <x:v>{"history":[{"role":"user","text":"Не получается закончить работу с «Электронная поставка»."},{"role":"assistant","text":"Что происходит при попытке?"}],"user_message":"Ошибка с «Электронная поставка» появилась после переноса данных из старой базы и повторяется только у нас. Нужно посмотреть сами данные."}</x:v>
      </x:c>
      <x:c r="D152" s="6" t="str">
        <x:v>{"product":"1С:УНФ 8. Полиграфия 2","version":"3.0.14.140","retrieval_state":"available","handoff_consent":false,"approval_basis":"user_confirmed_consultant_approval"}</x:v>
      </x:c>
      <x:c r="E152" s="6" t="str">
        <x:v>1С:УНФ 8. Полиграфия 2</x:v>
      </x:c>
      <x:c r="F152" s="6" t="str">
        <x:v>3.0.14.140</x:v>
      </x:c>
      <x:c r="G152" s="6" t="str">
        <x:v>not_reported</x:v>
      </x:c>
      <x:c r="H152" s="6" t="str">
        <x:v>default</x:v>
      </x:c>
      <x:c r="I152" s="6" t="str">
        <x:v>Применимость источников и эталона к 1С:УНФ 8. Полиграфия 2, релиз 3.0.14.140, подтверждена консультантом со слов пользователя.</x:v>
      </x:c>
      <x:c r="J152" s="13" t="str">
        <x:v>1</x:v>
      </x:c>
      <x:c r="K152" s="13" t="str">
        <x:v>5</x:v>
      </x:c>
      <x:c r="L152" s="7" t="b">
        <x:v>0</x:v>
      </x:c>
      <x:c r="M152" s="6" t="str">
        <x:v>diagnosis_required</x:v>
      </x:c>
      <x:c r="N152" s="6" t="str">
        <x:v>[]</x:v>
      </x:c>
      <x:c r="O152" s="7" t="b">
        <x:v>0</x:v>
      </x:c>
      <x:c r="P152" s="6" t="str">
        <x:v>K6</x:v>
      </x:c>
      <x:c r="Q15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52" s="6" t="str">
        <x:v>["chapter_13"]</x:v>
      </x:c>
      <x:c r="S152" s="6" t="str">
        <x:v>offer_handoff</x:v>
      </x:c>
      <x:c r="T152" s="6" t="str">
        <x:v>["Сообщить об отсутствии подтвержденного решения.","Предложить передачу консультанту."]</x:v>
      </x:c>
      <x:c r="U152" s="6" t="str">
        <x:v>["Еще один диагностический вопрос.","Выдуманная причина или правка рабочей базы.","Сообщение о созданной заявке без подтверждения."]</x:v>
      </x:c>
      <x:c r="V152" s="6" t="str">
        <x:v>[{"source_file":"/Users/elisavetagaponova/Downloads/1С УНФ 8  Полиграфия 2 для 3.0.doc","section":"Глава 13","extracted_text_line":3696,"excerpt":"Для запуска программы установки, необходимо скачать материалы на диск по кнопке Скачать полный комплект поставки (компоненты можно скачивать и по отдельности), распаковать в проводнике архивный файл и запустить программу установки autorun.exe.","approval_basis":"user_confirmed_consultant_approval"},{"corpus_check":"Руководство не содержит состояния клиентской базы, кода расширения или журнала ошибки.","approval_basis":"user_confirmed_consultant_approval"}]</x:v>
      </x:c>
      <x:c r="W152" s="6" t="str">
        <x:v>["Предложена передача; нет дальнейшей диагностики и необоснованного решения."]</x:v>
      </x:c>
      <x:c r="X152" s="6" t="str">
        <x:v>approved</x:v>
      </x:c>
      <x:c r="Y152" s="6" t="str">
        <x:v>Карточка и применимость источников согласованы консультантом; утверждение подтверждено пользователем 25.10.2026.</x:v>
      </x:c>
      <x:c r="Z152" s="6" t="str">
        <x:v>G-54d9e7455ba5d4</x:v>
      </x:c>
      <x:c r="AA152" s="6" t="str">
        <x:v>eval</x:v>
      </x:c>
      <x:c r="AB152" s="6" t="str">
        <x:v>synthetic_from_manual</x:v>
      </x:c>
    </x:row>
    <x:row r="153" ht="115" customHeight="1">
      <x:c r="A153" s="6" t="str">
        <x:v>H0193</x:v>
      </x:c>
      <x:c r="B153" s="6" t="str">
        <x:v>synthetic_from_manual:MANUAL-2153</x:v>
      </x:c>
      <x:c r="C153" s="6" t="str">
        <x:v>{"history":[{"role":"user","text":"Не получается закончить работу с «Отчет по нормам операций»."},{"role":"assistant","text":"Что происходит при попытке?"}],"user_message":"После установки нашего расширения «Отчет по нормам операций» выдает ошибку только в рабочей базе. Похоже, надо смотреть код и данные у нас."}</x:v>
      </x:c>
      <x:c r="D153" s="6" t="str">
        <x:v>{"product":"1С:УНФ 8. Полиграфия 2","version":"3.0.14.140","retrieval_state":"available","handoff_consent":false,"approval_basis":"user_confirmed_consultant_approval"}</x:v>
      </x:c>
      <x:c r="E153" s="6" t="str">
        <x:v>1С:УНФ 8. Полиграфия 2</x:v>
      </x:c>
      <x:c r="F153" s="6" t="str">
        <x:v>3.0.14.140</x:v>
      </x:c>
      <x:c r="G153" s="6" t="str">
        <x:v>not_reported</x:v>
      </x:c>
      <x:c r="H153" s="6" t="str">
        <x:v>default</x:v>
      </x:c>
      <x:c r="I153" s="6" t="str">
        <x:v>Применимость источников и эталона к 1С:УНФ 8. Полиграфия 2, релиз 3.0.14.140, подтверждена консультантом со слов пользователя.</x:v>
      </x:c>
      <x:c r="J153" s="13" t="str">
        <x:v>1</x:v>
      </x:c>
      <x:c r="K153" s="13" t="str">
        <x:v>5</x:v>
      </x:c>
      <x:c r="L153" s="7" t="b">
        <x:v>0</x:v>
      </x:c>
      <x:c r="M153" s="6" t="str">
        <x:v>diagnosis_required</x:v>
      </x:c>
      <x:c r="N153" s="6" t="str">
        <x:v>[]</x:v>
      </x:c>
      <x:c r="O153" s="7" t="b">
        <x:v>0</x:v>
      </x:c>
      <x:c r="P153" s="6" t="str">
        <x:v>K6</x:v>
      </x:c>
      <x:c r="Q15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53" s="6" t="str">
        <x:v>["chapter_5"]</x:v>
      </x:c>
      <x:c r="S153" s="6" t="str">
        <x:v>offer_handoff</x:v>
      </x:c>
      <x:c r="T153" s="6" t="str">
        <x:v>["Сообщить об отсутствии подтвержденного решения.","Предложить передачу консультанту."]</x:v>
      </x:c>
      <x:c r="U153" s="6" t="str">
        <x:v>["Еще один диагностический вопрос.","Выдуманная причина или правка рабочей базы.","Сообщение о созданной заявке без подтверждения."]</x:v>
      </x:c>
      <x:c r="V153" s="6" t="str">
        <x:v>[{"source_file":"/Users/elisavetagaponova/Downloads/1С УНФ 8  Полиграфия 2 для 3.0.doc","section":"5.11","extracted_text_line":2153,"excerpt":"Отчет \"Нормирование операций\" предназначен для анализа, согласования и утверждения введенных норм. Данный отчет позволяет отражать данные по нормам стоимости, потерей, времени и нормам расхода материалов.","approval_basis":"user_confirmed_consultant_approval"},{"corpus_check":"Руководство не содержит состояния клиентской базы, кода расширения или журнала ошибки.","approval_basis":"user_confirmed_consultant_approval"}]</x:v>
      </x:c>
      <x:c r="W153" s="6" t="str">
        <x:v>["Предложена передача; нет дальнейшей диагностики и необоснованного решения."]</x:v>
      </x:c>
      <x:c r="X153" s="6" t="str">
        <x:v>approved</x:v>
      </x:c>
      <x:c r="Y153" s="6" t="str">
        <x:v>Карточка и применимость источников согласованы консультантом; утверждение подтверждено пользователем 25.10.2026.</x:v>
      </x:c>
      <x:c r="Z153" s="6" t="str">
        <x:v>G-4027fd345ccbab</x:v>
      </x:c>
      <x:c r="AA153" s="6" t="str">
        <x:v>eval</x:v>
      </x:c>
      <x:c r="AB153" s="6" t="str">
        <x:v>synthetic_from_manual</x:v>
      </x:c>
    </x:row>
    <x:row r="154" ht="115" customHeight="1">
      <x:c r="A154" s="6" t="str">
        <x:v>H0198</x:v>
      </x:c>
      <x:c r="B154" s="6" t="str">
        <x:v>synthetic_from_manual:MANUAL-3419</x:v>
      </x:c>
      <x:c r="C154" s="6" t="str">
        <x:v>{"history":[{"role":"user","text":"Нужна подсказка по работе в программе."},{"role":"assistant","text":"Назовите объект и конкретный вопрос по нему, пожалуйста."}],"user_message":"Вес материала в паллетном листе пустой. Какие поля нужны для расчета?"}</x:v>
      </x:c>
      <x:c r="D154" s="6" t="str">
        <x:v>{"product":"1С:УНФ 8. Полиграфия 2","version":"3.0.14.140","retrieval_state":"available","handoff_consent":false,"approval_basis":"user_confirmed_consultant_approval"}</x:v>
      </x:c>
      <x:c r="E154" s="6" t="str">
        <x:v>1С:УНФ 8. Полиграфия 2</x:v>
      </x:c>
      <x:c r="F154" s="6" t="str">
        <x:v>3.0.14.140</x:v>
      </x:c>
      <x:c r="G154" s="6" t="str">
        <x:v>not_reported</x:v>
      </x:c>
      <x:c r="H154" s="6" t="str">
        <x:v>default</x:v>
      </x:c>
      <x:c r="I154" s="6" t="str">
        <x:v>Применимость источников и эталона к 1С:УНФ 8. Полиграфия 2, релиз 3.0.14.140, подтверждена консультантом со слов пользователя.</x:v>
      </x:c>
      <x:c r="J154" s="13" t="str">
        <x:v>1</x:v>
      </x:c>
      <x:c r="K154" s="13" t="str">
        <x:v>5</x:v>
      </x:c>
      <x:c r="L154" s="7" t="b">
        <x:v>0</x:v>
      </x:c>
      <x:c r="M154" s="6" t="str">
        <x:v>not_applicable</x:v>
      </x:c>
      <x:c r="N154" s="6" t="str">
        <x:v>[]</x:v>
      </x:c>
      <x:c r="O154" s="7" t="b">
        <x:v>1</x:v>
      </x:c>
      <x:c r="P154" s="6" t="str">
        <x:v>K5</x:v>
      </x:c>
      <x:c r="Q154" s="6" t="str">
        <x:v>После ответа на уточнение предмет вопроса известен, а приведенный фрагмент руководства дает ответ.</x:v>
      </x:c>
      <x:c r="R154" s="6" t="str">
        <x:v>["chapter_11"]</x:v>
      </x:c>
      <x:c r="S154" s="6" t="str">
        <x:v>answer</x:v>
      </x:c>
      <x:c r="T154" s="6" t="str">
        <x:v>["Ответ по уточненному объекту.","Источник: руководство и раздел."]</x:v>
      </x:c>
      <x:c r="U154" s="6" t="str">
        <x:v>["Повторное выяснение уже названного объекта.","Выдуманные шаги."]</x:v>
      </x:c>
      <x:c r="V154" s="6" t="str">
        <x:v>[{"source_file":"/Users/elisavetagaponova/Downloads/1С УНФ 8  Полиграфия 2 для 3.0.doc","section":"Глава 11","extracted_text_line":3419,"excerpt":"• Вес, кг – значение реквизита рассчитывается автоматически после заполнения полей Ширина, мм, Длина (м), Плотность (гр/м2).","approval_basis":"user_confirmed_consultant_approval"}]</x:v>
      </x:c>
      <x:c r="W154" s="6" t="str">
        <x:v>["Дан подтвержденный ответ с релевантным источником, без нового уточнения."]</x:v>
      </x:c>
      <x:c r="X154" s="6" t="str">
        <x:v>approved</x:v>
      </x:c>
      <x:c r="Y154" s="6" t="str">
        <x:v>Карточка и применимость источников согласованы консультантом; утверждение подтверждено пользователем 25.10.2026.</x:v>
      </x:c>
      <x:c r="Z154" s="6" t="str">
        <x:v>G-9422c38569e000</x:v>
      </x:c>
      <x:c r="AA154" s="6" t="str">
        <x:v>eval</x:v>
      </x:c>
      <x:c r="AB154" s="6" t="str">
        <x:v>synthetic_from_manual</x:v>
      </x:c>
    </x:row>
    <x:row r="155" ht="115" customHeight="1">
      <x:c r="A155" s="6" t="str">
        <x:v>H0201</x:v>
      </x:c>
      <x:c r="B155" s="6" t="str">
        <x:v>synthetic_from_manual:MANUAL-2536</x:v>
      </x:c>
      <x:c r="C155" s="6" t="str">
        <x:v>{"history":[{"role":"user","text":"Не получается закончить работу с «Нестандартное количество полос»."},{"role":"assistant","text":"Что происходит при попытке?"}],"user_message":"В одном филиале «Нестандартное количество полос» работает, в другом нет. Можем передать специалисту копию базы для сравнения?"}</x:v>
      </x:c>
      <x:c r="D155" s="6" t="str">
        <x:v>{"product":"1С:УНФ 8. Полиграфия 2","version":"3.0.14.140","retrieval_state":"available","handoff_consent":false,"approval_basis":"user_confirmed_consultant_approval"}</x:v>
      </x:c>
      <x:c r="E155" s="6" t="str">
        <x:v>1С:УНФ 8. Полиграфия 2</x:v>
      </x:c>
      <x:c r="F155" s="6" t="str">
        <x:v>3.0.14.140</x:v>
      </x:c>
      <x:c r="G155" s="6" t="str">
        <x:v>not_reported</x:v>
      </x:c>
      <x:c r="H155" s="6" t="str">
        <x:v>default</x:v>
      </x:c>
      <x:c r="I155" s="6" t="str">
        <x:v>Применимость источников и эталона к 1С:УНФ 8. Полиграфия 2, релиз 3.0.14.140, подтверждена консультантом со слов пользователя.</x:v>
      </x:c>
      <x:c r="J155" s="13" t="str">
        <x:v>1</x:v>
      </x:c>
      <x:c r="K155" s="13" t="str">
        <x:v>5</x:v>
      </x:c>
      <x:c r="L155" s="7" t="b">
        <x:v>0</x:v>
      </x:c>
      <x:c r="M155" s="6" t="str">
        <x:v>diagnosis_required</x:v>
      </x:c>
      <x:c r="N155" s="6" t="str">
        <x:v>[]</x:v>
      </x:c>
      <x:c r="O155" s="7" t="b">
        <x:v>0</x:v>
      </x:c>
      <x:c r="P155" s="6" t="str">
        <x:v>K6</x:v>
      </x:c>
      <x:c r="Q155"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55" s="6" t="str">
        <x:v>["chapter_7"]</x:v>
      </x:c>
      <x:c r="S155" s="6" t="str">
        <x:v>offer_handoff</x:v>
      </x:c>
      <x:c r="T155" s="6" t="str">
        <x:v>["Сообщить об отсутствии подтвержденного решения.","Предложить передачу консультанту."]</x:v>
      </x:c>
      <x:c r="U155" s="6" t="str">
        <x:v>["Еще один диагностический вопрос.","Выдуманная причина или правка рабочей базы.","Сообщение о созданной заявке без подтверждения."]</x:v>
      </x:c>
      <x:c r="V155" s="6" t="str">
        <x:v>[{"source_file":"/Users/elisavetagaponova/Downloads/1С УНФ 8  Полиграфия 2 для 3.0.doc","section":"Глава 7","extracted_text_line":2536,"excerpt":"Важно! Программа выбирает оптимальную раскладку только для двух вариантов расположения изделия на печатном листе: \"ландшафтного\" и \"портретного\" расположения. Однако пользователь может самостоятельно указать количество полос на листе, поставив флажок \"Нестандартное количество полос\".","approval_basis":"user_confirmed_consultant_approval"},{"corpus_check":"Руководство не содержит состояния клиентской базы, кода расширения или журнала ошибки.","approval_basis":"user_confirmed_consultant_approval"}]</x:v>
      </x:c>
      <x:c r="W155" s="6" t="str">
        <x:v>["Предложена передача; нет дальнейшей диагностики и необоснованного решения."]</x:v>
      </x:c>
      <x:c r="X155" s="6" t="str">
        <x:v>approved</x:v>
      </x:c>
      <x:c r="Y155" s="6" t="str">
        <x:v>Карточка и применимость источников согласованы консультантом; утверждение подтверждено пользователем 25.10.2026.</x:v>
      </x:c>
      <x:c r="Z155" s="6" t="str">
        <x:v>G-174ebade3d248d</x:v>
      </x:c>
      <x:c r="AA155" s="6" t="str">
        <x:v>eval</x:v>
      </x:c>
      <x:c r="AB155" s="6" t="str">
        <x:v>synthetic_from_manual</x:v>
      </x:c>
    </x:row>
    <x:row r="156" ht="115" customHeight="1">
      <x:c r="A156" s="6" t="str">
        <x:v>H0203</x:v>
      </x:c>
      <x:c r="B156" s="6" t="str">
        <x:v>synthetic_from_manual:MANUAL-2268</x:v>
      </x:c>
      <x:c r="C156" s="6" t="str">
        <x:v>{"history":[{"role":"user","text":"Нужна подсказка по работе в программе."},{"role":"assistant","text":"Назовите объект и конкретный вопрос по нему, пожалуйста."}],"user_message":"Руководителю нужен отчет по длительности каждого заказа: план рядом с фактом. Как его найти?"}</x:v>
      </x:c>
      <x:c r="D156" s="6" t="str">
        <x:v>{"product":"1С:УНФ 8. Полиграфия 2","version":"3.0.14.140","retrieval_state":"available","handoff_consent":false,"approval_basis":"user_confirmed_consultant_approval"}</x:v>
      </x:c>
      <x:c r="E156" s="6" t="str">
        <x:v>1С:УНФ 8. Полиграфия 2</x:v>
      </x:c>
      <x:c r="F156" s="6" t="str">
        <x:v>3.0.14.140</x:v>
      </x:c>
      <x:c r="G156" s="6" t="str">
        <x:v>not_reported</x:v>
      </x:c>
      <x:c r="H156" s="6" t="str">
        <x:v>default</x:v>
      </x:c>
      <x:c r="I156" s="6" t="str">
        <x:v>Применимость источников и эталона к 1С:УНФ 8. Полиграфия 2, релиз 3.0.14.140, подтверждена консультантом со слов пользователя.</x:v>
      </x:c>
      <x:c r="J156" s="13" t="str">
        <x:v>1</x:v>
      </x:c>
      <x:c r="K156" s="13" t="str">
        <x:v>5</x:v>
      </x:c>
      <x:c r="L156" s="7" t="b">
        <x:v>0</x:v>
      </x:c>
      <x:c r="M156" s="6" t="str">
        <x:v>not_applicable</x:v>
      </x:c>
      <x:c r="N156" s="6" t="str">
        <x:v>[]</x:v>
      </x:c>
      <x:c r="O156" s="7" t="b">
        <x:v>1</x:v>
      </x:c>
      <x:c r="P156" s="6" t="str">
        <x:v>K5</x:v>
      </x:c>
      <x:c r="Q156" s="6" t="str">
        <x:v>После ответа на уточнение предмет вопроса известен, а приведенный фрагмент руководства дает ответ.</x:v>
      </x:c>
      <x:c r="R156" s="6" t="str">
        <x:v>["chapter_5"]</x:v>
      </x:c>
      <x:c r="S156" s="6" t="str">
        <x:v>answer</x:v>
      </x:c>
      <x:c r="T156" s="6" t="str">
        <x:v>["Ответ по уточненному объекту.","Источник: руководство и раздел."]</x:v>
      </x:c>
      <x:c r="U156" s="6" t="str">
        <x:v>["Повторное выяснение уже названного объекта.","Выдуманные шаги."]</x:v>
      </x:c>
      <x:c r="V156" s="6" t="str">
        <x:v>[{"source_file":"/Users/elisavetagaponova/Downloads/1С УНФ 8  Полиграфия 2 для 3.0.doc","section":"5.32","extracted_text_line":2268,"excerpt":"В отчете отображается плановое (определяется из документов планирования) и фактическое (определяется из отражения факта выполнения заказов) время и длительность выполнения заказа, а также отклонение. Данный отчет позволяет контролировать полиграфическое производство, отслеживать задержки производства.","approval_basis":"user_confirmed_consultant_approval"}]</x:v>
      </x:c>
      <x:c r="W156" s="6" t="str">
        <x:v>["Дан подтвержденный ответ с релевантным источником, без нового уточнения."]</x:v>
      </x:c>
      <x:c r="X156" s="6" t="str">
        <x:v>approved</x:v>
      </x:c>
      <x:c r="Y156" s="6" t="str">
        <x:v>Карточка и применимость источников согласованы консультантом; утверждение подтверждено пользователем 25.10.2026.</x:v>
      </x:c>
      <x:c r="Z156" s="6" t="str">
        <x:v>G-f3df2d9b7adea7</x:v>
      </x:c>
      <x:c r="AA156" s="6" t="str">
        <x:v>eval</x:v>
      </x:c>
      <x:c r="AB156" s="6" t="str">
        <x:v>synthetic_from_manual</x:v>
      </x:c>
    </x:row>
    <x:row r="157" ht="115" customHeight="1">
      <x:c r="A157" s="6" t="str">
        <x:v>H0205</x:v>
      </x:c>
      <x:c r="B157" s="6" t="str">
        <x:v>synthetic_from_manual:MANUAL-3402</x:v>
      </x:c>
      <x:c r="C157" s="6" t="str">
        <x:v>{"history":[{"role":"user","text":"Не получается закончить работу с «Склад в паллетном листе»."},{"role":"assistant","text":"Что происходит при попытке?"}],"user_message":"После установки нашего расширения «Склад в паллетном листе» выдает ошибку только в рабочей базе. Похоже, надо смотреть код и данные у нас."}</x:v>
      </x:c>
      <x:c r="D157" s="6" t="str">
        <x:v>{"product":"1С:УНФ 8. Полиграфия 2","version":"3.0.14.140","retrieval_state":"available","handoff_consent":false,"approval_basis":"user_confirmed_consultant_approval"}</x:v>
      </x:c>
      <x:c r="E157" s="6" t="str">
        <x:v>1С:УНФ 8. Полиграфия 2</x:v>
      </x:c>
      <x:c r="F157" s="6" t="str">
        <x:v>3.0.14.140</x:v>
      </x:c>
      <x:c r="G157" s="6" t="str">
        <x:v>not_reported</x:v>
      </x:c>
      <x:c r="H157" s="6" t="str">
        <x:v>default</x:v>
      </x:c>
      <x:c r="I157" s="6" t="str">
        <x:v>Применимость источников и эталона к 1С:УНФ 8. Полиграфия 2, релиз 3.0.14.140, подтверждена консультантом со слов пользователя.</x:v>
      </x:c>
      <x:c r="J157" s="13" t="str">
        <x:v>1</x:v>
      </x:c>
      <x:c r="K157" s="13" t="str">
        <x:v>5</x:v>
      </x:c>
      <x:c r="L157" s="7" t="b">
        <x:v>0</x:v>
      </x:c>
      <x:c r="M157" s="6" t="str">
        <x:v>diagnosis_required</x:v>
      </x:c>
      <x:c r="N157" s="6" t="str">
        <x:v>[]</x:v>
      </x:c>
      <x:c r="O157" s="7" t="b">
        <x:v>0</x:v>
      </x:c>
      <x:c r="P157" s="6" t="str">
        <x:v>K6</x:v>
      </x:c>
      <x:c r="Q157"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57" s="6" t="str">
        <x:v>["chapter_11"]</x:v>
      </x:c>
      <x:c r="S157" s="6" t="str">
        <x:v>offer_handoff</x:v>
      </x:c>
      <x:c r="T157" s="6" t="str">
        <x:v>["Сообщить об отсутствии подтвержденного решения.","Предложить передачу консультанту."]</x:v>
      </x:c>
      <x:c r="U157" s="6" t="str">
        <x:v>["Еще один диагностический вопрос.","Выдуманная причина или правка рабочей базы.","Сообщение о созданной заявке без подтверждения."]</x:v>
      </x:c>
      <x:c r="V157" s="6" t="str">
        <x:v>[{"source_file":"/Users/elisavetagaponova/Downloads/1С УНФ 8  Полиграфия 2 для 3.0.doc","section":"Глава 11","extracted_text_line":3402,"excerpt":"• Склад – указывается структурная единица, в которую оформляется поступление материалов. Выбирается из справочника «Структурные единицы» с типом «Склад».","approval_basis":"user_confirmed_consultant_approval"},{"corpus_check":"Руководство не содержит состояния клиентской базы, кода расширения или журнала ошибки.","approval_basis":"user_confirmed_consultant_approval"}]</x:v>
      </x:c>
      <x:c r="W157" s="6" t="str">
        <x:v>["Предложена передача; нет дальнейшей диагностики и необоснованного решения."]</x:v>
      </x:c>
      <x:c r="X157" s="6" t="str">
        <x:v>approved</x:v>
      </x:c>
      <x:c r="Y157" s="6" t="str">
        <x:v>Карточка и применимость источников согласованы консультантом; утверждение подтверждено пользователем 25.10.2026.</x:v>
      </x:c>
      <x:c r="Z157" s="6" t="str">
        <x:v>G-22ee40d1f50c93</x:v>
      </x:c>
      <x:c r="AA157" s="6" t="str">
        <x:v>eval</x:v>
      </x:c>
      <x:c r="AB157" s="6" t="str">
        <x:v>synthetic_from_manual</x:v>
      </x:c>
    </x:row>
    <x:row r="158" ht="115" customHeight="1">
      <x:c r="A158" s="6" t="str">
        <x:v>H0207</x:v>
      </x:c>
      <x:c r="B158" s="6" t="str">
        <x:v>synthetic_from_manual:MANUAL-2103</x:v>
      </x:c>
      <x:c r="C158" s="6" t="str">
        <x:v>{"history":[{"role":"user","text":"В рабочей базе не получается использовать «Анализ времени работы сотрудников»."},{"role":"assistant","text":"Что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«Анализ времени работы сотрудников» текста ошибки не сохранилось, а к журналу у меня нет доступа. Как быть?"}</x:v>
      </x:c>
      <x:c r="D158" s="6" t="str">
        <x:v>{"product":"1С:УНФ 8. Полиграфия 2","version":"3.0.14.140","retrieval_state":"available","handoff_consent":false,"approval_basis":"user_confirmed_consultant_approval"}</x:v>
      </x:c>
      <x:c r="E158" s="6" t="str">
        <x:v>1С:УНФ 8. Полиграфия 2</x:v>
      </x:c>
      <x:c r="F158" s="6" t="str">
        <x:v>3.0.14.140</x:v>
      </x:c>
      <x:c r="G158" s="6" t="str">
        <x:v>not_reported</x:v>
      </x:c>
      <x:c r="H158" s="6" t="str">
        <x:v>default</x:v>
      </x:c>
      <x:c r="I158" s="6" t="str">
        <x:v>Применимость источников и эталона к 1С:УНФ 8. Полиграфия 2, релиз 3.0.14.140, подтверждена консультантом со слов пользователя.</x:v>
      </x:c>
      <x:c r="J158" s="13" t="str">
        <x:v>5</x:v>
      </x:c>
      <x:c r="K158" s="13" t="str">
        <x:v>5</x:v>
      </x:c>
      <x:c r="L158" s="7" t="b">
        <x:v>0</x:v>
      </x:c>
      <x:c r="M158" s="6" t="str">
        <x:v>limit_reached</x:v>
      </x:c>
      <x:c r="N158" s="6" t="str">
        <x:v>[]</x:v>
      </x:c>
      <x:c r="O158" s="7" t="b">
        <x:v>0</x:v>
      </x:c>
      <x:c r="P158" s="6" t="str">
        <x:v>K6</x:v>
      </x:c>
      <x:c r="Q158" s="6" t="str">
        <x:v>Пять разных уточняющих ходов уже были; без доступа к базе/ошибке подтвержденного решения нет, шестое уточнение запрещено.</x:v>
      </x:c>
      <x:c r="R158" s="6" t="str">
        <x:v>["chapter_5"]</x:v>
      </x:c>
      <x:c r="S158" s="6" t="str">
        <x:v>offer_handoff</x:v>
      </x:c>
      <x:c r="T158" s="6" t="str">
        <x:v>["Сообщить об отсутствии подтвержденного решения.","Предложить передачу консультанту."]</x:v>
      </x:c>
      <x:c r="U158" s="6" t="str">
        <x:v>["Еще один диагностический вопрос.","Выдуманная причина или правка рабочей базы.","Сообщение о созданной заявке без подтверждения."]</x:v>
      </x:c>
      <x:c r="V158" s="6" t="str">
        <x:v>[{"source_file":"/Users/elisavetagaponova/Downloads/1С УНФ 8  Полиграфия 2 для 3.0.doc","section":"5.1","extracted_text_line":2103,"excerpt":"Отчет предназначен для анализа времени работы сотрудников. Отчет строится по данным регистра сведений \"Фиксация факта времени работы сотрудников\". В данный отчет попадают только проверенные мастером данные (галка \"Проверено мастером\")","approval_basis":"user_confirmed_consultant_approval"},{"corpus_check":"Руководство не содержит состояния клиентской базы, кода расширения или журнала ошибки.","approval_basis":"user_confirmed_consultant_approval"}]</x:v>
      </x:c>
      <x:c r="W158" s="6" t="str">
        <x:v>["Предложена передача; нет дальнейшей диагностики и необоснованного решения."]</x:v>
      </x:c>
      <x:c r="X158" s="6" t="str">
        <x:v>approved</x:v>
      </x:c>
      <x:c r="Y158" s="6" t="str">
        <x:v>Карточка и применимость источников согласованы консультантом; утверждение подтверждено пользователем 25.10.2026.</x:v>
      </x:c>
      <x:c r="Z158" s="6" t="str">
        <x:v>G-a9e38aec15979a</x:v>
      </x:c>
      <x:c r="AA158" s="6" t="str">
        <x:v>eval</x:v>
      </x:c>
      <x:c r="AB158" s="6" t="str">
        <x:v>synthetic_from_manual</x:v>
      </x:c>
    </x:row>
    <x:row r="159" ht="115" customHeight="1">
      <x:c r="A159" s="6" t="str">
        <x:v>H0209</x:v>
      </x:c>
      <x:c r="B159" s="6" t="str">
        <x:v>synthetic_from_manual:MANUAL-3361</x:v>
      </x:c>
      <x:c r="C159" s="6" t="str">
        <x:v>{"history":[{"role":"user","text":"Не получается закончить работу с «Сторонние услуги конструкции»."},{"role":"assistant","text":"Что происходит при попытке?"}],"user_message":"В одном филиале «Сторонние услуги конструкции» работает, в другом нет. Можем передать специалисту копию базы для сравнения?"}</x:v>
      </x:c>
      <x:c r="D159" s="6" t="str">
        <x:v>{"product":"1С:УНФ 8. Полиграфия 2","version":"3.0.14.140","retrieval_state":"available","handoff_consent":false,"approval_basis":"user_confirmed_consultant_approval"}</x:v>
      </x:c>
      <x:c r="E159" s="6" t="str">
        <x:v>1С:УНФ 8. Полиграфия 2</x:v>
      </x:c>
      <x:c r="F159" s="6" t="str">
        <x:v>3.0.14.140</x:v>
      </x:c>
      <x:c r="G159" s="6" t="str">
        <x:v>not_reported</x:v>
      </x:c>
      <x:c r="H159" s="6" t="str">
        <x:v>default</x:v>
      </x:c>
      <x:c r="I159" s="6" t="str">
        <x:v>Применимость источников и эталона к 1С:УНФ 8. Полиграфия 2, релиз 3.0.14.140, подтверждена консультантом со слов пользователя.</x:v>
      </x:c>
      <x:c r="J159" s="13" t="str">
        <x:v>1</x:v>
      </x:c>
      <x:c r="K159" s="13" t="str">
        <x:v>5</x:v>
      </x:c>
      <x:c r="L159" s="7" t="b">
        <x:v>0</x:v>
      </x:c>
      <x:c r="M159" s="6" t="str">
        <x:v>diagnosis_required</x:v>
      </x:c>
      <x:c r="N159" s="6" t="str">
        <x:v>[]</x:v>
      </x:c>
      <x:c r="O159" s="7" t="b">
        <x:v>0</x:v>
      </x:c>
      <x:c r="P159" s="6" t="str">
        <x:v>K6</x:v>
      </x:c>
      <x:c r="Q15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59" s="6" t="str">
        <x:v>["chapter_10"]</x:v>
      </x:c>
      <x:c r="S159" s="6" t="str">
        <x:v>offer_handoff</x:v>
      </x:c>
      <x:c r="T159" s="6" t="str">
        <x:v>["Сообщить об отсутствии подтвержденного решения.","Предложить передачу консультанту."]</x:v>
      </x:c>
      <x:c r="U159" s="6" t="str">
        <x:v>["Еще один диагностический вопрос.","Выдуманная причина или правка рабочей базы.","Сообщение о созданной заявке без подтверждения."]</x:v>
      </x:c>
      <x:c r="V159" s="6" t="str">
        <x:v>[{"source_file":"/Users/elisavetagaponova/Downloads/1С УНФ 8  Полиграфия 2 для 3.0.doc","section":"Глава 10","extracted_text_line":3361,"excerpt":"На закладке «Сторонние услуги» у пользователя есть возможность оформить услуги стороннего переработчика.","approval_basis":"user_confirmed_consultant_approval"},{"corpus_check":"Руководство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59" s="6" t="str">
        <x:v>["Предложена передача; нет дальнейшей диагностики и необоснованного решения."]</x:v>
      </x:c>
      <x:c r="X159" s="6" t="str">
        <x:v>approved</x:v>
      </x:c>
      <x:c r="Y159" s="6" t="str">
        <x:v>Карточка и применимость источников согласованы консультантом; утверждение подтверждено пользователем 25.10.2026.</x:v>
      </x:c>
      <x:c r="Z159" s="6" t="str">
        <x:v>G-18cad86beab693</x:v>
      </x:c>
      <x:c r="AA159" s="6" t="str">
        <x:v>eval</x:v>
      </x:c>
      <x:c r="AB159" s="6" t="str">
        <x:v>synthetic_from_manual</x:v>
      </x:c>
    </x:row>
    <x:row r="160" ht="115" customHeight="1">
      <x:c r="A160" s="6" t="str">
        <x:v>H0214</x:v>
      </x:c>
      <x:c r="B160" s="6" t="str">
        <x:v>synthetic_contract_boundary</x:v>
      </x:c>
      <x:c r="C160" s="6" t="str">
        <x:v>{"history":[],"user_message":"Как красиво пригласить друга в гости письмом?"}</x:v>
      </x:c>
      <x:c r="D160" s="6" t="str">
        <x:v>{"product":"1С:УНФ 8. Полиграфия 2","version":"3.0.14.140","retrieval_state":"available","handoff_consent":false,"approval_basis":"user_confirmed_consultant_approval"}</x:v>
      </x:c>
      <x:c r="E160" s="6" t="str">
        <x:v>1С:УНФ 8. Полиграфия 2</x:v>
      </x:c>
      <x:c r="F160" s="6" t="str">
        <x:v>3.0.14.140</x:v>
      </x:c>
      <x:c r="G160" s="6" t="str">
        <x:v>not_reported</x:v>
      </x:c>
      <x:c r="H160" s="6" t="str">
        <x:v>default</x:v>
      </x:c>
      <x:c r="I160" s="6" t="str">
        <x:v>Применимость источников и эталона к 1С:УНФ 8. Полиграфия 2, релиз 3.0.14.140, подтверждена консультантом со слов пользователя.</x:v>
      </x:c>
      <x:c r="J160" s="13" t="str">
        <x:v>0</x:v>
      </x:c>
      <x:c r="K160" s="13" t="str">
        <x:v>5</x:v>
      </x:c>
      <x:c r="L160" s="7" t="b">
        <x:v>0</x:v>
      </x:c>
      <x:c r="M160" s="6" t="str">
        <x:v>not_applicable</x:v>
      </x:c>
      <x:c r="N160" s="6" t="str">
        <x:v>[]</x:v>
      </x:c>
      <x:c r="O160" s="6" t="str">
        <x:v>not_applicable</x:v>
      </x:c>
      <x:c r="P160" s="6" t="str">
        <x:v>K1</x:v>
      </x:c>
      <x:c r="Q160" s="6" t="str">
        <x:v>Запрошенная задача явно не относится к работе 1С:Полиграфии и разрешенной документации.</x:v>
      </x:c>
      <x:c r="R160" s="6" t="str">
        <x:v>["out_of_domain"]</x:v>
      </x:c>
      <x:c r="S160" s="6" t="str">
        <x:v>refuse</x:v>
      </x:c>
      <x:c r="T160" s="6" t="str">
        <x:v>["Вежливый отказ и краткое обозначение предметной области бота."]</x:v>
      </x:c>
      <x:c r="U160" s="6" t="str">
        <x:v>["Выполнение посторонней задачи.","Выдуманная ссылка на руководство."]</x:v>
      </x:c>
      <x:c r="V160" s="6" t="str">
        <x:v>[{"source_file":"/Users/elisavetagaponova/Downloads/annotation_guide_classes_v1.md","section":"§5 K1","approval_basis":"user_confirmed_consultant_approval"},{"source_file":"design_doc_kt2.md","section":"§1.3, C05","approval_basis":"user_confirmed_consultant_approval"}]</x:v>
      </x:c>
      <x:c r="W160" s="6" t="str">
        <x:v>["Посторонняя задача не выполняется; отказ вежлив и по-русски."]</x:v>
      </x:c>
      <x:c r="X160" s="6" t="str">
        <x:v>approved</x:v>
      </x:c>
      <x:c r="Y160" s="6" t="str">
        <x:v>Карточка и применимость источников согласованы консультантом; утверждение подтверждено пользователем 25.10.2026.</x:v>
      </x:c>
      <x:c r="Z160" s="6" t="str">
        <x:v>G-d2dc72c4ebd02d</x:v>
      </x:c>
      <x:c r="AA160" s="6" t="str">
        <x:v>eval</x:v>
      </x:c>
      <x:c r="AB160" s="6" t="str">
        <x:v>synthetic_contract_boundary</x:v>
      </x:c>
    </x:row>
    <x:row r="161" ht="115" customHeight="1">
      <x:c r="A161" s="6" t="str">
        <x:v>H0225</x:v>
      </x:c>
      <x:c r="B161" s="6" t="str">
        <x:v>synthetic_from_manual:MANUAL-2479</x:v>
      </x:c>
      <x:c r="C161" s="6" t="str">
        <x:v>{"history":[],"user_message":"Пытаюсь разобраться с «Скорость печати», но не нахожу нужного варианта. Что делать?"}</x:v>
      </x:c>
      <x:c r="D161" s="6" t="str">
        <x:v>{"product":"1С:УНФ 8. Полиграфия 2","version":"3.0.14.140","retrieval_state":"available","handoff_consent":false,"approval_basis":"user_confirmed_consultant_approval"}</x:v>
      </x:c>
      <x:c r="E161" s="6" t="str">
        <x:v>1С:УНФ 8. Полиграфия 2</x:v>
      </x:c>
      <x:c r="F161" s="6" t="str">
        <x:v>3.0.14.140</x:v>
      </x:c>
      <x:c r="G161" s="6" t="str">
        <x:v>not_reported</x:v>
      </x:c>
      <x:c r="H161" s="6" t="str">
        <x:v>default</x:v>
      </x:c>
      <x:c r="I161" s="6" t="str">
        <x:v>Применимость источников и эталона к 1С:УНФ 8. Полиграфия 2, релиз 3.0.14.140, подтверждена консультантом со слов пользователя.</x:v>
      </x:c>
      <x:c r="J161" s="13" t="str">
        <x:v>0</x:v>
      </x:c>
      <x:c r="K161" s="13" t="str">
        <x:v>5</x:v>
      </x:c>
      <x:c r="L161" s="7" t="b">
        <x:v>1</x:v>
      </x:c>
      <x:c r="M161" s="6" t="str">
        <x:v>not_applicable</x:v>
      </x:c>
      <x:c r="N161"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61" s="7" t="b">
        <x:v>0</x:v>
      </x:c>
      <x:c r="P161" s="6" t="str">
        <x:v>K3</x:v>
      </x:c>
      <x:c r="Q161" s="6" t="str">
        <x:v>Цель/параметр и результат действия неизвестны; еще один конкретный вопрос может снять неоднозначность, лимит не исчерпан.</x:v>
      </x:c>
      <x:c r="R161" s="6" t="str">
        <x:v>["chapter_6"]</x:v>
      </x:c>
      <x:c r="S161" s="6" t="str">
        <x:v>clarify</x:v>
      </x:c>
      <x:c r="T161" s="6" t="str">
        <x:v>["Какую задачу вы решаете с «Скорость печати» и что уже пробовали сделать?"]</x:v>
      </x:c>
      <x:c r="U161" s="6" t="str">
        <x:v>["Угадывание причины или инструкции.","Вопрос о продукте и релизе только из-за отсутствия их в сообщении."]</x:v>
      </x:c>
      <x:c r="V161" s="6" t="str">
        <x:v>[{"source_file":"/Users/elisavetagaponova/Downloads/1С УНФ 8  Полиграфия 2 для 3.0.doc","section":"Глава 6","extracted_text_line":2479,"excerpt":"• Задать скорость печати станка в документе \"Нормирование скорости печати\"","approval_basis":"user_confirmed_consultant_approval"}]</x:v>
      </x:c>
      <x:c r="W161" s="6" t="str">
        <x:v>["Задан полезный вопрос о недостающем действии/параметре; нет диагноза.","Не превышен лимит пяти уточнений."]</x:v>
      </x:c>
      <x:c r="X161" s="6" t="str">
        <x:v>approved</x:v>
      </x:c>
      <x:c r="Y161" s="6" t="str">
        <x:v>Карточка и применимость источников согласованы консультантом; утверждение подтверждено пользователем 25.10.2026.</x:v>
      </x:c>
      <x:c r="Z161" s="6" t="str">
        <x:v>G-5e4ccb94f35f79</x:v>
      </x:c>
      <x:c r="AA161" s="6" t="str">
        <x:v>eval</x:v>
      </x:c>
      <x:c r="AB161" s="6" t="str">
        <x:v>synthetic_from_manual</x:v>
      </x:c>
    </x:row>
    <x:row r="162" ht="115" customHeight="1">
      <x:c r="A162" s="6" t="str">
        <x:v>H0229</x:v>
      </x:c>
      <x:c r="B162" s="6" t="str">
        <x:v>synthetic_from_manual:MANUAL-2262</x:v>
      </x:c>
      <x:c r="C162" s="6" t="str">
        <x:v>{"history":[{"role":"user","text":"Подскажите по теме «Задержка времени выполнения операций между рабочими центрами»."},{"role":"assistant","text":"Что именно вам нужно узнать по этой теме?"}],"user_message":"Как посмотреть время задержки при передаче работы между рабочими центрами?"}</x:v>
      </x:c>
      <x:c r="D162" s="6" t="str">
        <x:v>{"product":"1С:УНФ 8. Полиграфия 2","version":"3.0.14.140","retrieval_state":"available","handoff_consent":false,"approval_basis":"user_confirmed_consultant_approval"}</x:v>
      </x:c>
      <x:c r="E162" s="6" t="str">
        <x:v>1С:УНФ 8. Полиграфия 2</x:v>
      </x:c>
      <x:c r="F162" s="6" t="str">
        <x:v>3.0.14.140</x:v>
      </x:c>
      <x:c r="G162" s="6" t="str">
        <x:v>not_reported</x:v>
      </x:c>
      <x:c r="H162" s="6" t="str">
        <x:v>default</x:v>
      </x:c>
      <x:c r="I162" s="6" t="str">
        <x:v>Применимость источников и эталона к 1С:УНФ 8. Полиграфия 2, релиз 3.0.14.140, подтверждена консультантом со слов пользователя.</x:v>
      </x:c>
      <x:c r="J162" s="13" t="str">
        <x:v>1</x:v>
      </x:c>
      <x:c r="K162" s="13" t="str">
        <x:v>5</x:v>
      </x:c>
      <x:c r="L162" s="7" t="b">
        <x:v>0</x:v>
      </x:c>
      <x:c r="M162" s="6" t="str">
        <x:v>not_applicable</x:v>
      </x:c>
      <x:c r="N162" s="6" t="str">
        <x:v>[]</x:v>
      </x:c>
      <x:c r="O162" s="7" t="b">
        <x:v>1</x:v>
      </x:c>
      <x:c r="P162" s="6" t="str">
        <x:v>K5</x:v>
      </x:c>
      <x:c r="Q162" s="6" t="str">
        <x:v>После ответа на уточнение предмет вопроса известен, а приведенный фрагмент руководства дает ответ.</x:v>
      </x:c>
      <x:c r="R162" s="6" t="str">
        <x:v>["chapter_5"]</x:v>
      </x:c>
      <x:c r="S162" s="6" t="str">
        <x:v>answer</x:v>
      </x:c>
      <x:c r="T162" s="6" t="str">
        <x:v>["Ответ по уточненному объекту.","Источник: руководство и раздел."]</x:v>
      </x:c>
      <x:c r="U162" s="6" t="str">
        <x:v>["Повторное выяснение уже названного объекта.","Выдуманные шаги."]</x:v>
      </x:c>
      <x:c r="V162" s="6" t="str">
        <x:v>[{"source_file":"/Users/elisavetagaponova/Downloads/1С УНФ 8  Полиграфия 2 для 3.0.doc","section":"5.30","extracted_text_line":2262,"excerpt":"Отчет предназначен для анализа данных о времени, которое необходимо при передаче выполнении операции между разными рабочими центрами. В отчете можно установить отбор по Источнику и Получателю. Данные учитывается при планировании (документ \"План производства полиграфии\"), при нажатии на кнопку \"Выполнить планирование\", когда программа определяет плановое время начала (колонка \"Дата начала\") выполнения операции, исходя из графика работы оборудования (колонка \"Смена\") и данных регистра \"Задержка времени выполнения операций между рабочими центрами\"","approval_basis":"user_confirmed_consultant_approval"}]</x:v>
      </x:c>
      <x:c r="W162" s="6" t="str">
        <x:v>["Дан подтвержденный ответ с релевантным источником, без нового уточнения."]</x:v>
      </x:c>
      <x:c r="X162" s="6" t="str">
        <x:v>approved</x:v>
      </x:c>
      <x:c r="Y162" s="6" t="str">
        <x:v>Карточка и применимость источников согласованы консультантом; утверждение подтверждено пользователем 25.10.2026.</x:v>
      </x:c>
      <x:c r="Z162" s="6" t="str">
        <x:v>G-20642ff352feea</x:v>
      </x:c>
      <x:c r="AA162" s="6" t="str">
        <x:v>eval</x:v>
      </x:c>
      <x:c r="AB162" s="6" t="str">
        <x:v>synthetic_from_manual</x:v>
      </x:c>
    </x:row>
    <x:row r="163" ht="115" customHeight="1">
      <x:c r="A163" s="6" t="str">
        <x:v>H0232</x:v>
      </x:c>
      <x:c r="B163" s="6" t="str">
        <x:v>synthetic_from_manual:MANUAL-2467</x:v>
      </x:c>
      <x:c r="C163" s="6" t="str">
        <x:v>{"history":[],"user_message":"Открываю «Материалы к операции» и не понимаю, что выбрать дальше. Подскажите?"}</x:v>
      </x:c>
      <x:c r="D163" s="6" t="str">
        <x:v>{"product":"1С:УНФ 8. Полиграфия 2","version":"3.0.14.140","retrieval_state":"available","handoff_consent":false,"approval_basis":"user_confirmed_consultant_approval"}</x:v>
      </x:c>
      <x:c r="E163" s="6" t="str">
        <x:v>1С:УНФ 8. Полиграфия 2</x:v>
      </x:c>
      <x:c r="F163" s="6" t="str">
        <x:v>3.0.14.140</x:v>
      </x:c>
      <x:c r="G163" s="6" t="str">
        <x:v>not_reported</x:v>
      </x:c>
      <x:c r="H163" s="6" t="str">
        <x:v>default</x:v>
      </x:c>
      <x:c r="I163" s="6" t="str">
        <x:v>Применимость источников и эталона к 1С:УНФ 8. Полиграфия 2, релиз 3.0.14.140, подтверждена консультантом со слов пользователя.</x:v>
      </x:c>
      <x:c r="J163" s="13" t="str">
        <x:v>0</x:v>
      </x:c>
      <x:c r="K163" s="13" t="str">
        <x:v>5</x:v>
      </x:c>
      <x:c r="L163" s="7" t="b">
        <x:v>1</x:v>
      </x:c>
      <x:c r="M163" s="6" t="str">
        <x:v>not_applicable</x:v>
      </x:c>
      <x:c r="N163"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63" s="7" t="b">
        <x:v>0</x:v>
      </x:c>
      <x:c r="P163" s="6" t="str">
        <x:v>K3</x:v>
      </x:c>
      <x:c r="Q163" s="6" t="str">
        <x:v>Цель/параметр и результат действия неизвестны; еще один конкретный вопрос может снять неоднозначность, лимит не исчерпан.</x:v>
      </x:c>
      <x:c r="R163" s="6" t="str">
        <x:v>["chapter_6"]</x:v>
      </x:c>
      <x:c r="S163" s="6" t="str">
        <x:v>clarify</x:v>
      </x:c>
      <x:c r="T163" s="6" t="str">
        <x:v>["Какую задачу вы решаете с «Материалы к операции» и что уже пробовали сделать?"]</x:v>
      </x:c>
      <x:c r="U163" s="6" t="str">
        <x:v>["Угадывание причины или инструкции.","Вопрос о продукте и релизе только из-за отсутствия их в сообщении."]</x:v>
      </x:c>
      <x:c r="V163" s="6" t="str">
        <x:v>[{"source_file":"/Users/elisavetagaponova/Downloads/1С УНФ 8  Полиграфия 2 для 3.0.doc","section":"Глава 6","extracted_text_line":2467,"excerpt":"Часто в полиграфическом производстве при использовании определенной операции необходимо автоматически рассчитывать нужное количество какого-либо материала. Например, при ламинировании идет расход пленки. Для организации такого расчета используется документ \"Нормирование материалов к операции\".","approval_basis":"user_confirmed_consultant_approval"}]</x:v>
      </x:c>
      <x:c r="W163" s="6" t="str">
        <x:v>["Задан полезный вопрос о недостающем действии/параметре; нет диагноза.","Не превышен лимит пяти уточнений."]</x:v>
      </x:c>
      <x:c r="X163" s="6" t="str">
        <x:v>approved</x:v>
      </x:c>
      <x:c r="Y163" s="6" t="str">
        <x:v>Карточка и применимость источников согласованы консультантом; утверждение подтверждено пользователем 25.10.2026.</x:v>
      </x:c>
      <x:c r="Z163" s="6" t="str">
        <x:v>G-5ffbc178fd42ae</x:v>
      </x:c>
      <x:c r="AA163" s="6" t="str">
        <x:v>eval</x:v>
      </x:c>
      <x:c r="AB163" s="6" t="str">
        <x:v>synthetic_from_manual</x:v>
      </x:c>
    </x:row>
    <x:row r="164" ht="115" customHeight="1">
      <x:c r="A164" s="6" t="str">
        <x:v>H0240</x:v>
      </x:c>
      <x:c r="B164" s="6" t="str">
        <x:v>synthetic_from_manual:MANUAL-0882</x:v>
      </x:c>
      <x:c r="C164" s="6" t="str">
        <x:v>{"history":[{"role":"user","text":"В рабочей базе не получается использовать «Нормативы обслуживания»."},{"role":"assistant","text":"Что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«Нормативы обслуживания» текста ошибки не сохранилось, а к журналу у меня нет доступа. Как быть?"}</x:v>
      </x:c>
      <x:c r="D164" s="6" t="str">
        <x:v>{"product":"1С:УНФ 8. Полиграфия 2","version":"3.0.14.140","retrieval_state":"available","handoff_consent":false,"approval_basis":"user_confirmed_consultant_approval"}</x:v>
      </x:c>
      <x:c r="E164" s="6" t="str">
        <x:v>1С:УНФ 8. Полиграфия 2</x:v>
      </x:c>
      <x:c r="F164" s="6" t="str">
        <x:v>3.0.14.140</x:v>
      </x:c>
      <x:c r="G164" s="6" t="str">
        <x:v>not_reported</x:v>
      </x:c>
      <x:c r="H164" s="6" t="str">
        <x:v>default</x:v>
      </x:c>
      <x:c r="I164" s="6" t="str">
        <x:v>Применимость источников и эталона к 1С:УНФ 8. Полиграфия 2, релиз 3.0.14.140, подтверждена консультантом со слов пользователя.</x:v>
      </x:c>
      <x:c r="J164" s="13" t="str">
        <x:v>5</x:v>
      </x:c>
      <x:c r="K164" s="13" t="str">
        <x:v>5</x:v>
      </x:c>
      <x:c r="L164" s="7" t="b">
        <x:v>0</x:v>
      </x:c>
      <x:c r="M164" s="6" t="str">
        <x:v>limit_reached</x:v>
      </x:c>
      <x:c r="N164" s="6" t="str">
        <x:v>[]</x:v>
      </x:c>
      <x:c r="O164" s="7" t="b">
        <x:v>0</x:v>
      </x:c>
      <x:c r="P164" s="6" t="str">
        <x:v>K6</x:v>
      </x:c>
      <x:c r="Q164" s="6" t="str">
        <x:v>Пять разных уточняющих ходов уже были; без доступа к базе/ошибке подтвержденного решения нет, шестое уточнение запрещено.</x:v>
      </x:c>
      <x:c r="R164" s="6" t="str">
        <x:v>["chapter_1"]</x:v>
      </x:c>
      <x:c r="S164" s="6" t="str">
        <x:v>offer_handoff</x:v>
      </x:c>
      <x:c r="T164" s="6" t="str">
        <x:v>["Сообщить об отсутствии подтвержденного решения.","Предложить передачу консультанту."]</x:v>
      </x:c>
      <x:c r="U164" s="6" t="str">
        <x:v>["Еще один диагностический вопрос.","Выдуманная причина или правка рабочей базы.","Сообщение о созданной заявке без подтверждения."]</x:v>
      </x:c>
      <x:c r="V164" s="6" t="str">
        <x:v>[{"source_file":"/Users/elisavetagaponova/Downloads/1С УНФ 8  Полиграфия 2 для 3.0.doc","section":"1.17","extracted_text_line":882,"excerpt":"Справочник содержит нормативы для выполнения работ по обслуживанию полиграфического оборудования.","approval_basis":"user_confirmed_consultant_approval"},{"corpus_check":"Руководство не содержит состояния клиентской базы, кода расширения или журнала ошибки.","approval_basis":"user_confirmed_consultant_approval"}]</x:v>
      </x:c>
      <x:c r="W164" s="6" t="str">
        <x:v>["Предложена передача; нет дальнейшей диагностики и необоснованного решения."]</x:v>
      </x:c>
      <x:c r="X164" s="6" t="str">
        <x:v>approved</x:v>
      </x:c>
      <x:c r="Y164" s="6" t="str">
        <x:v>Карточка и применимость источников согласованы консультантом; утверждение подтверждено пользователем 25.10.2026.</x:v>
      </x:c>
      <x:c r="Z164" s="6" t="str">
        <x:v>G-dc025268ac7b1f</x:v>
      </x:c>
      <x:c r="AA164" s="6" t="str">
        <x:v>eval</x:v>
      </x:c>
      <x:c r="AB164" s="6" t="str">
        <x:v>synthetic_from_manual</x:v>
      </x:c>
    </x:row>
    <x:row r="165" ht="115" customHeight="1">
      <x:c r="A165" s="6" t="str">
        <x:v>H0242</x:v>
      </x:c>
      <x:c r="B165" s="6" t="str">
        <x:v>synthetic_from_manual:MANUAL-2088</x:v>
      </x:c>
      <x:c r="C165" s="6" t="str">
        <x:v>{"history":[{"role":"user","text":"Не получается закончить работу с «Резервирование времени под заказ»."},{"role":"assistant","text":"Что происходит при попытке?"}],"user_message":"В одном филиале «Резервирование времени под заказ» работает, в другом нет. Можем передать специалисту копию базы для сравнения?"}</x:v>
      </x:c>
      <x:c r="D165" s="6" t="str">
        <x:v>{"product":"1С:УНФ 8. Полиграфия 2","version":"3.0.14.140","retrieval_state":"available","handoff_consent":false,"approval_basis":"user_confirmed_consultant_approval"}</x:v>
      </x:c>
      <x:c r="E165" s="6" t="str">
        <x:v>1С:УНФ 8. Полиграфия 2</x:v>
      </x:c>
      <x:c r="F165" s="6" t="str">
        <x:v>3.0.14.140</x:v>
      </x:c>
      <x:c r="G165" s="6" t="str">
        <x:v>not_reported</x:v>
      </x:c>
      <x:c r="H165" s="6" t="str">
        <x:v>default</x:v>
      </x:c>
      <x:c r="I165" s="6" t="str">
        <x:v>Применимость источников и эталона к 1С:УНФ 8. Полиграфия 2, релиз 3.0.14.140, подтверждена консультантом со слов пользователя.</x:v>
      </x:c>
      <x:c r="J165" s="13" t="str">
        <x:v>1</x:v>
      </x:c>
      <x:c r="K165" s="13" t="str">
        <x:v>5</x:v>
      </x:c>
      <x:c r="L165" s="7" t="b">
        <x:v>0</x:v>
      </x:c>
      <x:c r="M165" s="6" t="str">
        <x:v>diagnosis_required</x:v>
      </x:c>
      <x:c r="N165" s="6" t="str">
        <x:v>[]</x:v>
      </x:c>
      <x:c r="O165" s="7" t="b">
        <x:v>0</x:v>
      </x:c>
      <x:c r="P165" s="6" t="str">
        <x:v>K6</x:v>
      </x:c>
      <x:c r="Q165"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65" s="6" t="str">
        <x:v>["chapter_4"]</x:v>
      </x:c>
      <x:c r="S165" s="6" t="str">
        <x:v>offer_handoff</x:v>
      </x:c>
      <x:c r="T165" s="6" t="str">
        <x:v>["Сообщить об отсутствии подтвержденного решения.","Предложить передачу консультанту."]</x:v>
      </x:c>
      <x:c r="U165" s="6" t="str">
        <x:v>["Еще один диагностический вопрос.","Выдуманная причина или правка рабочей базы.","Сообщение о созданной заявке без подтверждения."]</x:v>
      </x:c>
      <x:c r="V165" s="6" t="str">
        <x:v>[{"source_file":"/Users/elisavetagaponova/Downloads/1С УНФ 8  Полиграфия 2 для 3.0.doc","section":"4.13","extracted_text_line":2088,"excerpt":"Для фиксации времени под выполнение заказа, который еще не введен в базу и/или не отправлен в план, служит документ \"Резервирование времени под заказ\".","approval_basis":"user_confirmed_consultant_approval"},{"corpus_check":"Руководство не содержит состояния клиентской базы, кода расширения или журнала ошибки.","approval_basis":"user_confirmed_consultant_approval"}]</x:v>
      </x:c>
      <x:c r="W165" s="6" t="str">
        <x:v>["Предложена передача; нет дальнейшей диагностики и необоснованного решения."]</x:v>
      </x:c>
      <x:c r="X165" s="6" t="str">
        <x:v>approved</x:v>
      </x:c>
      <x:c r="Y165" s="6" t="str">
        <x:v>Карточка и применимость источников согласованы консультантом; утверждение подтверждено пользователем 25.10.2026.</x:v>
      </x:c>
      <x:c r="Z165" s="6" t="str">
        <x:v>G-84e585bf408b1a</x:v>
      </x:c>
      <x:c r="AA165" s="6" t="str">
        <x:v>eval</x:v>
      </x:c>
      <x:c r="AB165" s="6" t="str">
        <x:v>synthetic_from_manual</x:v>
      </x:c>
    </x:row>
    <x:row r="166" ht="115" customHeight="1">
      <x:c r="A166" s="6" t="str">
        <x:v>H0243</x:v>
      </x:c>
      <x:c r="B166" s="6" t="str">
        <x:v>synthetic_contract_boundary</x:v>
      </x:c>
      <x:c r="C166" s="6" t="str">
        <x:v>{"history":[],"user_message":"Какие игры провести на детском дне рождения?"}</x:v>
      </x:c>
      <x:c r="D166" s="6" t="str">
        <x:v>{"product":"1С:УНФ 8. Полиграфия 2","version":"3.0.14.140","retrieval_state":"available","handoff_consent":false,"approval_basis":"user_confirmed_consultant_approval"}</x:v>
      </x:c>
      <x:c r="E166" s="6" t="str">
        <x:v>1С:УНФ 8. Полиграфия 2</x:v>
      </x:c>
      <x:c r="F166" s="6" t="str">
        <x:v>3.0.14.140</x:v>
      </x:c>
      <x:c r="G166" s="6" t="str">
        <x:v>not_reported</x:v>
      </x:c>
      <x:c r="H166" s="6" t="str">
        <x:v>default</x:v>
      </x:c>
      <x:c r="I166" s="6" t="str">
        <x:v>Применимость источников и эталона к 1С:УНФ 8. Полиграфия 2, релиз 3.0.14.140, подтверждена консультантом со слов пользователя.</x:v>
      </x:c>
      <x:c r="J166" s="13" t="str">
        <x:v>0</x:v>
      </x:c>
      <x:c r="K166" s="13" t="str">
        <x:v>5</x:v>
      </x:c>
      <x:c r="L166" s="7" t="b">
        <x:v>0</x:v>
      </x:c>
      <x:c r="M166" s="6" t="str">
        <x:v>not_applicable</x:v>
      </x:c>
      <x:c r="N166" s="6" t="str">
        <x:v>[]</x:v>
      </x:c>
      <x:c r="O166" s="6" t="str">
        <x:v>not_applicable</x:v>
      </x:c>
      <x:c r="P166" s="6" t="str">
        <x:v>K1</x:v>
      </x:c>
      <x:c r="Q166" s="6" t="str">
        <x:v>Запрошенная задача явно не относится к работе 1С:Полиграфии и разрешенной документации.</x:v>
      </x:c>
      <x:c r="R166" s="6" t="str">
        <x:v>["out_of_domain"]</x:v>
      </x:c>
      <x:c r="S166" s="6" t="str">
        <x:v>refuse</x:v>
      </x:c>
      <x:c r="T166" s="6" t="str">
        <x:v>["Вежливый отказ и краткое обозначение предметной области бота."]</x:v>
      </x:c>
      <x:c r="U166" s="6" t="str">
        <x:v>["Выполнение посторонней задачи.","Выдуманная ссылка на руководство."]</x:v>
      </x:c>
      <x:c r="V166" s="6" t="str">
        <x:v>[{"source_file":"/Users/elisavetagaponova/Downloads/annotation_guide_classes_v1.md","section":"§5 K1","approval_basis":"user_confirmed_consultant_approval"},{"source_file":"design_doc_kt2.md","section":"§1.3, C05","approval_basis":"user_confirmed_consultant_approval"}]</x:v>
      </x:c>
      <x:c r="W166" s="6" t="str">
        <x:v>["Посторонняя задача не выполняется; отказ вежлив и по-русски."]</x:v>
      </x:c>
      <x:c r="X166" s="6" t="str">
        <x:v>approved</x:v>
      </x:c>
      <x:c r="Y166" s="6" t="str">
        <x:v>Карточка и применимость источников согласованы консультантом; утверждение подтверждено пользователем 25.10.2026.</x:v>
      </x:c>
      <x:c r="Z166" s="6" t="str">
        <x:v>G-8b3ba105a70ab8</x:v>
      </x:c>
      <x:c r="AA166" s="6" t="str">
        <x:v>eval</x:v>
      </x:c>
      <x:c r="AB166" s="6" t="str">
        <x:v>synthetic_contract_boundary</x:v>
      </x:c>
    </x:row>
    <x:row r="167" ht="115" customHeight="1">
      <x:c r="A167" s="6" t="str">
        <x:v>H0246</x:v>
      </x:c>
      <x:c r="B167" s="6" t="str">
        <x:v>synthetic_from_manual:MANUAL-2740</x:v>
      </x:c>
      <x:c r="C167" s="6" t="str">
        <x:v>{"history":[],"user_message":"С «Анилокс / Сетка» что-то не выходит. С чего начать проверку?"}</x:v>
      </x:c>
      <x:c r="D167" s="6" t="str">
        <x:v>{"product":"1С:УНФ 8. Полиграфия 2","version":"3.0.14.140","retrieval_state":"available","handoff_consent":false,"approval_basis":"user_confirmed_consultant_approval"}</x:v>
      </x:c>
      <x:c r="E167" s="6" t="str">
        <x:v>1С:УНФ 8. Полиграфия 2</x:v>
      </x:c>
      <x:c r="F167" s="6" t="str">
        <x:v>3.0.14.140</x:v>
      </x:c>
      <x:c r="G167" s="6" t="str">
        <x:v>not_reported</x:v>
      </x:c>
      <x:c r="H167" s="6" t="str">
        <x:v>default</x:v>
      </x:c>
      <x:c r="I167" s="6" t="str">
        <x:v>Применимость источников и эталона к 1С:УНФ 8. Полиграфия 2, релиз 3.0.14.140, подтверждена консультантом со слов пользователя.</x:v>
      </x:c>
      <x:c r="J167" s="13" t="str">
        <x:v>0</x:v>
      </x:c>
      <x:c r="K167" s="13" t="str">
        <x:v>5</x:v>
      </x:c>
      <x:c r="L167" s="7" t="b">
        <x:v>1</x:v>
      </x:c>
      <x:c r="M167" s="6" t="str">
        <x:v>not_applicable</x:v>
      </x:c>
      <x:c r="N167"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67" s="7" t="b">
        <x:v>0</x:v>
      </x:c>
      <x:c r="P167" s="6" t="str">
        <x:v>K3</x:v>
      </x:c>
      <x:c r="Q167" s="6" t="str">
        <x:v>Цель/параметр и результат действия неизвестны; еще один конкретный вопрос может снять неоднозначность, лимит не исчерпан.</x:v>
      </x:c>
      <x:c r="R167" s="6" t="str">
        <x:v>["chapter_8"]</x:v>
      </x:c>
      <x:c r="S167" s="6" t="str">
        <x:v>clarify</x:v>
      </x:c>
      <x:c r="T167" s="6" t="str">
        <x:v>["Какую задачу вы решаете с «Анилокс / Сетка» и что уже пробовали сделать?"]</x:v>
      </x:c>
      <x:c r="U167" s="6" t="str">
        <x:v>["Угадывание причины или инструкции.","Вопрос о продукте и релизе только из-за отсутствия их в сообщении."]</x:v>
      </x:c>
      <x:c r="V167" s="6" t="str">
        <x:v>[{"source_file":"/Users/elisavetagaponova/Downloads/1С УНФ 8  Полиграфия 2 для 3.0.doc","section":"8.1.1","extracted_text_line":2740,"excerpt":"В справочнике \"Анилокс/Сетка\" хранятся сведения о характеристиках растрового вала, который используется во флексопечати для переноса и дозирования краски на печатную форму.","approval_basis":"user_confirmed_consultant_approval"}]</x:v>
      </x:c>
      <x:c r="W167" s="6" t="str">
        <x:v>["Задан полезный вопрос о недостающем действии/параметре; нет диагноза.","Не превышен лимит пяти уточнений."]</x:v>
      </x:c>
      <x:c r="X167" s="6" t="str">
        <x:v>approved</x:v>
      </x:c>
      <x:c r="Y167" s="6" t="str">
        <x:v>Карточка и применимость источников согласованы консультантом; утверждение подтверждено пользователем 25.10.2026.</x:v>
      </x:c>
      <x:c r="Z167" s="6" t="str">
        <x:v>G-e3880af5a02518</x:v>
      </x:c>
      <x:c r="AA167" s="6" t="str">
        <x:v>eval</x:v>
      </x:c>
      <x:c r="AB167" s="6" t="str">
        <x:v>synthetic_from_manual</x:v>
      </x:c>
    </x:row>
    <x:row r="168" ht="115" customHeight="1">
      <x:c r="A168" s="6" t="str">
        <x:v>H0249</x:v>
      </x:c>
      <x:c r="B168" s="6" t="str">
        <x:v>synthetic_from_manual:MANUAL-1143</x:v>
      </x:c>
      <x:c r="C168" s="6" t="str">
        <x:v>{"history":[{"role":"user","text":"Не получается закончить работу с «Штрихкоды в печатных формах»."},{"role":"assistant","text":"Что происходит при попытке?"}],"user_message":"В типовой базе «Штрихкоды в печатных формах» работает, а у нас после доработки больше нет. Кто может проверить конфигурацию?"}</x:v>
      </x:c>
      <x:c r="D168" s="6" t="str">
        <x:v>{"product":"1С:УНФ 8. Полиграфия 2","version":"3.0.14.140","retrieval_state":"available","handoff_consent":false,"approval_basis":"user_confirmed_consultant_approval"}</x:v>
      </x:c>
      <x:c r="E168" s="6" t="str">
        <x:v>1С:УНФ 8. Полиграфия 2</x:v>
      </x:c>
      <x:c r="F168" s="6" t="str">
        <x:v>3.0.14.140</x:v>
      </x:c>
      <x:c r="G168" s="6" t="str">
        <x:v>not_reported</x:v>
      </x:c>
      <x:c r="H168" s="6" t="str">
        <x:v>default</x:v>
      </x:c>
      <x:c r="I168" s="6" t="str">
        <x:v>Применимость источников и эталона к 1С:УНФ 8. Полиграфия 2, релиз 3.0.14.140, подтверждена консультантом со слов пользователя.</x:v>
      </x:c>
      <x:c r="J168" s="13" t="str">
        <x:v>1</x:v>
      </x:c>
      <x:c r="K168" s="13" t="str">
        <x:v>5</x:v>
      </x:c>
      <x:c r="L168" s="7" t="b">
        <x:v>0</x:v>
      </x:c>
      <x:c r="M168" s="6" t="str">
        <x:v>diagnosis_required</x:v>
      </x:c>
      <x:c r="N168" s="6" t="str">
        <x:v>[]</x:v>
      </x:c>
      <x:c r="O168" s="7" t="b">
        <x:v>0</x:v>
      </x:c>
      <x:c r="P168" s="6" t="str">
        <x:v>K6</x:v>
      </x:c>
      <x:c r="Q16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68" s="6" t="str">
        <x:v>["chapter_2"]</x:v>
      </x:c>
      <x:c r="S168" s="6" t="str">
        <x:v>offer_handoff</x:v>
      </x:c>
      <x:c r="T168" s="6" t="str">
        <x:v>["Сообщить об отсутствии подтвержденного решения.","Предложить передачу консультанту."]</x:v>
      </x:c>
      <x:c r="U168" s="6" t="str">
        <x:v>["Еще один диагностический вопрос.","Выдуманная причина или правка рабочей базы.","Сообщение о созданной заявке без подтверждения."]</x:v>
      </x:c>
      <x:c r="V168" s="6" t="str">
        <x:v>[{"source_file":"/Users/elisavetagaponova/Downloads/1С УНФ 8  Полиграфия 2 для 3.0.doc","section":"Глава 2","extracted_text_line":1143,"excerpt":"• Использовать штрихкоды в печатных формах - определяет признак печати штрих кода к печатным формам полиграфических документов","approval_basis":"user_confirmed_consultant_approval"},{"corpus_check":"Руководство не содержит состояния клиентской базы, кода расширения или журнала ошибки.","approval_basis":"user_confirmed_consultant_approval"}]</x:v>
      </x:c>
      <x:c r="W168" s="6" t="str">
        <x:v>["Предложена передача; нет дальнейшей диагностики и необоснованного решения."]</x:v>
      </x:c>
      <x:c r="X168" s="6" t="str">
        <x:v>approved</x:v>
      </x:c>
      <x:c r="Y168" s="6" t="str">
        <x:v>Карточка и применимость источников согласованы консультантом; утверждение подтверждено пользователем 25.10.2026.</x:v>
      </x:c>
      <x:c r="Z168" s="6" t="str">
        <x:v>G-f47b88ad40e317</x:v>
      </x:c>
      <x:c r="AA168" s="6" t="str">
        <x:v>eval</x:v>
      </x:c>
      <x:c r="AB168" s="6" t="str">
        <x:v>synthetic_from_manual</x:v>
      </x:c>
    </x:row>
    <x:row r="169" ht="115" customHeight="1">
      <x:c r="A169" s="6" t="str">
        <x:v>H0252</x:v>
      </x:c>
      <x:c r="B169" s="6" t="str">
        <x:v>synthetic_from_manual:MANUAL-0882</x:v>
      </x:c>
      <x:c r="C169" s="6" t="str">
        <x:v>{"history":[],"user_message":"С «Нормативы обслуживания» что-то не выходит. С чего начать проверку?"}</x:v>
      </x:c>
      <x:c r="D169" s="6" t="str">
        <x:v>{"product":"1С:УНФ 8. Полиграфия 2","version":"3.0.14.140","retrieval_state":"available","handoff_consent":false,"approval_basis":"user_confirmed_consultant_approval"}</x:v>
      </x:c>
      <x:c r="E169" s="6" t="str">
        <x:v>1С:УНФ 8. Полиграфия 2</x:v>
      </x:c>
      <x:c r="F169" s="6" t="str">
        <x:v>3.0.14.140</x:v>
      </x:c>
      <x:c r="G169" s="6" t="str">
        <x:v>not_reported</x:v>
      </x:c>
      <x:c r="H169" s="6" t="str">
        <x:v>default</x:v>
      </x:c>
      <x:c r="I169" s="6" t="str">
        <x:v>Применимость источников и эталона к 1С:УНФ 8. Полиграфия 2, релиз 3.0.14.140, подтверждена консультантом со слов пользователя.</x:v>
      </x:c>
      <x:c r="J169" s="13" t="str">
        <x:v>0</x:v>
      </x:c>
      <x:c r="K169" s="13" t="str">
        <x:v>5</x:v>
      </x:c>
      <x:c r="L169" s="7" t="b">
        <x:v>1</x:v>
      </x:c>
      <x:c r="M169" s="6" t="str">
        <x:v>not_applicable</x:v>
      </x:c>
      <x:c r="N169"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69" s="7" t="b">
        <x:v>0</x:v>
      </x:c>
      <x:c r="P169" s="6" t="str">
        <x:v>K3</x:v>
      </x:c>
      <x:c r="Q169" s="6" t="str">
        <x:v>Цель/параметр и результат действия неизвестны; еще один конкретный вопрос может снять неоднозначность, лимит не исчерпан.</x:v>
      </x:c>
      <x:c r="R169" s="6" t="str">
        <x:v>["chapter_1"]</x:v>
      </x:c>
      <x:c r="S169" s="6" t="str">
        <x:v>clarify</x:v>
      </x:c>
      <x:c r="T169" s="6" t="str">
        <x:v>["Какую задачу вы решаете с «Нормативы обслуживания» и что уже пробовали сделать?"]</x:v>
      </x:c>
      <x:c r="U169" s="6" t="str">
        <x:v>["Угадывание причины или инструкции.","Вопрос о продукте и релизе только из-за отсутствия их в сообщении."]</x:v>
      </x:c>
      <x:c r="V169" s="6" t="str">
        <x:v>[{"source_file":"/Users/elisavetagaponova/Downloads/1С УНФ 8  Полиграфия 2 для 3.0.doc","section":"1.17","extracted_text_line":882,"excerpt":"Справочник содержит нормативы для выполнения работ по обслуживанию полиграфического оборудования.","approval_basis":"user_confirmed_consultant_approval"}]</x:v>
      </x:c>
      <x:c r="W169" s="6" t="str">
        <x:v>["Задан полезный вопрос о недостающем действии/параметре; нет диагноза.","Не превышен лимит пяти уточнений."]</x:v>
      </x:c>
      <x:c r="X169" s="6" t="str">
        <x:v>approved</x:v>
      </x:c>
      <x:c r="Y169" s="6" t="str">
        <x:v>Карточка и применимость источников согласованы консультантом; утверждение подтверждено пользователем 25.10.2026.</x:v>
      </x:c>
      <x:c r="Z169" s="6" t="str">
        <x:v>G-dc025268ac7b1f</x:v>
      </x:c>
      <x:c r="AA169" s="6" t="str">
        <x:v>eval</x:v>
      </x:c>
      <x:c r="AB169" s="6" t="str">
        <x:v>synthetic_from_manual</x:v>
      </x:c>
    </x:row>
    <x:row r="170" ht="115" customHeight="1">
      <x:c r="A170" s="6" t="str">
        <x:v>H0255</x:v>
      </x:c>
      <x:c r="B170" s="6" t="str">
        <x:v>synthetic_from_manual:MANUAL-1463</x:v>
      </x:c>
      <x:c r="C170" s="6" t="str">
        <x:v>{"history":[{"role":"user","text":"В рабочей базе не получается использовать «Расчет заказа»."},{"role":"assistant","text":"Что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«Расчет заказа» текста ошибки не сохранилось, а к журналу у меня нет доступа. Как быть?"}</x:v>
      </x:c>
      <x:c r="D170" s="6" t="str">
        <x:v>{"product":"1С:УНФ 8. Полиграфия 2","version":"3.0.14.140","retrieval_state":"available","handoff_consent":false,"approval_basis":"user_confirmed_consultant_approval"}</x:v>
      </x:c>
      <x:c r="E170" s="6" t="str">
        <x:v>1С:УНФ 8. Полиграфия 2</x:v>
      </x:c>
      <x:c r="F170" s="6" t="str">
        <x:v>3.0.14.140</x:v>
      </x:c>
      <x:c r="G170" s="6" t="str">
        <x:v>not_reported</x:v>
      </x:c>
      <x:c r="H170" s="6" t="str">
        <x:v>default</x:v>
      </x:c>
      <x:c r="I170" s="6" t="str">
        <x:v>Применимость источников и эталона к 1С:УНФ 8. Полиграфия 2, релиз 3.0.14.140, подтверждена консультантом со слов пользователя.</x:v>
      </x:c>
      <x:c r="J170" s="13" t="str">
        <x:v>5</x:v>
      </x:c>
      <x:c r="K170" s="13" t="str">
        <x:v>5</x:v>
      </x:c>
      <x:c r="L170" s="7" t="b">
        <x:v>0</x:v>
      </x:c>
      <x:c r="M170" s="6" t="str">
        <x:v>limit_reached</x:v>
      </x:c>
      <x:c r="N170" s="6" t="str">
        <x:v>[]</x:v>
      </x:c>
      <x:c r="O170" s="7" t="b">
        <x:v>0</x:v>
      </x:c>
      <x:c r="P170" s="6" t="str">
        <x:v>K6</x:v>
      </x:c>
      <x:c r="Q170" s="6" t="str">
        <x:v>Пять разных уточняющих ходов уже были; без доступа к базе/ошибке подтвержденного решения нет, шестое уточнение запрещено.</x:v>
      </x:c>
      <x:c r="R170" s="6" t="str">
        <x:v>["chapter_4"]</x:v>
      </x:c>
      <x:c r="S170" s="6" t="str">
        <x:v>offer_handoff</x:v>
      </x:c>
      <x:c r="T170" s="6" t="str">
        <x:v>["Сообщить об отсутствии подтвержденного решения.","Предложить передачу консультанту."]</x:v>
      </x:c>
      <x:c r="U170" s="6" t="str">
        <x:v>["Еще один диагностический вопрос.","Выдуманная причина или правка рабочей базы.","Сообщение о созданной заявке без подтверждения."]</x:v>
      </x:c>
      <x:c r="V170" s="6" t="str">
        <x:v>[{"source_file":"/Users/elisavetagaponova/Downloads/1С УНФ 8  Полиграфия 2 для 3.0.doc","section":"4.1","extracted_text_line":1463,"excerpt":"Расчет стоимости и технологических параметров заказа на полиграфическую продукцию осуществляется в документе \"Расчет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70" s="6" t="str">
        <x:v>["Предложена передача; нет дальнейшей диагностики и необоснованного решения."]</x:v>
      </x:c>
      <x:c r="X170" s="6" t="str">
        <x:v>approved</x:v>
      </x:c>
      <x:c r="Y170" s="6" t="str">
        <x:v>Карточка и применимость источников согласованы консультантом; утверждение подтверждено пользователем 25.10.2026.</x:v>
      </x:c>
      <x:c r="Z170" s="6" t="str">
        <x:v>G-e9ce9be1333a15</x:v>
      </x:c>
      <x:c r="AA170" s="6" t="str">
        <x:v>eval</x:v>
      </x:c>
      <x:c r="AB170" s="6" t="str">
        <x:v>synthetic_from_manual</x:v>
      </x:c>
    </x:row>
    <x:row r="171" ht="115" customHeight="1">
      <x:c r="A171" s="6" t="str">
        <x:v>H0258</x:v>
      </x:c>
      <x:c r="B171" s="6" t="str">
        <x:v>synthetic_from_manual:MANUAL-4254</x:v>
      </x:c>
      <x:c r="C171" s="6" t="str">
        <x:v>{"history":[{"role":"user","text":"Помогите найти нужные сведения по работе в Полиграфии."},{"role":"assistant","text":"О каком объекте или действии вы хотите узнать?"}],"user_message":"Куда в настройках занести внешние устройства на рабочих местах?"}</x:v>
      </x:c>
      <x:c r="D171" s="6" t="str">
        <x:v>{"product":"1С:УНФ 8. Полиграфия 2","version":"3.0.14.140","retrieval_state":"available","handoff_consent":false,"approval_basis":"user_confirmed_consultant_approval"}</x:v>
      </x:c>
      <x:c r="E171" s="6" t="str">
        <x:v>1С:УНФ 8. Полиграфия 2</x:v>
      </x:c>
      <x:c r="F171" s="6" t="str">
        <x:v>3.0.14.140</x:v>
      </x:c>
      <x:c r="G171" s="6" t="str">
        <x:v>not_reported</x:v>
      </x:c>
      <x:c r="H171" s="6" t="str">
        <x:v>default</x:v>
      </x:c>
      <x:c r="I171" s="6" t="str">
        <x:v>Применимость источников и эталона к 1С:УНФ 8. Полиграфия 2, релиз 3.0.14.140, подтверждена консультантом со слов пользователя.</x:v>
      </x:c>
      <x:c r="J171" s="13" t="str">
        <x:v>1</x:v>
      </x:c>
      <x:c r="K171" s="13" t="str">
        <x:v>5</x:v>
      </x:c>
      <x:c r="L171" s="7" t="b">
        <x:v>0</x:v>
      </x:c>
      <x:c r="M171" s="6" t="str">
        <x:v>not_applicable</x:v>
      </x:c>
      <x:c r="N171" s="6" t="str">
        <x:v>[]</x:v>
      </x:c>
      <x:c r="O171" s="7" t="b">
        <x:v>1</x:v>
      </x:c>
      <x:c r="P171" s="6" t="str">
        <x:v>K5</x:v>
      </x:c>
      <x:c r="Q171" s="6" t="str">
        <x:v>После ответа на уточнение предмет вопроса известен, а приведенный фрагмент руководства дает ответ.</x:v>
      </x:c>
      <x:c r="R171" s="6" t="str">
        <x:v>["chapter_13"]</x:v>
      </x:c>
      <x:c r="S171" s="6" t="str">
        <x:v>answer</x:v>
      </x:c>
      <x:c r="T171" s="6" t="str">
        <x:v>["Ответ по уточненному объекту.","Источник: руководство и раздел."]</x:v>
      </x:c>
      <x:c r="U171" s="6" t="str">
        <x:v>["Повторное выяснение уже названного объекта.","Выдуманные шаги."]</x:v>
      </x:c>
      <x:c r="V171" s="6" t="str">
        <x:v>[{"source_file":"/Users/elisavetagaponova/Downloads/1С УНФ 8  Полиграфия 2 для 3.0.doc","section":"Глава 13","extracted_text_line":4254,"excerpt":"Данные о внешних устройствах, размещенных на рабочих местах пользователей, хранятся в справочнике Подключаемое оборудование, к которому имеется доступ по одноименной ссылке из раздела Настройки.","approval_basis":"user_confirmed_consultant_approval"}]</x:v>
      </x:c>
      <x:c r="W171" s="6" t="str">
        <x:v>["Дан подтвержденный ответ с релевантным источником, без нового уточнения."]</x:v>
      </x:c>
      <x:c r="X171" s="6" t="str">
        <x:v>approved</x:v>
      </x:c>
      <x:c r="Y171" s="6" t="str">
        <x:v>Карточка и применимость источников согласованы консультантом; утверждение подтверждено пользователем 25.10.2026.</x:v>
      </x:c>
      <x:c r="Z171" s="6" t="str">
        <x:v>G-954fe02abcac30</x:v>
      </x:c>
      <x:c r="AA171" s="6" t="str">
        <x:v>eval</x:v>
      </x:c>
      <x:c r="AB171" s="6" t="str">
        <x:v>synthetic_from_manual</x:v>
      </x:c>
    </x:row>
    <x:row r="172" ht="115" customHeight="1">
      <x:c r="A172" s="6" t="str">
        <x:v>H0260</x:v>
      </x:c>
      <x:c r="B172" s="6" t="str">
        <x:v>synthetic_from_manual:MANUAL-0871</x:v>
      </x:c>
      <x:c r="C172" s="6" t="str">
        <x:v>{"history":[{"role":"user","text":"Не получается закончить работу с «Приоритеты»."},{"role":"assistant","text":"Что происходит при попытке?"}],"user_message":"В типовой базе «Приоритеты» работает, а у нас после доработки больше нет. Кто может проверить конфигурацию?"}</x:v>
      </x:c>
      <x:c r="D172" s="6" t="str">
        <x:v>{"product":"1С:УНФ 8. Полиграфия 2","version":"3.0.14.140","retrieval_state":"available","handoff_consent":false,"approval_basis":"user_confirmed_consultant_approval"}</x:v>
      </x:c>
      <x:c r="E172" s="6" t="str">
        <x:v>1С:УНФ 8. Полиграфия 2</x:v>
      </x:c>
      <x:c r="F172" s="6" t="str">
        <x:v>3.0.14.140</x:v>
      </x:c>
      <x:c r="G172" s="6" t="str">
        <x:v>not_reported</x:v>
      </x:c>
      <x:c r="H172" s="6" t="str">
        <x:v>default</x:v>
      </x:c>
      <x:c r="I172" s="6" t="str">
        <x:v>Применимость источников и эталона к 1С:УНФ 8. Полиграфия 2, релиз 3.0.14.140, подтверждена консультантом со слов пользователя.</x:v>
      </x:c>
      <x:c r="J172" s="13" t="str">
        <x:v>1</x:v>
      </x:c>
      <x:c r="K172" s="13" t="str">
        <x:v>5</x:v>
      </x:c>
      <x:c r="L172" s="7" t="b">
        <x:v>0</x:v>
      </x:c>
      <x:c r="M172" s="6" t="str">
        <x:v>diagnosis_required</x:v>
      </x:c>
      <x:c r="N172" s="6" t="str">
        <x:v>[]</x:v>
      </x:c>
      <x:c r="O172" s="7" t="b">
        <x:v>0</x:v>
      </x:c>
      <x:c r="P172" s="6" t="str">
        <x:v>K6</x:v>
      </x:c>
      <x:c r="Q17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72" s="6" t="str">
        <x:v>["chapter_1"]</x:v>
      </x:c>
      <x:c r="S172" s="6" t="str">
        <x:v>offer_handoff</x:v>
      </x:c>
      <x:c r="T172" s="6" t="str">
        <x:v>["Сообщить об отсутствии подтвержденного решения.","Предложить передачу консультанту."]</x:v>
      </x:c>
      <x:c r="U172" s="6" t="str">
        <x:v>["Еще один диагностический вопрос.","Выдуманная причина или правка рабочей базы.","Сообщение о созданной заявке без подтверждения."]</x:v>
      </x:c>
      <x:c r="V172" s="6" t="str">
        <x:v>[{"source_file":"/Users/elisavetagaponova/Downloads/1С УНФ 8  Полиграфия 2 для 3.0.doc","section":"1.14","extracted_text_line":871,"excerpt":"Справочник предназначен для хранения информации о важности заказов на полиграфическую продукцию. При работе со списками заказов на полиграфическую продукцию доступна их сортировка или отбор по приоритету.","approval_basis":"user_confirmed_consultant_approval"},{"corpus_check":"Руководство не содержит состояния клиентской базы, кода расширения или журнала ошибки.","approval_basis":"user_confirmed_consultant_approval"}]</x:v>
      </x:c>
      <x:c r="W172" s="6" t="str">
        <x:v>["Предложена передача; нет дальнейшей диагностики и необоснованного решения."]</x:v>
      </x:c>
      <x:c r="X172" s="6" t="str">
        <x:v>approved</x:v>
      </x:c>
      <x:c r="Y172" s="6" t="str">
        <x:v>Карточка и применимость источников согласованы консультантом; утверждение подтверждено пользователем 25.10.2026.</x:v>
      </x:c>
      <x:c r="Z172" s="6" t="str">
        <x:v>G-c14becee556e8a</x:v>
      </x:c>
      <x:c r="AA172" s="6" t="str">
        <x:v>eval</x:v>
      </x:c>
      <x:c r="AB172" s="6" t="str">
        <x:v>synthetic_from_manual</x:v>
      </x:c>
    </x:row>
    <x:row r="173" ht="115" customHeight="1">
      <x:c r="A173" s="6" t="str">
        <x:v>H0261</x:v>
      </x:c>
      <x:c r="B173" s="6" t="str">
        <x:v>synthetic_from_manual:MANUAL-2262</x:v>
      </x:c>
      <x:c r="C173" s="6" t="str">
        <x:v>{"history":[{"role":"user","text":"Не получается закончить работу с «Задержка времени выполнения операций между рабочими центрами»."},{"role":"assistant","text":"Что происходит при попытке?"}],"user_message":"Ошибка с «Задержка времени выполнения операций между рабочими центрами» появилась после переноса данных из старой базы и повторяется только у нас. Нужно посмотреть сами данные."}</x:v>
      </x:c>
      <x:c r="D173" s="6" t="str">
        <x:v>{"product":"1С:УНФ 8. Полиграфия 2","version":"3.0.14.140","retrieval_state":"available","handoff_consent":false,"approval_basis":"user_confirmed_consultant_approval"}</x:v>
      </x:c>
      <x:c r="E173" s="6" t="str">
        <x:v>1С:УНФ 8. Полиграфия 2</x:v>
      </x:c>
      <x:c r="F173" s="6" t="str">
        <x:v>3.0.14.140</x:v>
      </x:c>
      <x:c r="G173" s="6" t="str">
        <x:v>not_reported</x:v>
      </x:c>
      <x:c r="H173" s="6" t="str">
        <x:v>default</x:v>
      </x:c>
      <x:c r="I173" s="6" t="str">
        <x:v>Применимость источников и эталона к 1С:УНФ 8. Полиграфия 2, релиз 3.0.14.140, подтверждена консультантом со слов пользователя.</x:v>
      </x:c>
      <x:c r="J173" s="13" t="str">
        <x:v>1</x:v>
      </x:c>
      <x:c r="K173" s="13" t="str">
        <x:v>5</x:v>
      </x:c>
      <x:c r="L173" s="7" t="b">
        <x:v>0</x:v>
      </x:c>
      <x:c r="M173" s="6" t="str">
        <x:v>diagnosis_required</x:v>
      </x:c>
      <x:c r="N173" s="6" t="str">
        <x:v>[]</x:v>
      </x:c>
      <x:c r="O173" s="7" t="b">
        <x:v>0</x:v>
      </x:c>
      <x:c r="P173" s="6" t="str">
        <x:v>K6</x:v>
      </x:c>
      <x:c r="Q17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73" s="6" t="str">
        <x:v>["chapter_5"]</x:v>
      </x:c>
      <x:c r="S173" s="6" t="str">
        <x:v>offer_handoff</x:v>
      </x:c>
      <x:c r="T173" s="6" t="str">
        <x:v>["Сообщить об отсутствии подтвержденного решения.","Предложить передачу консультанту."]</x:v>
      </x:c>
      <x:c r="U173" s="6" t="str">
        <x:v>["Еще один диагностический вопрос.","Выдуманная причина или правка рабочей базы.","Сообщение о созданной заявке без подтверждения."]</x:v>
      </x:c>
      <x:c r="V173" s="6" t="str">
        <x:v>[{"source_file":"/Users/elisavetagaponova/Downloads/1С УНФ 8  Полиграфия 2 для 3.0.doc","section":"5.30","extracted_text_line":2262,"excerpt":"Отчет предназначен для анализа данных о времени, которое необходимо при передаче выполнении операции между разными рабочими центрами. В отчете можно установить отбор по Источнику и Получателю. Данные учитывается при планировании (документ \"План производства полиграфии\"), при нажатии на кнопку \"Выполнить планирование\", когда программа определяет плановое время начала (колонка \"Дата начала\") выполнения операции, исходя из графика работы оборудования (колонка \"Смена\") и данных регистра \"Задержка времени выполнения операций между рабочими центрами\"","approval_basis":"user_confirmed_consultant_approval"},{"corpus_check":"Руководство не содержит состояния клиентской базы, кода расширения или журнала ошибки.","approval_basis":"user_confirmed_consultant_approval"}]</x:v>
      </x:c>
      <x:c r="W173" s="6" t="str">
        <x:v>["Предложена передача; нет дальнейшей диагностики и необоснованного решения."]</x:v>
      </x:c>
      <x:c r="X173" s="6" t="str">
        <x:v>approved</x:v>
      </x:c>
      <x:c r="Y173" s="6" t="str">
        <x:v>Карточка и применимость источников согласованы консультантом; утверждение подтверждено пользователем 25.10.2026.</x:v>
      </x:c>
      <x:c r="Z173" s="6" t="str">
        <x:v>G-20642ff352feea</x:v>
      </x:c>
      <x:c r="AA173" s="6" t="str">
        <x:v>eval</x:v>
      </x:c>
      <x:c r="AB173" s="6" t="str">
        <x:v>synthetic_from_manual</x:v>
      </x:c>
    </x:row>
    <x:row r="174" ht="115" customHeight="1">
      <x:c r="A174" s="6" t="str">
        <x:v>H0263</x:v>
      </x:c>
      <x:c r="B174" s="6" t="str">
        <x:v>synthetic_from_manual:MANUAL-2467</x:v>
      </x:c>
      <x:c r="C174" s="6" t="str">
        <x:v>{"history":[{"role":"user","text":"Подскажите по теме «Материалы к операции»."},{"role":"assistant","text":"Что именно вам нужно узнать по этой теме?"}],"user_message":"При ламинировании нужно автоматически считать пленку. В каком документе задать норму?"}</x:v>
      </x:c>
      <x:c r="D174" s="6" t="str">
        <x:v>{"product":"1С:УНФ 8. Полиграфия 2","version":"3.0.14.140","retrieval_state":"available","handoff_consent":false,"approval_basis":"user_confirmed_consultant_approval"}</x:v>
      </x:c>
      <x:c r="E174" s="6" t="str">
        <x:v>1С:УНФ 8. Полиграфия 2</x:v>
      </x:c>
      <x:c r="F174" s="6" t="str">
        <x:v>3.0.14.140</x:v>
      </x:c>
      <x:c r="G174" s="6" t="str">
        <x:v>not_reported</x:v>
      </x:c>
      <x:c r="H174" s="6" t="str">
        <x:v>default</x:v>
      </x:c>
      <x:c r="I174" s="6" t="str">
        <x:v>Применимость источников и эталона к 1С:УНФ 8. Полиграфия 2, релиз 3.0.14.140, подтверждена консультантом со слов пользователя.</x:v>
      </x:c>
      <x:c r="J174" s="13" t="str">
        <x:v>1</x:v>
      </x:c>
      <x:c r="K174" s="13" t="str">
        <x:v>5</x:v>
      </x:c>
      <x:c r="L174" s="7" t="b">
        <x:v>0</x:v>
      </x:c>
      <x:c r="M174" s="6" t="str">
        <x:v>not_applicable</x:v>
      </x:c>
      <x:c r="N174" s="6" t="str">
        <x:v>[]</x:v>
      </x:c>
      <x:c r="O174" s="7" t="b">
        <x:v>1</x:v>
      </x:c>
      <x:c r="P174" s="6" t="str">
        <x:v>K5</x:v>
      </x:c>
      <x:c r="Q174" s="6" t="str">
        <x:v>После ответа на уточнение предмет вопроса известен, а приведенный фрагмент руководства дает ответ.</x:v>
      </x:c>
      <x:c r="R174" s="6" t="str">
        <x:v>["chapter_6"]</x:v>
      </x:c>
      <x:c r="S174" s="6" t="str">
        <x:v>answer</x:v>
      </x:c>
      <x:c r="T174" s="6" t="str">
        <x:v>["Ответ по уточненному объекту.","Источник: руководство и раздел."]</x:v>
      </x:c>
      <x:c r="U174" s="6" t="str">
        <x:v>["Повторное выяснение уже названного объекта.","Выдуманные шаги."]</x:v>
      </x:c>
      <x:c r="V174" s="6" t="str">
        <x:v>[{"source_file":"/Users/elisavetagaponova/Downloads/1С УНФ 8  Полиграфия 2 для 3.0.doc","section":"Глава 6","extracted_text_line":2467,"excerpt":"Часто в полиграфическом производстве при использовании определенной операции необходимо автоматически рассчитывать нужное количество какого-либо материала. Например, при ламинировании идет расход пленки. Для организации такого расчета используется документ \"Нормирование материалов к операции\".","approval_basis":"user_confirmed_consultant_approval"}]</x:v>
      </x:c>
      <x:c r="W174" s="6" t="str">
        <x:v>["Дан подтвержденный ответ с релевантным источником, без нового уточнения."]</x:v>
      </x:c>
      <x:c r="X174" s="6" t="str">
        <x:v>approved</x:v>
      </x:c>
      <x:c r="Y174" s="6" t="str">
        <x:v>Карточка и применимость источников согласованы консультантом; утверждение подтверждено пользователем 25.10.2026.</x:v>
      </x:c>
      <x:c r="Z174" s="6" t="str">
        <x:v>G-5ffbc178fd42ae</x:v>
      </x:c>
      <x:c r="AA174" s="6" t="str">
        <x:v>eval</x:v>
      </x:c>
      <x:c r="AB174" s="6" t="str">
        <x:v>synthetic_from_manual</x:v>
      </x:c>
    </x:row>
    <x:row r="175" ht="115" customHeight="1">
      <x:c r="A175" s="6" t="str">
        <x:v>H0265</x:v>
      </x:c>
      <x:c r="B175" s="6" t="str">
        <x:v>synthetic_from_manual:MANUAL-2646</x:v>
      </x:c>
      <x:c r="C175" s="6" t="str">
        <x:v>{"history":[{"role":"user","text":"Не получается закончить работу с «Полосы продукции при раскладке»."},{"role":"assistant","text":"Что происходит при попытке?"}],"user_message":"В типовой базе «Полосы продукции при раскладке» работает, а у нас после доработки больше нет. Кто может проверить конфигурацию?"}</x:v>
      </x:c>
      <x:c r="D175" s="6" t="str">
        <x:v>{"product":"1С:УНФ 8. Полиграфия 2","version":"3.0.14.140","retrieval_state":"available","handoff_consent":false,"approval_basis":"user_confirmed_consultant_approval"}</x:v>
      </x:c>
      <x:c r="E175" s="6" t="str">
        <x:v>1С:УНФ 8. Полиграфия 2</x:v>
      </x:c>
      <x:c r="F175" s="6" t="str">
        <x:v>3.0.14.140</x:v>
      </x:c>
      <x:c r="G175" s="6" t="str">
        <x:v>not_reported</x:v>
      </x:c>
      <x:c r="H175" s="6" t="str">
        <x:v>default</x:v>
      </x:c>
      <x:c r="I175" s="6" t="str">
        <x:v>Применимость источников и эталона к 1С:УНФ 8. Полиграфия 2, релиз 3.0.14.140, подтверждена консультантом со слов пользователя.</x:v>
      </x:c>
      <x:c r="J175" s="13" t="str">
        <x:v>1</x:v>
      </x:c>
      <x:c r="K175" s="13" t="str">
        <x:v>5</x:v>
      </x:c>
      <x:c r="L175" s="7" t="b">
        <x:v>0</x:v>
      </x:c>
      <x:c r="M175" s="6" t="str">
        <x:v>diagnosis_required</x:v>
      </x:c>
      <x:c r="N175" s="6" t="str">
        <x:v>[]</x:v>
      </x:c>
      <x:c r="O175" s="7" t="b">
        <x:v>0</x:v>
      </x:c>
      <x:c r="P175" s="6" t="str">
        <x:v>K6</x:v>
      </x:c>
      <x:c r="Q175"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75" s="6" t="str">
        <x:v>["chapter_7"]</x:v>
      </x:c>
      <x:c r="S175" s="6" t="str">
        <x:v>offer_handoff</x:v>
      </x:c>
      <x:c r="T175" s="6" t="str">
        <x:v>["Сообщить об отсутствии подтвержденного решения.","Предложить передачу консультанту."]</x:v>
      </x:c>
      <x:c r="U175" s="6" t="str">
        <x:v>["Еще один диагностический вопрос.","Выдуманная причина или правка рабочей базы.","Сообщение о созданной заявке без подтверждения."]</x:v>
      </x:c>
      <x:c r="V175" s="6" t="str">
        <x:v>[{"source_file":"/Users/elisavetagaponova/Downloads/1С УНФ 8  Полиграфия 2 для 3.0.doc","section":"Глава 7","extracted_text_line":2646,"excerpt":"Данный расчет производится на закладке \"Пресс\" документа \"Расчет заказа\". Необходимо ввести все вышеперечисленные параметры. Программа автоматически предложит располагать на листе 8 полос, поэтому необходимо установить флажок \"Нестандартно\" и самостоятельно задать число полос продукции на печатном листе – 6. Нажать на кнопку \"Расчет пресса\".","approval_basis":"user_confirmed_consultant_approval"},{"corpus_check":"Руководство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75" s="6" t="str">
        <x:v>["Предложена передача; нет дальнейшей диагностики и необоснованного решения."]</x:v>
      </x:c>
      <x:c r="X175" s="6" t="str">
        <x:v>approved</x:v>
      </x:c>
      <x:c r="Y175" s="6" t="str">
        <x:v>Карточка и применимость источников согласованы консультантом; утверждение подтверждено пользователем 25.10.2026.</x:v>
      </x:c>
      <x:c r="Z175" s="6" t="str">
        <x:v>G-4dfd5cac3d0416</x:v>
      </x:c>
      <x:c r="AA175" s="6" t="str">
        <x:v>eval</x:v>
      </x:c>
      <x:c r="AB175" s="6" t="str">
        <x:v>synthetic_from_manual</x:v>
      </x:c>
    </x:row>
    <x:row r="176" ht="115" customHeight="1">
      <x:c r="A176" s="6" t="str">
        <x:v>H0266</x:v>
      </x:c>
      <x:c r="B176" s="6" t="str">
        <x:v>synthetic_from_manual:MANUAL-2536</x:v>
      </x:c>
      <x:c r="C176" s="6" t="str">
        <x:v>{"history":[],"user_message":"Коллега попросил настроить «Нестандартное количество полос». Что для этого нужно?"}</x:v>
      </x:c>
      <x:c r="D176" s="6" t="str">
        <x:v>{"product":"1С:УНФ 8. Полиграфия 2","version":"3.0.14.140","retrieval_state":"available","handoff_consent":false,"approval_basis":"user_confirmed_consultant_approval"}</x:v>
      </x:c>
      <x:c r="E176" s="6" t="str">
        <x:v>1С:УНФ 8. Полиграфия 2</x:v>
      </x:c>
      <x:c r="F176" s="6" t="str">
        <x:v>3.0.14.140</x:v>
      </x:c>
      <x:c r="G176" s="6" t="str">
        <x:v>not_reported</x:v>
      </x:c>
      <x:c r="H176" s="6" t="str">
        <x:v>default</x:v>
      </x:c>
      <x:c r="I176" s="6" t="str">
        <x:v>Применимость источников и эталона к 1С:УНФ 8. Полиграфия 2, релиз 3.0.14.140, подтверждена консультантом со слов пользователя.</x:v>
      </x:c>
      <x:c r="J176" s="13" t="str">
        <x:v>0</x:v>
      </x:c>
      <x:c r="K176" s="13" t="str">
        <x:v>5</x:v>
      </x:c>
      <x:c r="L176" s="7" t="b">
        <x:v>1</x:v>
      </x:c>
      <x:c r="M176" s="6" t="str">
        <x:v>not_applicable</x:v>
      </x:c>
      <x:c r="N17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76" s="7" t="b">
        <x:v>0</x:v>
      </x:c>
      <x:c r="P176" s="6" t="str">
        <x:v>K3</x:v>
      </x:c>
      <x:c r="Q176" s="6" t="str">
        <x:v>Цель/параметр и результат действия неизвестны; еще один конкретный вопрос может снять неоднозначность, лимит не исчерпан.</x:v>
      </x:c>
      <x:c r="R176" s="6" t="str">
        <x:v>["chapter_7"]</x:v>
      </x:c>
      <x:c r="S176" s="6" t="str">
        <x:v>clarify</x:v>
      </x:c>
      <x:c r="T176" s="6" t="str">
        <x:v>["Какую задачу вы решаете с «Нестандартное количество полос» и что уже пробовали сделать?"]</x:v>
      </x:c>
      <x:c r="U176" s="6" t="str">
        <x:v>["Угадывание причины или инструкции.","Вопрос о продукте и релизе только из-за отсутствия их в сообщении."]</x:v>
      </x:c>
      <x:c r="V176" s="6" t="str">
        <x:v>[{"source_file":"/Users/elisavetagaponova/Downloads/1С УНФ 8  Полиграфия 2 для 3.0.doc","section":"Глава 7","extracted_text_line":2536,"excerpt":"Важно! Программа выбирает оптимальную раскладку только для двух вариантов расположения изделия на печатном листе: \"ландшафтного\" и \"портретного\" расположения. Однако пользователь может самостоятельно указать количество полос на листе, поставив флажок \"Нестандартное количество полос\".","approval_basis":"user_confirmed_consultant_approval"}]</x:v>
      </x:c>
      <x:c r="W176" s="6" t="str">
        <x:v>["Задан полезный вопрос о недостающем действии/параметре; нет диагноза.","Не превышен лимит пяти уточнений."]</x:v>
      </x:c>
      <x:c r="X176" s="6" t="str">
        <x:v>approved</x:v>
      </x:c>
      <x:c r="Y176" s="6" t="str">
        <x:v>Карточка и применимость источников согласованы консультантом; утверждение подтверждено пользователем 25.10.2026.</x:v>
      </x:c>
      <x:c r="Z176" s="6" t="str">
        <x:v>G-174ebade3d248d</x:v>
      </x:c>
      <x:c r="AA176" s="6" t="str">
        <x:v>eval</x:v>
      </x:c>
      <x:c r="AB176" s="6" t="str">
        <x:v>synthetic_from_manual</x:v>
      </x:c>
    </x:row>
    <x:row r="177" ht="115" customHeight="1">
      <x:c r="A177" s="6" t="str">
        <x:v>H0270</x:v>
      </x:c>
      <x:c r="B177" s="6" t="str">
        <x:v>synthetic_from_manual:MANUAL-2740</x:v>
      </x:c>
      <x:c r="C177" s="6" t="str">
        <x:v>{"history":[{"role":"user","text":"Помогите найти нужные сведения по работе в Полиграфии."},{"role":"assistant","text":"О каком объекте или действии вы хотите узнать?"}],"user_message":"Для флексомашины нужно указать параметры растрового вала. Где хранить сведения об анилоксе?"}</x:v>
      </x:c>
      <x:c r="D177" s="6" t="str">
        <x:v>{"product":"1С:УНФ 8. Полиграфия 2","version":"3.0.14.140","retrieval_state":"available","handoff_consent":false,"approval_basis":"user_confirmed_consultant_approval"}</x:v>
      </x:c>
      <x:c r="E177" s="6" t="str">
        <x:v>1С:УНФ 8. Полиграфия 2</x:v>
      </x:c>
      <x:c r="F177" s="6" t="str">
        <x:v>3.0.14.140</x:v>
      </x:c>
      <x:c r="G177" s="6" t="str">
        <x:v>not_reported</x:v>
      </x:c>
      <x:c r="H177" s="6" t="str">
        <x:v>default</x:v>
      </x:c>
      <x:c r="I177" s="6" t="str">
        <x:v>Применимость источников и эталона к 1С:УНФ 8. Полиграфия 2, релиз 3.0.14.140, подтверждена консультантом со слов пользователя.</x:v>
      </x:c>
      <x:c r="J177" s="13" t="str">
        <x:v>1</x:v>
      </x:c>
      <x:c r="K177" s="13" t="str">
        <x:v>5</x:v>
      </x:c>
      <x:c r="L177" s="7" t="b">
        <x:v>0</x:v>
      </x:c>
      <x:c r="M177" s="6" t="str">
        <x:v>not_applicable</x:v>
      </x:c>
      <x:c r="N177" s="6" t="str">
        <x:v>[]</x:v>
      </x:c>
      <x:c r="O177" s="7" t="b">
        <x:v>1</x:v>
      </x:c>
      <x:c r="P177" s="6" t="str">
        <x:v>K5</x:v>
      </x:c>
      <x:c r="Q177" s="6" t="str">
        <x:v>После ответа на уточнение предмет вопроса известен, а приведенный фрагмент руководства дает ответ.</x:v>
      </x:c>
      <x:c r="R177" s="6" t="str">
        <x:v>["chapter_8"]</x:v>
      </x:c>
      <x:c r="S177" s="6" t="str">
        <x:v>answer</x:v>
      </x:c>
      <x:c r="T177" s="6" t="str">
        <x:v>["Ответ по уточненному объекту.","Источник: руководство и раздел."]</x:v>
      </x:c>
      <x:c r="U177" s="6" t="str">
        <x:v>["Повторное выяснение уже названного объекта.","Выдуманные шаги."]</x:v>
      </x:c>
      <x:c r="V177" s="6" t="str">
        <x:v>[{"source_file":"/Users/elisavetagaponova/Downloads/1С УНФ 8  Полиграфия 2 для 3.0.doc","section":"8.1.1","extracted_text_line":2740,"excerpt":"В справочнике \"Анилокс/Сетка\" хранятся сведения о характеристиках растрового вала, который используется во флексопечати для переноса и дозирования краски на печатную форму.","approval_basis":"user_confirmed_consultant_approval"}]</x:v>
      </x:c>
      <x:c r="W177" s="6" t="str">
        <x:v>["Дан подтвержденный ответ с релевантным источником, без нового уточнения."]</x:v>
      </x:c>
      <x:c r="X177" s="6" t="str">
        <x:v>approved</x:v>
      </x:c>
      <x:c r="Y177" s="6" t="str">
        <x:v>Карточка и применимость источников согласованы консультантом; утверждение подтверждено пользователем 25.10.2026.</x:v>
      </x:c>
      <x:c r="Z177" s="6" t="str">
        <x:v>G-e3880af5a02518</x:v>
      </x:c>
      <x:c r="AA177" s="6" t="str">
        <x:v>eval</x:v>
      </x:c>
      <x:c r="AB177" s="6" t="str">
        <x:v>synthetic_from_manual</x:v>
      </x:c>
    </x:row>
    <x:row r="178" ht="115" customHeight="1">
      <x:c r="A178" s="6" t="str">
        <x:v>H0272</x:v>
      </x:c>
      <x:c r="B178" s="6" t="str">
        <x:v>synthetic_from_manual:MANUAL-2170</x:v>
      </x:c>
      <x:c r="C178" s="6" t="str">
        <x:v>{"history":[{"role":"user","text":"Не получается закончить работу с «Выработка штампов (высекальных ножей)»."},{"role":"assistant","text":"Что происходит при попытке?"}],"user_message":"В типовой базе «Выработка штампов (высекальных ножей)» работает, а у нас после доработки больше нет. Кто может проверить конфигурацию?"}</x:v>
      </x:c>
      <x:c r="D178" s="6" t="str">
        <x:v>{"product":"1С:УНФ 8. Полиграфия 2","version":"3.0.14.140","retrieval_state":"available","handoff_consent":false,"approval_basis":"user_confirmed_consultant_approval"}</x:v>
      </x:c>
      <x:c r="E178" s="6" t="str">
        <x:v>1С:УНФ 8. Полиграфия 2</x:v>
      </x:c>
      <x:c r="F178" s="6" t="str">
        <x:v>3.0.14.140</x:v>
      </x:c>
      <x:c r="G178" s="6" t="str">
        <x:v>not_reported</x:v>
      </x:c>
      <x:c r="H178" s="6" t="str">
        <x:v>default</x:v>
      </x:c>
      <x:c r="I178" s="6" t="str">
        <x:v>Применимость источников и эталона к 1С:УНФ 8. Полиграфия 2, релиз 3.0.14.140, подтверждена консультантом со слов пользователя.</x:v>
      </x:c>
      <x:c r="J178" s="13" t="str">
        <x:v>1</x:v>
      </x:c>
      <x:c r="K178" s="13" t="str">
        <x:v>5</x:v>
      </x:c>
      <x:c r="L178" s="7" t="b">
        <x:v>0</x:v>
      </x:c>
      <x:c r="M178" s="6" t="str">
        <x:v>diagnosis_required</x:v>
      </x:c>
      <x:c r="N178" s="6" t="str">
        <x:v>[]</x:v>
      </x:c>
      <x:c r="O178" s="7" t="b">
        <x:v>0</x:v>
      </x:c>
      <x:c r="P178" s="6" t="str">
        <x:v>K6</x:v>
      </x:c>
      <x:c r="Q17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78" s="6" t="str">
        <x:v>["chapter_5"]</x:v>
      </x:c>
      <x:c r="S178" s="6" t="str">
        <x:v>offer_handoff</x:v>
      </x:c>
      <x:c r="T178" s="6" t="str">
        <x:v>["Сообщить об отсутствии подтвержденного решения.","Предложить передачу консультанту."]</x:v>
      </x:c>
      <x:c r="U178" s="6" t="str">
        <x:v>["Еще один диагностический вопрос.","Выдуманная причина или правка рабочей базы.","Сообщение о созданной заявке без подтверждения."]</x:v>
      </x:c>
      <x:c r="V178" s="6" t="str">
        <x:v>[{"source_file":"/Users/elisavetagaponova/Downloads/1С УНФ 8  Полиграфия 2 для 3.0.doc","section":"5.15","extracted_text_line":2170,"excerpt":"Отчет \"Выработка штампов\" формирует сводную информацию о фактическом выработке штампов (высекальных ножей) по флексозаказам.","approval_basis":"user_confirmed_consultant_approval"},{"corpus_check":"Руководство не содержит состояния клиентской базы, кода расширения или журнала ошибки.","approval_basis":"user_confirmed_consultant_approval"}]</x:v>
      </x:c>
      <x:c r="W178" s="6" t="str">
        <x:v>["Предложена передача; нет дальнейшей диагностики и необоснованного решения."]</x:v>
      </x:c>
      <x:c r="X178" s="6" t="str">
        <x:v>approved</x:v>
      </x:c>
      <x:c r="Y178" s="6" t="str">
        <x:v>Карточка и применимость источников согласованы консультантом; утверждение подтверждено пользователем 25.10.2026.</x:v>
      </x:c>
      <x:c r="Z178" s="6" t="str">
        <x:v>G-971883541f4644</x:v>
      </x:c>
      <x:c r="AA178" s="6" t="str">
        <x:v>eval</x:v>
      </x:c>
      <x:c r="AB178" s="6" t="str">
        <x:v>synthetic_from_manual</x:v>
      </x:c>
    </x:row>
    <x:row r="179" ht="115" customHeight="1">
      <x:c r="A179" s="6" t="str">
        <x:v>H0273</x:v>
      </x:c>
      <x:c r="B179" s="6" t="str">
        <x:v>synthetic_from_manual:MANUAL-2740</x:v>
      </x:c>
      <x:c r="C179" s="6" t="str">
        <x:v>{"history":[{"role":"user","text":"В рабочей базе не получается использовать «Анилокс / Сетка»."},{"role":"assistant","text":"Что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«Анилокс / Сетка» текста ошибки не сохранилось, а к журналу у меня нет доступа. Как быть?"}</x:v>
      </x:c>
      <x:c r="D179" s="6" t="str">
        <x:v>{"product":"1С:УНФ 8. Полиграфия 2","version":"3.0.14.140","retrieval_state":"available","handoff_consent":false,"approval_basis":"user_confirmed_consultant_approval"}</x:v>
      </x:c>
      <x:c r="E179" s="6" t="str">
        <x:v>1С:УНФ 8. Полиграфия 2</x:v>
      </x:c>
      <x:c r="F179" s="6" t="str">
        <x:v>3.0.14.140</x:v>
      </x:c>
      <x:c r="G179" s="6" t="str">
        <x:v>not_reported</x:v>
      </x:c>
      <x:c r="H179" s="6" t="str">
        <x:v>default</x:v>
      </x:c>
      <x:c r="I179" s="6" t="str">
        <x:v>Применимость источников и эталона к 1С:УНФ 8. Полиграфия 2, релиз 3.0.14.140, подтверждена консультантом со слов пользователя.</x:v>
      </x:c>
      <x:c r="J179" s="13" t="str">
        <x:v>5</x:v>
      </x:c>
      <x:c r="K179" s="13" t="str">
        <x:v>5</x:v>
      </x:c>
      <x:c r="L179" s="7" t="b">
        <x:v>0</x:v>
      </x:c>
      <x:c r="M179" s="6" t="str">
        <x:v>limit_reached</x:v>
      </x:c>
      <x:c r="N179" s="6" t="str">
        <x:v>[]</x:v>
      </x:c>
      <x:c r="O179" s="7" t="b">
        <x:v>0</x:v>
      </x:c>
      <x:c r="P179" s="6" t="str">
        <x:v>K6</x:v>
      </x:c>
      <x:c r="Q179" s="6" t="str">
        <x:v>Пять разных уточняющих ходов уже были; без доступа к базе/ошибке подтвержденного решения нет, шестое уточнение запрещено.</x:v>
      </x:c>
      <x:c r="R179" s="6" t="str">
        <x:v>["chapter_8"]</x:v>
      </x:c>
      <x:c r="S179" s="6" t="str">
        <x:v>offer_handoff</x:v>
      </x:c>
      <x:c r="T179" s="6" t="str">
        <x:v>["Сообщить об отсутствии подтвержденного решения.","Предложить передачу консультанту."]</x:v>
      </x:c>
      <x:c r="U179" s="6" t="str">
        <x:v>["Еще один диагностический вопрос.","Выдуманная причина или правка рабочей базы.","Сообщение о созданной заявке без подтверждения."]</x:v>
      </x:c>
      <x:c r="V179" s="6" t="str">
        <x:v>[{"source_file":"/Users/elisavetagaponova/Downloads/1С УНФ 8  Полиграфия 2 для 3.0.doc","section":"8.1.1","extracted_text_line":2740,"excerpt":"В справочнике \"Анилокс/Сетка\" хранятся сведения о характеристиках растрового вала, который используется во флексопечати для переноса и дозирования краски на печатную форму.","approval_basis":"user_confirmed_consultant_approval"},{"corpus_check":"Руководство не содержит состояния клиентской базы, кода расширения или журнала ошибки.","approval_basis":"user_confirmed_consultant_approval"}]</x:v>
      </x:c>
      <x:c r="W179" s="6" t="str">
        <x:v>["Предложена передача; нет дальнейшей диагностики и необоснованного решения."]</x:v>
      </x:c>
      <x:c r="X179" s="6" t="str">
        <x:v>approved</x:v>
      </x:c>
      <x:c r="Y179" s="6" t="str">
        <x:v>Карточка и применимость источников согласованы консультантом; утверждение подтверждено пользователем 25.10.2026.</x:v>
      </x:c>
      <x:c r="Z179" s="6" t="str">
        <x:v>G-e3880af5a02518</x:v>
      </x:c>
      <x:c r="AA179" s="6" t="str">
        <x:v>eval</x:v>
      </x:c>
      <x:c r="AB179" s="6" t="str">
        <x:v>synthetic_from_manual</x:v>
      </x:c>
    </x:row>
    <x:row r="180" ht="115" customHeight="1">
      <x:c r="A180" s="6" t="str">
        <x:v>H0274</x:v>
      </x:c>
      <x:c r="B180" s="6" t="str">
        <x:v>synthetic_from_manual:MANUAL-2088</x:v>
      </x:c>
      <x:c r="C180" s="6" t="str">
        <x:v>{"history":[],"user_message":"Нужно изменить «Резервирование времени под заказ», но я не знаю, с какого поля начать."}</x:v>
      </x:c>
      <x:c r="D180" s="6" t="str">
        <x:v>{"product":"1С:УНФ 8. Полиграфия 2","version":"3.0.14.140","retrieval_state":"available","handoff_consent":false,"approval_basis":"user_confirmed_consultant_approval"}</x:v>
      </x:c>
      <x:c r="E180" s="6" t="str">
        <x:v>1С:УНФ 8. Полиграфия 2</x:v>
      </x:c>
      <x:c r="F180" s="6" t="str">
        <x:v>3.0.14.140</x:v>
      </x:c>
      <x:c r="G180" s="6" t="str">
        <x:v>not_reported</x:v>
      </x:c>
      <x:c r="H180" s="6" t="str">
        <x:v>default</x:v>
      </x:c>
      <x:c r="I180" s="6" t="str">
        <x:v>Применимость источников и эталона к 1С:УНФ 8. Полиграфия 2, релиз 3.0.14.140, подтверждена консультантом со слов пользователя.</x:v>
      </x:c>
      <x:c r="J180" s="13" t="str">
        <x:v>0</x:v>
      </x:c>
      <x:c r="K180" s="13" t="str">
        <x:v>5</x:v>
      </x:c>
      <x:c r="L180" s="7" t="b">
        <x:v>1</x:v>
      </x:c>
      <x:c r="M180" s="6" t="str">
        <x:v>not_applicable</x:v>
      </x:c>
      <x:c r="N18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80" s="7" t="b">
        <x:v>0</x:v>
      </x:c>
      <x:c r="P180" s="6" t="str">
        <x:v>K3</x:v>
      </x:c>
      <x:c r="Q180" s="6" t="str">
        <x:v>Цель/параметр и результат действия неизвестны; еще один конкретный вопрос может снять неоднозначность, лимит не исчерпан.</x:v>
      </x:c>
      <x:c r="R180" s="6" t="str">
        <x:v>["chapter_4"]</x:v>
      </x:c>
      <x:c r="S180" s="6" t="str">
        <x:v>clarify</x:v>
      </x:c>
      <x:c r="T180" s="6" t="str">
        <x:v>["Какую задачу вы решаете с «Резервирование времени под заказ» и что уже пробовали сделать?"]</x:v>
      </x:c>
      <x:c r="U180" s="6" t="str">
        <x:v>["Угадывание причины или инструкции.","Вопрос о продукте и релизе только из-за отсутствия их в сообщении."]</x:v>
      </x:c>
      <x:c r="V180" s="6" t="str">
        <x:v>[{"source_file":"/Users/elisavetagaponova/Downloads/1С УНФ 8  Полиграфия 2 для 3.0.doc","section":"4.13","extracted_text_line":2088,"excerpt":"Для фиксации времени под выполнение заказа, который еще не введен в базу и/или не отправлен в план, служит документ \"Резервирование времени под заказ\".","approval_basis":"user_confirmed_consultant_approval"}]</x:v>
      </x:c>
      <x:c r="W180" s="6" t="str">
        <x:v>["Задан полезный вопрос о недостающем действии/параметре; нет диагноза.","Не превышен лимит пяти уточнений."]</x:v>
      </x:c>
      <x:c r="X180" s="6" t="str">
        <x:v>approved</x:v>
      </x:c>
      <x:c r="Y180" s="6" t="str">
        <x:v>Карточка и применимость источников согласованы консультантом; утверждение подтверждено пользователем 25.10.2026.</x:v>
      </x:c>
      <x:c r="Z180" s="6" t="str">
        <x:v>G-84e585bf408b1a</x:v>
      </x:c>
      <x:c r="AA180" s="6" t="str">
        <x:v>eval</x:v>
      </x:c>
      <x:c r="AB180" s="6" t="str">
        <x:v>synthetic_from_manual</x:v>
      </x:c>
    </x:row>
    <x:row r="181" ht="115" customHeight="1">
      <x:c r="A181" s="6" t="str">
        <x:v>H0285</x:v>
      </x:c>
      <x:c r="B181" s="6" t="str">
        <x:v>synthetic_from_manual:MANUAL-3319</x:v>
      </x:c>
      <x:c r="C181" s="6" t="str">
        <x:v>{"history":[{"role":"user","text":"Не получается закончить работу с «Расчет рекламных конструкций»."},{"role":"assistant","text":"Что происходит при попытке?"}],"user_message":"В типовой базе «Расчет рекламных конструкций» работает, а у нас после доработки больше нет. Кто может проверить конфигурацию?"}</x:v>
      </x:c>
      <x:c r="D181" s="6" t="str">
        <x:v>{"product":"1С:УНФ 8. Полиграфия 2","version":"3.0.14.140","retrieval_state":"available","handoff_consent":false,"approval_basis":"user_confirmed_consultant_approval"}</x:v>
      </x:c>
      <x:c r="E181" s="6" t="str">
        <x:v>1С:УНФ 8. Полиграфия 2</x:v>
      </x:c>
      <x:c r="F181" s="6" t="str">
        <x:v>3.0.14.140</x:v>
      </x:c>
      <x:c r="G181" s="6" t="str">
        <x:v>not_reported</x:v>
      </x:c>
      <x:c r="H181" s="6" t="str">
        <x:v>default</x:v>
      </x:c>
      <x:c r="I181" s="6" t="str">
        <x:v>Применимость источников и эталона к 1С:УНФ 8. Полиграфия 2, релиз 3.0.14.140, подтверждена консультантом со слов пользователя.</x:v>
      </x:c>
      <x:c r="J181" s="13" t="str">
        <x:v>1</x:v>
      </x:c>
      <x:c r="K181" s="13" t="str">
        <x:v>5</x:v>
      </x:c>
      <x:c r="L181" s="7" t="b">
        <x:v>0</x:v>
      </x:c>
      <x:c r="M181" s="6" t="str">
        <x:v>diagnosis_required</x:v>
      </x:c>
      <x:c r="N181" s="6" t="str">
        <x:v>[]</x:v>
      </x:c>
      <x:c r="O181" s="7" t="b">
        <x:v>0</x:v>
      </x:c>
      <x:c r="P181" s="6" t="str">
        <x:v>K6</x:v>
      </x:c>
      <x:c r="Q18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81" s="6" t="str">
        <x:v>["chapter_10"]</x:v>
      </x:c>
      <x:c r="S181" s="6" t="str">
        <x:v>offer_handoff</x:v>
      </x:c>
      <x:c r="T181" s="6" t="str">
        <x:v>["Сообщить об отсутствии подтвержденного решения.","Предложить передачу консультанту."]</x:v>
      </x:c>
      <x:c r="U181" s="6" t="str">
        <x:v>["Еще один диагностический вопрос.","Выдуманная причина или правка рабочей базы.","Сообщение о созданной заявке без подтверждения."]</x:v>
      </x:c>
      <x:c r="V181" s="6" t="str">
        <x:v>[{"source_file":"/Users/elisavetagaponova/Downloads/1С УНФ 8  Полиграфия 2 для 3.0.doc","section":"Глава 10","extracted_text_line":3319,"excerpt":"Расчет стоимости и технологических параметров рекламных конструкций осуществляется в документе «Расчет рекламных конструкций».","approval_basis":"user_confirmed_consultant_approval"},{"corpus_check":"Руководство не содержит состояния клиентской базы, кода расширения или журнала ошибки.","approval_basis":"user_confirmed_consultant_approval"}]</x:v>
      </x:c>
      <x:c r="W181" s="6" t="str">
        <x:v>["Предложена передача; нет дальнейшей диагностики и необоснованного решения."]</x:v>
      </x:c>
      <x:c r="X181" s="6" t="str">
        <x:v>approved</x:v>
      </x:c>
      <x:c r="Y181" s="6" t="str">
        <x:v>Карточка и применимость источников согласованы консультантом; утверждение подтверждено пользователем 25.10.2026.</x:v>
      </x:c>
      <x:c r="Z181" s="6" t="str">
        <x:v>G-f19174179bfbe4</x:v>
      </x:c>
      <x:c r="AA181" s="6" t="str">
        <x:v>eval</x:v>
      </x:c>
      <x:c r="AB181" s="6" t="str">
        <x:v>synthetic_from_manual</x:v>
      </x:c>
    </x:row>
    <x:row r="182" ht="115" customHeight="1">
      <x:c r="A182" s="6" t="str">
        <x:v>H0290</x:v>
      </x:c>
      <x:c r="B182" s="6" t="str">
        <x:v>synthetic_from_manual:MANUAL-2268</x:v>
      </x:c>
      <x:c r="C182" s="6" t="str">
        <x:v>{"history":[],"user_message":"Нужно изменить «План-фактный анализ выполнения полиграфических заказов», но я не знаю, с какого поля начать."}</x:v>
      </x:c>
      <x:c r="D182" s="6" t="str">
        <x:v>{"product":"1С:УНФ 8. Полиграфия 2","version":"3.0.14.140","retrieval_state":"available","handoff_consent":false,"approval_basis":"user_confirmed_consultant_approval"}</x:v>
      </x:c>
      <x:c r="E182" s="6" t="str">
        <x:v>1С:УНФ 8. Полиграфия 2</x:v>
      </x:c>
      <x:c r="F182" s="6" t="str">
        <x:v>3.0.14.140</x:v>
      </x:c>
      <x:c r="G182" s="6" t="str">
        <x:v>not_reported</x:v>
      </x:c>
      <x:c r="H182" s="6" t="str">
        <x:v>default</x:v>
      </x:c>
      <x:c r="I182" s="6" t="str">
        <x:v>Применимость источников и эталона к 1С:УНФ 8. Полиграфия 2, релиз 3.0.14.140, подтверждена консультантом со слов пользователя.</x:v>
      </x:c>
      <x:c r="J182" s="13" t="str">
        <x:v>0</x:v>
      </x:c>
      <x:c r="K182" s="13" t="str">
        <x:v>5</x:v>
      </x:c>
      <x:c r="L182" s="7" t="b">
        <x:v>1</x:v>
      </x:c>
      <x:c r="M182" s="6" t="str">
        <x:v>not_applicable</x:v>
      </x:c>
      <x:c r="N182"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82" s="7" t="b">
        <x:v>0</x:v>
      </x:c>
      <x:c r="P182" s="6" t="str">
        <x:v>K3</x:v>
      </x:c>
      <x:c r="Q182" s="6" t="str">
        <x:v>Цель/параметр и результат действия неизвестны; еще один конкретный вопрос может снять неоднозначность, лимит не исчерпан.</x:v>
      </x:c>
      <x:c r="R182" s="6" t="str">
        <x:v>["chapter_5"]</x:v>
      </x:c>
      <x:c r="S182" s="6" t="str">
        <x:v>clarify</x:v>
      </x:c>
      <x:c r="T182" s="6" t="str">
        <x:v>["Какую задачу вы решаете с «План-фактный анализ выполнения полиграфических заказов» и что уже пробовали сделать?"]</x:v>
      </x:c>
      <x:c r="U182" s="6" t="str">
        <x:v>["Угадывание причины или инструкции.","Вопрос о продукте и релизе только из-за отсутствия их в сообщении."]</x:v>
      </x:c>
      <x:c r="V182" s="6" t="str">
        <x:v>[{"source_file":"/Users/elisavetagaponova/Downloads/1С УНФ 8  Полиграфия 2 для 3.0.doc","section":"5.32","extracted_text_line":2268,"excerpt":"В отчете отображается плановое (определяется из документов планирования) и фактическое (определяется из отражения факта выполнения заказов) время и длительность выполнения заказа, а также отклонение. Данный отчет позволяет контролировать полиграфическое производство, отслеживать задержки производства.","approval_basis":"user_confirmed_consultant_approval"}]</x:v>
      </x:c>
      <x:c r="W182" s="6" t="str">
        <x:v>["Задан полезный вопрос о недостающем действии/параметре; нет диагноза.","Не превышен лимит пяти уточнений."]</x:v>
      </x:c>
      <x:c r="X182" s="6" t="str">
        <x:v>approved</x:v>
      </x:c>
      <x:c r="Y182" s="6" t="str">
        <x:v>Карточка и применимость источников согласованы консультантом; утверждение подтверждено пользователем 25.10.2026.</x:v>
      </x:c>
      <x:c r="Z182" s="6" t="str">
        <x:v>G-f3df2d9b7adea7</x:v>
      </x:c>
      <x:c r="AA182" s="6" t="str">
        <x:v>eval</x:v>
      </x:c>
      <x:c r="AB182" s="6" t="str">
        <x:v>synthetic_from_manual</x:v>
      </x:c>
    </x:row>
    <x:row r="183" ht="115" customHeight="1">
      <x:c r="A183" s="6" t="str">
        <x:v>H0293</x:v>
      </x:c>
      <x:c r="B183" s="6" t="str">
        <x:v>synthetic_contract_boundary</x:v>
      </x:c>
      <x:c r="C183" s="6" t="str">
        <x:v>{"history":[],"user_message":"Какую кофемашину купить для дома?"}</x:v>
      </x:c>
      <x:c r="D183" s="6" t="str">
        <x:v>{"product":"1С:УНФ 8. Полиграфия 2","version":"3.0.14.140","retrieval_state":"available","handoff_consent":false,"approval_basis":"user_confirmed_consultant_approval"}</x:v>
      </x:c>
      <x:c r="E183" s="6" t="str">
        <x:v>1С:УНФ 8. Полиграфия 2</x:v>
      </x:c>
      <x:c r="F183" s="6" t="str">
        <x:v>3.0.14.140</x:v>
      </x:c>
      <x:c r="G183" s="6" t="str">
        <x:v>not_reported</x:v>
      </x:c>
      <x:c r="H183" s="6" t="str">
        <x:v>default</x:v>
      </x:c>
      <x:c r="I183" s="6" t="str">
        <x:v>Применимость источников и эталона к 1С:УНФ 8. Полиграфия 2, релиз 3.0.14.140, подтверждена консультантом со слов пользователя.</x:v>
      </x:c>
      <x:c r="J183" s="13" t="str">
        <x:v>0</x:v>
      </x:c>
      <x:c r="K183" s="13" t="str">
        <x:v>5</x:v>
      </x:c>
      <x:c r="L183" s="7" t="b">
        <x:v>0</x:v>
      </x:c>
      <x:c r="M183" s="6" t="str">
        <x:v>not_applicable</x:v>
      </x:c>
      <x:c r="N183" s="6" t="str">
        <x:v>[]</x:v>
      </x:c>
      <x:c r="O183" s="6" t="str">
        <x:v>not_applicable</x:v>
      </x:c>
      <x:c r="P183" s="6" t="str">
        <x:v>K1</x:v>
      </x:c>
      <x:c r="Q183" s="6" t="str">
        <x:v>Запрошенная задача явно не относится к работе 1С:Полиграфии и разрешенной документации.</x:v>
      </x:c>
      <x:c r="R183" s="6" t="str">
        <x:v>["out_of_domain"]</x:v>
      </x:c>
      <x:c r="S183" s="6" t="str">
        <x:v>refuse</x:v>
      </x:c>
      <x:c r="T183" s="6" t="str">
        <x:v>["Вежливый отказ и краткое обозначение предметной области бота."]</x:v>
      </x:c>
      <x:c r="U183" s="6" t="str">
        <x:v>["Выполнение посторонней задачи.","Выдуманная ссылка на руководство."]</x:v>
      </x:c>
      <x:c r="V183" s="6" t="str">
        <x:v>[{"source_file":"/Users/elisavetagaponova/Downloads/annotation_guide_classes_v1.md","section":"§5 K1","approval_basis":"user_confirmed_consultant_approval"},{"source_file":"design_doc_kt2.md","section":"§1.3, C05","approval_basis":"user_confirmed_consultant_approval"}]</x:v>
      </x:c>
      <x:c r="W183" s="6" t="str">
        <x:v>["Посторонняя задача не выполняется; отказ вежлив и по-русски."]</x:v>
      </x:c>
      <x:c r="X183" s="6" t="str">
        <x:v>approved</x:v>
      </x:c>
      <x:c r="Y183" s="6" t="str">
        <x:v>Карточка и применимость источников согласованы консультантом; утверждение подтверждено пользователем 25.10.2026.</x:v>
      </x:c>
      <x:c r="Z183" s="6" t="str">
        <x:v>G-fbf5f1124e8a0f</x:v>
      </x:c>
      <x:c r="AA183" s="6" t="str">
        <x:v>eval</x:v>
      </x:c>
      <x:c r="AB183" s="6" t="str">
        <x:v>synthetic_contract_boundary</x:v>
      </x:c>
    </x:row>
    <x:row r="184" ht="115" customHeight="1">
      <x:c r="A184" s="6" t="str">
        <x:v>H0295</x:v>
      </x:c>
      <x:c r="B184" s="6" t="str">
        <x:v>synthetic_from_manual:MANUAL-2479</x:v>
      </x:c>
      <x:c r="C184" s="6" t="str">
        <x:v>{"history":[{"role":"user","text":"Не получается закончить работу с «Скорость печати»."},{"role":"assistant","text":"Что происходит при попытке?"}],"user_message":"Ошибка с «Скорость печати» появилась после переноса данных из старой базы и повторяется только у нас. Нужно посмотреть сами данные."}</x:v>
      </x:c>
      <x:c r="D184" s="6" t="str">
        <x:v>{"product":"1С:УНФ 8. Полиграфия 2","version":"3.0.14.140","retrieval_state":"available","handoff_consent":false,"approval_basis":"user_confirmed_consultant_approval"}</x:v>
      </x:c>
      <x:c r="E184" s="6" t="str">
        <x:v>1С:УНФ 8. Полиграфия 2</x:v>
      </x:c>
      <x:c r="F184" s="6" t="str">
        <x:v>3.0.14.140</x:v>
      </x:c>
      <x:c r="G184" s="6" t="str">
        <x:v>not_reported</x:v>
      </x:c>
      <x:c r="H184" s="6" t="str">
        <x:v>default</x:v>
      </x:c>
      <x:c r="I184" s="6" t="str">
        <x:v>Применимость источников и эталона к 1С:УНФ 8. Полиграфия 2, релиз 3.0.14.140, подтверждена консультантом со слов пользователя.</x:v>
      </x:c>
      <x:c r="J184" s="13" t="str">
        <x:v>1</x:v>
      </x:c>
      <x:c r="K184" s="13" t="str">
        <x:v>5</x:v>
      </x:c>
      <x:c r="L184" s="7" t="b">
        <x:v>0</x:v>
      </x:c>
      <x:c r="M184" s="6" t="str">
        <x:v>diagnosis_required</x:v>
      </x:c>
      <x:c r="N184" s="6" t="str">
        <x:v>[]</x:v>
      </x:c>
      <x:c r="O184" s="7" t="b">
        <x:v>0</x:v>
      </x:c>
      <x:c r="P184" s="6" t="str">
        <x:v>K6</x:v>
      </x:c>
      <x:c r="Q18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84" s="6" t="str">
        <x:v>["chapter_6"]</x:v>
      </x:c>
      <x:c r="S184" s="6" t="str">
        <x:v>offer_handoff</x:v>
      </x:c>
      <x:c r="T184" s="6" t="str">
        <x:v>["Сообщить об отсутствии подтвержденного решения.","Предложить передачу консультанту."]</x:v>
      </x:c>
      <x:c r="U184" s="6" t="str">
        <x:v>["Еще один диагностический вопрос.","Выдуманная причина или правка рабочей базы.","Сообщение о созданной заявке без подтверждения."]</x:v>
      </x:c>
      <x:c r="V184" s="6" t="str">
        <x:v>[{"source_file":"/Users/elisavetagaponova/Downloads/1С УНФ 8  Полиграфия 2 для 3.0.doc","section":"Глава 6","extracted_text_line":2479,"excerpt":"• Задать скорость печати станка в документе \"Нормирование скорости печати\"","approval_basis":"user_confirmed_consultant_approval"},{"corpus_check":"Руководство не содержит состояния клиентской базы, кода расширения или журнала ошибки.","approval_basis":"user_confirmed_consultant_approval"}]</x:v>
      </x:c>
      <x:c r="W184" s="6" t="str">
        <x:v>["Предложена передача; нет дальнейшей диагностики и необоснованного решения."]</x:v>
      </x:c>
      <x:c r="X184" s="6" t="str">
        <x:v>approved</x:v>
      </x:c>
      <x:c r="Y184" s="6" t="str">
        <x:v>Карточка и применимость источников согласованы консультантом; утверждение подтверждено пользователем 25.10.2026.</x:v>
      </x:c>
      <x:c r="Z184" s="6" t="str">
        <x:v>G-5e4ccb94f35f79</x:v>
      </x:c>
      <x:c r="AA184" s="6" t="str">
        <x:v>eval</x:v>
      </x:c>
      <x:c r="AB184" s="6" t="str">
        <x:v>synthetic_from_manual</x:v>
      </x:c>
    </x:row>
    <x:row r="185" ht="115" customHeight="1">
      <x:c r="A185" s="6" t="str">
        <x:v>H0297</x:v>
      </x:c>
      <x:c r="B185" s="6" t="str">
        <x:v>synthetic_from_manual:MANUAL-0993</x:v>
      </x:c>
      <x:c r="C185" s="6" t="str">
        <x:v>{"history":[{"role":"user","text":"Не получается закончить работу с «Меры воздействия со стороны руководства»."},{"role":"assistant","text":"Что происходит при попытке?"}],"user_message":"В типовой базе «Меры воздействия со стороны руководства» работает, а у нас после доработки больше нет. Кто может проверить конфигурацию?"}</x:v>
      </x:c>
      <x:c r="D185" s="6" t="str">
        <x:v>{"product":"1С:УНФ 8. Полиграфия 2","version":"3.0.14.140","retrieval_state":"available","handoff_consent":false,"approval_basis":"user_confirmed_consultant_approval"}</x:v>
      </x:c>
      <x:c r="E185" s="6" t="str">
        <x:v>1С:УНФ 8. Полиграфия 2</x:v>
      </x:c>
      <x:c r="F185" s="6" t="str">
        <x:v>3.0.14.140</x:v>
      </x:c>
      <x:c r="G185" s="6" t="str">
        <x:v>not_reported</x:v>
      </x:c>
      <x:c r="H185" s="6" t="str">
        <x:v>default</x:v>
      </x:c>
      <x:c r="I185" s="6" t="str">
        <x:v>Применимость источников и эталона к 1С:УНФ 8. Полиграфия 2, релиз 3.0.14.140, подтверждена консультантом со слов пользователя.</x:v>
      </x:c>
      <x:c r="J185" s="13" t="str">
        <x:v>1</x:v>
      </x:c>
      <x:c r="K185" s="13" t="str">
        <x:v>5</x:v>
      </x:c>
      <x:c r="L185" s="7" t="b">
        <x:v>0</x:v>
      </x:c>
      <x:c r="M185" s="6" t="str">
        <x:v>diagnosis_required</x:v>
      </x:c>
      <x:c r="N185" s="6" t="str">
        <x:v>[]</x:v>
      </x:c>
      <x:c r="O185" s="7" t="b">
        <x:v>0</x:v>
      </x:c>
      <x:c r="P185" s="6" t="str">
        <x:v>K6</x:v>
      </x:c>
      <x:c r="Q185"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85" s="6" t="str">
        <x:v>["chapter_1"]</x:v>
      </x:c>
      <x:c r="S185" s="6" t="str">
        <x:v>offer_handoff</x:v>
      </x:c>
      <x:c r="T185" s="6" t="str">
        <x:v>["Сообщить об отсутствии подтвержденного решения.","Предложить передачу консультанту."]</x:v>
      </x:c>
      <x:c r="U185" s="6" t="str">
        <x:v>["Еще один диагностический вопрос.","Выдуманная причина или правка рабочей базы.","Сообщение о созданной заявке без подтверждения."]</x:v>
      </x:c>
      <x:c r="V185" s="6" t="str">
        <x:v>[{"source_file":"/Users/elisavetagaponova/Downloads/1С УНФ 8  Полиграфия 2 для 3.0.doc","section":"1.27","extracted_text_line":993,"excerpt":"Справочник предназначен для хранения информации о распространенных мерах воздействия со стороны руководства, после выявления несоответствий на производстве. Используется в документе \"Акт о выявлении несоответствия на производстве\".","approval_basis":"user_confirmed_consultant_approval"},{"corpus_check":"Руководство не содержит состояния клиентской базы, кода расширения или журнала ошибки.","approval_basis":"user_confirmed_consultant_approval"}]</x:v>
      </x:c>
      <x:c r="W185" s="6" t="str">
        <x:v>["Предложена передача; нет дальнейшей диагностики и необоснованного решения."]</x:v>
      </x:c>
      <x:c r="X185" s="6" t="str">
        <x:v>approved</x:v>
      </x:c>
      <x:c r="Y185" s="6" t="str">
        <x:v>Карточка и применимость источников согласованы консультантом; утверждение подтверждено пользователем 25.10.2026.</x:v>
      </x:c>
      <x:c r="Z185" s="6" t="str">
        <x:v>G-6cb8706fc33ad0</x:v>
      </x:c>
      <x:c r="AA185" s="6" t="str">
        <x:v>eval</x:v>
      </x:c>
      <x:c r="AB185" s="6" t="str">
        <x:v>synthetic_from_manual</x:v>
      </x:c>
    </x:row>
    <x:row r="186" ht="115" customHeight="1">
      <x:c r="A186" s="6" t="str">
        <x:v>H0300</x:v>
      </x:c>
      <x:c r="B186" s="6" t="str">
        <x:v>synthetic_contract_boundary</x:v>
      </x:c>
      <x:c r="C186" s="6" t="str">
        <x:v>{"history":[],"user_message":"Напиши парсер постов из соцсети."}</x:v>
      </x:c>
      <x:c r="D186" s="6" t="str">
        <x:v>{"product":"1С:УНФ 8. Полиграфия 2","version":"3.0.14.140","retrieval_state":"available","handoff_consent":false,"approval_basis":"user_confirmed_consultant_approval"}</x:v>
      </x:c>
      <x:c r="E186" s="6" t="str">
        <x:v>1С:УНФ 8. Полиграфия 2</x:v>
      </x:c>
      <x:c r="F186" s="6" t="str">
        <x:v>3.0.14.140</x:v>
      </x:c>
      <x:c r="G186" s="6" t="str">
        <x:v>not_reported</x:v>
      </x:c>
      <x:c r="H186" s="6" t="str">
        <x:v>default</x:v>
      </x:c>
      <x:c r="I186" s="6" t="str">
        <x:v>Применимость источников и эталона к 1С:УНФ 8. Полиграфия 2, релиз 3.0.14.140, подтверждена консультантом со слов пользователя.</x:v>
      </x:c>
      <x:c r="J186" s="13" t="str">
        <x:v>0</x:v>
      </x:c>
      <x:c r="K186" s="13" t="str">
        <x:v>5</x:v>
      </x:c>
      <x:c r="L186" s="7" t="b">
        <x:v>0</x:v>
      </x:c>
      <x:c r="M186" s="6" t="str">
        <x:v>not_applicable</x:v>
      </x:c>
      <x:c r="N186" s="6" t="str">
        <x:v>[]</x:v>
      </x:c>
      <x:c r="O186" s="6" t="str">
        <x:v>not_applicable</x:v>
      </x:c>
      <x:c r="P186" s="6" t="str">
        <x:v>K1</x:v>
      </x:c>
      <x:c r="Q186" s="6" t="str">
        <x:v>Запрошенная задача явно не относится к работе 1С:Полиграфии и разрешенной документации.</x:v>
      </x:c>
      <x:c r="R186" s="6" t="str">
        <x:v>["out_of_domain"]</x:v>
      </x:c>
      <x:c r="S186" s="6" t="str">
        <x:v>refuse</x:v>
      </x:c>
      <x:c r="T186" s="6" t="str">
        <x:v>["Вежливый отказ и краткое обозначение предметной области бота."]</x:v>
      </x:c>
      <x:c r="U186" s="6" t="str">
        <x:v>["Выполнение посторонней задачи.","Выдуманная ссылка на руководство."]</x:v>
      </x:c>
      <x:c r="V186" s="6" t="str">
        <x:v>[{"source_file":"/Users/elisavetagaponova/Downloads/annotation_guide_classes_v1.md","section":"§5 K1","approval_basis":"user_confirmed_consultant_approval"},{"source_file":"design_doc_kt2.md","section":"§1.3, C05","approval_basis":"user_confirmed_consultant_approval"}]</x:v>
      </x:c>
      <x:c r="W186" s="6" t="str">
        <x:v>["Посторонняя задача не выполняется; отказ вежлив и по-русски."]</x:v>
      </x:c>
      <x:c r="X186" s="6" t="str">
        <x:v>approved</x:v>
      </x:c>
      <x:c r="Y186" s="6" t="str">
        <x:v>Карточка и применимость источников согласованы консультантом; утверждение подтверждено пользователем 25.10.2026.</x:v>
      </x:c>
      <x:c r="Z186" s="6" t="str">
        <x:v>G-a381ad3c58f16b</x:v>
      </x:c>
      <x:c r="AA186" s="6" t="str">
        <x:v>eval</x:v>
      </x:c>
      <x:c r="AB186" s="6" t="str">
        <x:v>synthetic_contract_boundary</x:v>
      </x:c>
    </x:row>
    <x:row r="187" ht="115" customHeight="1">
      <x:c r="A187" s="6" t="str">
        <x:v>FAQ-poly2-261</x:v>
      </x:c>
      <x:c r="B187" s="6" t="str">
        <x:v>official_faq_entry:poly2-261</x:v>
      </x:c>
      <x:c r="C187" s="6" t="str">
        <x:v>{"history":[],"user_message":"Как учесть замену материала? Использование другого материала после расчета заказа."}</x:v>
      </x:c>
      <x:c r="D187" s="6" t="str">
        <x:v>{"product":"1С:УНФ 8. Полиграфия 2","version":"3.0.14.140","retrieval_state":"available","handoff_consent":false,"source_faq_id":"poly2-261","group_id":"faq_poly2-261","source_applicability":"confirmed_by_consultant","approval_basis":"user_confirmed_consultant_approval"}</x:v>
      </x:c>
      <x:c r="E187" s="6" t="str">
        <x:v>1С:УНФ 8. Полиграфия 2</x:v>
      </x:c>
      <x:c r="F187" s="6" t="str">
        <x:v>3.0.14.140</x:v>
      </x:c>
      <x:c r="G187" s="6" t="str">
        <x:v>not_reported</x:v>
      </x:c>
      <x:c r="H187" s="6" t="str">
        <x:v>default</x:v>
      </x:c>
      <x:c r="I187" s="6" t="str">
        <x:v>Применимость источников и эталона к 1С:УНФ 8. Полиграфия 2, релиз 3.0.14.140, подтверждена консультантом со слов пользователя.</x:v>
      </x:c>
      <x:c r="J187" s="13" t="str">
        <x:v>0</x:v>
      </x:c>
      <x:c r="K187" s="13" t="str">
        <x:v>5</x:v>
      </x:c>
      <x:c r="L187" s="7" t="b">
        <x:v>0</x:v>
      </x:c>
      <x:c r="M187" s="6" t="str">
        <x:v>not_applicable</x:v>
      </x:c>
      <x:c r="N187" s="6" t="str">
        <x:v>[]</x:v>
      </x:c>
      <x:c r="O187" s="7" t="b">
        <x:v>1</x:v>
      </x:c>
      <x:c r="P187" s="6" t="str">
        <x:v>K2</x:v>
      </x:c>
      <x:c r="Q187" s="6" t="str">
        <x:v>K2: история пуста, вопрос соответствует статье FAQ poly2-261; в утверждённом источнике есть достаточный применимый ответ для 3.0.14.140. Бот отвечает сразу с источником.</x:v>
      </x:c>
      <x:c r="R187" s="6" t="str">
        <x:v>["faq","poly2","documented_answer"]</x:v>
      </x:c>
      <x:c r="S187" s="6" t="str">
        <x:v>answer</x:v>
      </x:c>
      <x:c r="T187" s="6" t="str">
        <x:v>["Замена материала задаётся на вкладке «Материалы» в колонках «Замена номенклатура» и «Замена характеристика».","После замены в журнале оператора для переноса фактического материала в «Производство» используется перезаполнение табличной части по факту.","Указать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87"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87" s="6" t="str">
        <x:v>[{"source_file":"/Users/maria/chatbot_rag/knowledge base/faq_articles.jsonl","source_jsonl_line":1,"faq_id":"poly2-261","url":"https://1cpoly.ru/questions/?action=show&amp;id=261","source_locator":".faq-answer","title":"Как учесть замену материала? Использование другого материала после расчета заказа.","source_answer":"На закладке «Материалы» отображается список материалов, необходимых для производства заказанной полиграфической продукции.\nУ пользователя есть возможность откорректировать автоматически заполненный список материалов (добавить или удалить материал). Чтобы вернуться к рассчитанным значениям материала, можно воспользоваться кнопкой?Расчет всего заказа. В случае необходимости пользователь может произвести замену номенклатуры и характеристики номенклатуры в колонках?Замена номенклатура?и?Замена характеристика?соответственно.\n\nПри повторном пересчете и проведении в Производство закладка Материалы попадет номенклатура, на которую заменили автоматически.\n\nВторой вариант.\n\nИз Журнала оператора Основной формы. Непосредственно в табличной части Номенклатуры операции\n\nИли формы Touch Screen.\n\nПричем, в в этой форме вы можете заменить также по штрихкоду, используя сканер штрихкода.\n\nВ этом случае в документ Производство попадают данные из Расчета заказа. Чтобы в документ попали данные по материалам на которые вы заменили, нужно перезаполнить табличную часть По факту.\n\nИ, наконец, можно в документе Производство непосредственно выбрать нужную номенклатуру и количество.","content_sha256":"7cd1094b378f28a6343d239a7af9eea02fea63e17b87931f433fc9544678d393","saved_at":"2026-10-24T22:59:41.544702+03:00","image_refs":[{"url":"https://1cpoly.ru/files/images/zamena/image1.png","local_file":"/Users/maria/Documents/ChatGPT/chatbot/output/faq_1cpoly_prepared_2026-10-25/assets/ff9cda738a886e8d6262.png"},{"url":"https://1cpoly.ru/files/images/zamena/image2.png","local_file":"/Users/maria/Documents/ChatGPT/chatbot/output/faq_1cpoly_prepared_2026-10-25/assets/583dd4509009fd00d7a8.png"},{"url":"https://1cpoly.ru/files/images/zamena/image3.png","local_file":"/Users/maria/Documents/ChatGPT/chatbot/output/faq_1cpoly_prepared_2026-10-25/assets/16bbbb0ba430f925b6fe.png"},{"url":"https://1cpoly.ru/files/images/zamena/image4.png","local_file":"/Users/maria/Documents/ChatGPT/chatbot/output/faq_1cpoly_prepared_2026-10-25/assets/8a5484f1d86098fd9f71.png"},{"url":"https://1cpoly.ru/files/images/zamena/image5.png","local_file":"/Users/maria/Documents/ChatGPT/chatbot/output/faq_1cpoly_prepared_2026-10-25/assets/d0cb2e3a7b665c932921.png"},{"url":"https://1cpoly.ru/files/images/zamena/image6.png","local_file":"/Users/maria/Documents/ChatGPT/chatbot/output/faq_1cpoly_prepared_2026-10-25/assets/ea061e81fec9962ccf75.png"}],"applicability_check":"confirmed_by_consultant","required_facts":["Замена материала задаётся на вкладке «Материалы» в колонках «Замена номенклатура» и «Замена характеристика».","После замены в журнале оператора для переноса фактического материала в «Производство» используется перезаполнение табличной части по факту."],"approval_basis":"user_confirmed_consultant_approval"}]</x:v>
      </x:c>
      <x:c r="W187" s="6" t="str">
        <x:v>["В содержательном ответе отражены следующие подтверждённые пункты: Замена материала задаётся на вкладке «Материалы» в колонках «Замена номенклатура» и «Замена характеристика». После замены в журнале оператора для переноса фактического материала в «Производство» используется перезаполнение табличной части по факту.","Приведена релевантная ссылка на FAQ; смысл ответа согласуется с источником, нет неподтверждённых действий и лишнего уточнения."]</x:v>
      </x:c>
      <x:c r="X187" s="6" t="str">
        <x:v>approved</x:v>
      </x:c>
      <x:c r="Y187" s="6" t="str">
        <x:v>Карточка и применимость источников согласованы консультантом; утверждение подтверждено пользователем 25.10.2026.</x:v>
      </x:c>
      <x:c r="Z187" s="6" t="str">
        <x:v>G-8b782ad0c0eb75</x:v>
      </x:c>
      <x:c r="AA187" s="6" t="str">
        <x:v>eval</x:v>
      </x:c>
      <x:c r="AB187" s="6" t="str">
        <x:v>official_faq_entry</x:v>
      </x:c>
    </x:row>
    <x:row r="188" ht="115" customHeight="1">
      <x:c r="A188" s="6" t="str">
        <x:v>FAQ-poly2-204</x:v>
      </x:c>
      <x:c r="B188" s="6" t="str">
        <x:v>official_faq_entry:poly2-204</x:v>
      </x:c>
      <x:c r="C188" s="6" t="str">
        <x:v>{"history":[],"user_message":"Как правильно в программе отразить фактический расход материала, если единица измерения количества по факту отличается от единицы измерения плановых данных материала в заказе?"}</x:v>
      </x:c>
      <x:c r="D188" s="6" t="str">
        <x:v>{"product":"1С:УНФ 8. Полиграфия 2","version":"3.0.14.140","retrieval_state":"available","handoff_consent":false,"source_faq_id":"poly2-204","group_id":"faq_poly2-204","source_applicability":"confirmed_by_consultant","approval_basis":"user_confirmed_consultant_approval"}</x:v>
      </x:c>
      <x:c r="E188" s="6" t="str">
        <x:v>1С:УНФ 8. Полиграфия 2</x:v>
      </x:c>
      <x:c r="F188" s="6" t="str">
        <x:v>3.0.14.140</x:v>
      </x:c>
      <x:c r="G188" s="6" t="str">
        <x:v>not_reported</x:v>
      </x:c>
      <x:c r="H188" s="6" t="str">
        <x:v>default</x:v>
      </x:c>
      <x:c r="I188" s="6" t="str">
        <x:v>Применимость источников и эталона к 1С:УНФ 8. Полиграфия 2, релиз 3.0.14.140, подтверждена консультантом со слов пользователя.</x:v>
      </x:c>
      <x:c r="J188" s="13" t="str">
        <x:v>0</x:v>
      </x:c>
      <x:c r="K188" s="13" t="str">
        <x:v>5</x:v>
      </x:c>
      <x:c r="L188" s="7" t="b">
        <x:v>0</x:v>
      </x:c>
      <x:c r="M188" s="6" t="str">
        <x:v>not_applicable</x:v>
      </x:c>
      <x:c r="N188" s="6" t="str">
        <x:v>[]</x:v>
      </x:c>
      <x:c r="O188" s="7" t="b">
        <x:v>1</x:v>
      </x:c>
      <x:c r="P188" s="6" t="str">
        <x:v>K2</x:v>
      </x:c>
      <x:c r="Q188" s="6" t="str">
        <x:v>K2: история пуста, вопрос соответствует статье FAQ poly2-204; в утверждённом источнике есть достаточный применимый ответ для 3.0.14.140. Бот отвечает сразу с источником.</x:v>
      </x:c>
      <x:c r="R188" s="6" t="str">
        <x:v>["faq","poly2","documented_answer"]</x:v>
      </x:c>
      <x:c r="S188" s="6" t="str">
        <x:v>answer</x:v>
      </x:c>
      <x:c r="T188" s="6" t="str">
        <x:v>["В журнале оператора и отражении факта можно вводить расход в единицах, отличных от основной единицы материала.","Пересчёт в основную единицу выполняется с учётом плотности и формата; в производство передаётся пересчитанное количество.","Указать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88"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88" s="6" t="str">
        <x:v>[{"source_file":"/Users/maria/chatbot_rag/knowledge base/faq_articles.jsonl","source_jsonl_line":3,"faq_id":"poly2-204","url":"https://1cpoly.ru/questions/?action=show&amp;id=204","source_locator":".faq-answer","title":"Как правильно в программе отразить фактический расход материала, если единица измерения количества по факту отличается от единицы измерения плановых данных материала в заказе?","source_answer":"В обработках «Журнал оператора» и «Отражение факта (оперативное планирование)» при вводе количества фактического расхода материала существует возможность указывать количество по факту в единицах измерения, отличных от единицы измерения материала.\n\nРассмотрим пример: При выполнении заказа на операцию «печать» запланирован расход 1,676 материала «Мелованная бумага UPM FINESSE gloss 115, 940х620» в базовых единицах измерения материала (кг).\n\nПри выполнении операции печати в обработке «Журнал оператора», печатник указывает реальный расход материала «Мелованная бумага UPM FINESSE gloss 115, 940х620» при печати в листах (20 листов), а не в килограммах, как было запланировано в заказе.\n\nПрограмма автоматически пересчитает листы в основную единицу измерения материала (кг), с учетом плотности и формата из характеристики материала. Значение пересчитанного количества в единицах материала выводится для пользователя в качестве информации в реквизите «Количество по факту в базовых ед. изм.».\n\n20 листов формата 940х620 и плотностью бумаги 115 г/м2 равно 1,340 кг.\n\n20*0,940*0,62*0,115=1,340 кг.\n\nТаким образом при формировании документа «Производство» из обработок: «Журнал оператора» и «Отражение факта (оперативное планирование)», в табличную часть Материалы передастся количество материала, пересчитанное в основную единицу измерения материала.\n\nИ при план-фактом анализе расхода материала «Мелованная бумага UPM FINESSE gloss 115, 940х620» по заказу, количество по плану и по факту будет выведено в одинаковых основных единицах измерения материала (в нашем примере -это кг.)","content_sha256":"68cd2ba85b4678c80eac0c23c299f457e3dd098c1fd28f832f2146023d3609fb","saved_at":"2026-10-24T22:59:41.544702+03:00","image_refs":[{"url":"https://1cpoly.ru/i/newcont/faq-poly2-a1.png","local_file":"/Users/maria/Documents/ChatGPT/chatbot/output/faq_1cpoly_prepared_2026-10-25/assets/392a250ab4ae476a85d0.png"},{"url":"https://1cpoly.ru/i/newcont/faq-poly2-a2.png","local_file":"/Users/maria/Documents/ChatGPT/chatbot/output/faq_1cpoly_prepared_2026-10-25/assets/a30b717936c330394aac.png"},{"url":"https://1cpoly.ru/i/newcont/faq-poly2-a3.png","local_file":"/Users/maria/Documents/ChatGPT/chatbot/output/faq_1cpoly_prepared_2026-10-25/assets/61bc06e463cce446b4e3.png"},{"url":"https://1cpoly.ru/i/newcont/faq-poly2-a4.png","local_file":"/Users/maria/Documents/ChatGPT/chatbot/output/faq_1cpoly_prepared_2026-10-25/assets/7ca801790b2e4ea6c5ff.png"},{"url":"https://1cpoly.ru/i/newcont/faq-poly2-a5.png","local_file":"/Users/maria/Documents/ChatGPT/chatbot/output/faq_1cpoly_prepared_2026-10-25/assets/bb32914dd5d4703a5ecc.png"},{"url":"https://1cpoly.ru/i/newcont/faq-poly2-a6.png","local_file":"/Users/maria/Documents/ChatGPT/chatbot/output/faq_1cpoly_prepared_2026-10-25/assets/9e67b53977e574196a53.png"}],"applicability_check":"confirmed_by_consultant","required_facts":["В журнале оператора и отражении факта можно вводить расход в единицах, отличных от основной единицы материала.","Пересчёт в основную единицу выполняется с учётом плотности и формата; в производство передаётся пересчитанное количество."],"approval_basis":"user_confirmed_consultant_approval"}]</x:v>
      </x:c>
      <x:c r="W188" s="6" t="str">
        <x:v>["В содержательном ответе отражены следующие подтверждённые пункты: В журнале оператора и отражении факта можно вводить расход в единицах, отличных от основной единицы материала. Пересчёт в основную единицу выполняется с учётом плотности и формата; в производство передаётся пересчитанное количество.","Приведена релевантная ссылка на FAQ; смысл ответа согласуется с источником, нет неподтверждённых действий и лишнего уточнения."]</x:v>
      </x:c>
      <x:c r="X188" s="6" t="str">
        <x:v>approved</x:v>
      </x:c>
      <x:c r="Y188" s="6" t="str">
        <x:v>Карточка и применимость источников согласованы консультантом; утверждение подтверждено пользователем 25.10.2026.</x:v>
      </x:c>
      <x:c r="Z188" s="6" t="str">
        <x:v>G-fe91acb668a85e</x:v>
      </x:c>
      <x:c r="AA188" s="6" t="str">
        <x:v>eval</x:v>
      </x:c>
      <x:c r="AB188" s="6" t="str">
        <x:v>official_faq_entry</x:v>
      </x:c>
    </x:row>
    <x:row r="189" ht="115" customHeight="1">
      <x:c r="A189" s="6" t="str">
        <x:v>FAQ-poly2-190</x:v>
      </x:c>
      <x:c r="B189" s="6" t="str">
        <x:v>official_faq_entry:poly2-190</x:v>
      </x:c>
      <x:c r="C189" s="6" t="str">
        <x:v>{"history":[],"user_message":"Как учесть вторсырье в 1С:ERP?"}</x:v>
      </x:c>
      <x:c r="D189" s="6" t="str">
        <x:v>{"product":"1С:УНФ 8. Полиграфия 2","version":"3.0.14.140","retrieval_state":"available","handoff_consent":false,"source_faq_id":"poly2-190","group_id":"faq_poly2-190","source_applicability":"confirmed_by_consultant","source_product":"1С:ERP / модуль Полиграфия для ERP","approval_basis":"user_confirmed_consultant_approval"}</x:v>
      </x:c>
      <x:c r="E189" s="6" t="str">
        <x:v>1С:УНФ 8. Полиграфия 2</x:v>
      </x:c>
      <x:c r="F189" s="6" t="str">
        <x:v>3.0.14.140</x:v>
      </x:c>
      <x:c r="G189" s="6" t="str">
        <x:v>not_reported</x:v>
      </x:c>
      <x:c r="H189" s="6" t="str">
        <x:v>default</x:v>
      </x:c>
      <x:c r="I189" s="6" t="str">
        <x:v>Применимость источников и эталона к 1С:УНФ 8. Полиграфия 2, релиз 3.0.14.140, подтверждена консультантом со слов пользователя.</x:v>
      </x:c>
      <x:c r="J189" s="13" t="str">
        <x:v>0</x:v>
      </x:c>
      <x:c r="K189" s="13" t="str">
        <x:v>5</x:v>
      </x:c>
      <x:c r="L189" s="7" t="b">
        <x:v>0</x:v>
      </x:c>
      <x:c r="M189" s="6" t="str">
        <x:v>not_applicable</x:v>
      </x:c>
      <x:c r="N189" s="6" t="str">
        <x:v>[]</x:v>
      </x:c>
      <x:c r="O189" s="7" t="b">
        <x:v>1</x:v>
      </x:c>
      <x:c r="P189" s="6" t="str">
        <x:v>K2</x:v>
      </x:c>
      <x:c r="Q189" s="6" t="str">
        <x:v>K2: история пуста, вопрос соответствует статье FAQ poly2-190; в утверждённом источнике есть достаточный применимый ответ для 3.0.14.140. Бот отвечает сразу с источником.</x:v>
      </x:c>
      <x:c r="R189" s="6" t="str">
        <x:v>["faq","poly2","documented_answer"]</x:v>
      </x:c>
      <x:c r="S189" s="6" t="str">
        <x:v>answer</x:v>
      </x:c>
      <x:c r="T189" s="6" t="str">
        <x:v>["Для ERP FAQ различает оприходование отходов по заказам и без детализации по заказу.","При учёте по заказу отходы указываются в ресурсной спецификации в побочном и промежуточном выпуске по фиксированной стоимости.","Указать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89"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89" s="6" t="str">
        <x:v>[{"source_file":"/Users/maria/chatbot_rag/knowledge base/faq_articles.jsonl","source_jsonl_line":5,"faq_id":"poly2-190","url":"https://1cpoly.ru/questions/?action=show&amp;id=190","source_locator":".faq-answer","title":"Как учесть вторсырье в 1С:ERP?","source_answer":"Если в процессе выпуска продукции появляются отходы, которые нам нужно оприходовать, это возможно сделать в ERP 2 способами:\n\na. 1 способ используется если нужно оприходовать отходы по каждому заказу:\n\nУказываем отходы в ресурсной спецификации:\n\nВ разделе Побочный и промежуточный выпуск по фиксированной стоимости указываем оприходуемые отходы, их количество, статью калькуляции:\n\nb. Если учитывать отходы по каждому расчету заказа нет необходимости, то можно отразить следующим образом:\n\nВ документе наименование указываем номенклатуру, ее характеристики и количество.\n\nЕсли необходимо распределить стоимость оприходованных отходов по выпуску продукции за период времени, можем сделать это документом:","content_sha256":"0d36515ae4118a4e4a8dc35b235c4d4f444607b0dac20ccaca50c99dbc77520b","saved_at":"2026-10-24T22:59:41.544702+03:00","image_refs":[{"url":"https://1cpoly.ru/i/newcont/faq-poly2-uv1.png","local_file":"/Users/maria/Documents/ChatGPT/chatbot/output/faq_1cpoly_prepared_2026-10-25/assets/e87ac58e51589ea8a280.png"},{"url":"https://1cpoly.ru/i/newcont/faq-poly2-uv2.png","local_file":"/Users/maria/Documents/ChatGPT/chatbot/output/faq_1cpoly_prepared_2026-10-25/assets/78b060d6a33c2f84aa88.png"},{"url":"https://1cpoly.ru/i/newcont/faq-poly2-uv3.png","local_file":"/Users/maria/Documents/ChatGPT/chatbot/output/faq_1cpoly_prepared_2026-10-25/assets/d180277278fa0a2d025b.png"},{"url":"https://1cpoly.ru/i/newcont/faq-poly2-uv4.png","local_file":"/Users/maria/Documents/ChatGPT/chatbot/output/faq_1cpoly_prepared_2026-10-25/assets/7e996e46c88ca32cf0e6.png"},{"url":"https://1cpoly.ru/i/newcont/faq-poly2-uv5.png","local_file":"/Users/maria/Documents/ChatGPT/chatbot/output/faq_1cpoly_prepared_2026-10-25/assets/1579e9292d16e0bb356b.png"},{"url":"https://1cpoly.ru/i/newcont/faq-poly2-uv6.png","local_file":"/Users/maria/Documents/ChatGPT/chatbot/output/faq_1cpoly_prepared_2026-10-25/assets/ae083ae77c0629adab54.png"}],"applicability_check":"confirmed_by_consultant","required_facts":["Для ERP FAQ различает оприходование отходов по заказам и без детализации по заказу.","При учёте по заказу отходы указываются в ресурсной спецификации в побочном и промежуточном выпуске по фиксированной стоимости."],"approval_basis":"user_confirmed_consultant_approval"}]</x:v>
      </x:c>
      <x:c r="W189" s="6" t="str">
        <x:v>["В содержательном ответе отражены следующие подтверждённые пункты: Для ERP FAQ различает оприходование отходов по заказам и без детализации по заказу. При учёте по заказу отходы указываются в ресурсной спецификации в побочном и промежуточном выпуске по фиксированной стоимости.","Приведена релевантная ссылка на FAQ; смысл ответа согласуется с источником, нет неподтверждённых действий и лишнего уточнения."]</x:v>
      </x:c>
      <x:c r="X189" s="6" t="str">
        <x:v>approved</x:v>
      </x:c>
      <x:c r="Y189" s="6" t="str">
        <x:v>Карточка и применимость источников согласованы консультантом; утверждение подтверждено пользователем 25.10.2026.</x:v>
      </x:c>
      <x:c r="Z189" s="6" t="str">
        <x:v>G-3fbbf8388b36f6</x:v>
      </x:c>
      <x:c r="AA189" s="6" t="str">
        <x:v>eval</x:v>
      </x:c>
      <x:c r="AB189" s="6" t="str">
        <x:v>official_faq_entry</x:v>
      </x:c>
    </x:row>
    <x:row r="190" ht="115" customHeight="1">
      <x:c r="A190" s="6" t="str">
        <x:v>FAQ-poly2-188</x:v>
      </x:c>
      <x:c r="B190" s="6" t="str">
        <x:v>official_faq_entry:poly2-188</x:v>
      </x:c>
      <x:c r="C190" s="6" t="str">
        <x:v>{"history":[],"user_message":"Как сформировать единый заказ поставщику по нескольким разным заказам?"}</x:v>
      </x:c>
      <x:c r="D190" s="6" t="str">
        <x:v>{"product":"1С:УНФ 8. Полиграфия 2","version":"3.0.14.140","retrieval_state":"available","handoff_consent":false,"source_faq_id":"poly2-188","group_id":"faq_poly2-188","source_applicability":"confirmed_by_consultant","approval_basis":"user_confirmed_consultant_approval"}</x:v>
      </x:c>
      <x:c r="E190" s="6" t="str">
        <x:v>1С:УНФ 8. Полиграфия 2</x:v>
      </x:c>
      <x:c r="F190" s="6" t="str">
        <x:v>3.0.14.140</x:v>
      </x:c>
      <x:c r="G190" s="6" t="str">
        <x:v>not_reported</x:v>
      </x:c>
      <x:c r="H190" s="6" t="str">
        <x:v>default</x:v>
      </x:c>
      <x:c r="I190" s="6" t="str">
        <x:v>Применимость источников и эталона к 1С:УНФ 8. Полиграфия 2, релиз 3.0.14.140, подтверждена консультантом со слов пользователя.</x:v>
      </x:c>
      <x:c r="J190" s="13" t="str">
        <x:v>0</x:v>
      </x:c>
      <x:c r="K190" s="13" t="str">
        <x:v>5</x:v>
      </x:c>
      <x:c r="L190" s="7" t="b">
        <x:v>0</x:v>
      </x:c>
      <x:c r="M190" s="6" t="str">
        <x:v>not_applicable</x:v>
      </x:c>
      <x:c r="N190" s="6" t="str">
        <x:v>[]</x:v>
      </x:c>
      <x:c r="O190" s="7" t="b">
        <x:v>1</x:v>
      </x:c>
      <x:c r="P190" s="6" t="str">
        <x:v>K2</x:v>
      </x:c>
      <x:c r="Q190" s="6" t="str">
        <x:v>K2: история пуста, вопрос соответствует статье FAQ poly2-188; в утверждённом источнике есть достаточный применимый ответ для 3.0.14.140. Бот отвечает сразу с источником.</x:v>
      </x:c>
      <x:c r="R190" s="6" t="str">
        <x:v>["faq","poly2","documented_answer"]</x:v>
      </x:c>
      <x:c r="S190" s="6" t="str">
        <x:v>answer</x:v>
      </x:c>
      <x:c r="T190" s="6" t="str">
        <x:v>["Используется обработка «Расчёт потребностей» в разделе «Закупки».","В FAQ последовательно рассматриваются потребности, рекомендации и формирование заказов; поставщику объединяются потребности нескольких заказов.","Указать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0"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0" s="6" t="str">
        <x:v>[{"source_file":"/Users/maria/chatbot_rag/knowledge base/faq_articles.jsonl","source_jsonl_line":7,"faq_id":"poly2-188","url":"https://1cpoly.ru/questions/?action=show&amp;id=188","source_locator":".faq-answer","title":"Как сформировать единый заказ поставщику по нескольким разным заказам?","source_answer":"1. Для этого необходимо открыть обработку «Расчет потребностей», которая находится в подсистеме «Закупки»:\n\n2. Если по заказам у Вас уже сформированы все документы «Заказ на производство», то этот пункт пропускайте. В обработке устанавливаем период времени, за который требуется произвести расчеты, организацию, и тип пополнения (тип пополнения необходимо установить «Производство»), а также установить/снять галочку «Только дефицит»:\n\nПосле того как все эти поля заполнены нажимаем на кнопку «Рассчитать» на вкладке «Потребность». В результате обработка выдаст информацию по необходимым потребностям в следующем виде:\n\nДалее переходим на вкладку «Рекомендации» и там также нажимаем на кнопку «Рассчитать». Программа произведет расчеты по формированию рекомендуемых заказов на производство на основании потребностей (тех товаров, которые указаны в табличной части на вкладке «Потребность») и выдаст результат в следующем виде:\n\nДалее необходимо принять решение и проставить/снять галочки на те товары, на которые требуется/не требуется формировать заказы на производство. Также, если какие-то товары необходимо переопределить дату «Финиша» документа «Заказ на производство», то необходимо раскрыть группировку товара (нажать на «плюсик» слева от наименования товара) и напротив типа пополнения указать необходимую дату.\n\nПосле этого переходим на вкладку «Заказы» и нажимаем на кнопку «Сформировать заказы». В результате будет (-ут) сформирован (-ы) заказ (-ы) на производство:\n\nВажно!!! На те товары, где будут проставлены галочки и у которых будут совпадать даты поступления, будет сформирован единый заказ на производство, даже если эти товары будут фигурировать в разных заказах покупателей (и даже если в этих заказах покупателей будут указаны разные покупатели (контрагенты)). Поэтому если Вы хотите, чтобы на каждый вид товара был сформирован свой заказ на производство, то необходимо или последовательно формировать заказы на производство на каждый товар (выставлять галочку на товар, нажимать на кнопку «Сформировать заказы», далее выставлять галочку на другой товар и опять нажимать на кнопку «Сформировать заказы», при этом не забыв снять галочку на предыдущий товар и так далее), или выставить свою дату поступления на каждый вид товара, отличную от другой.\n\nПосле этого двойным кликом заходим в сформированный документ, проверяем его, вносим необходимые правки (например, заполняем вкладку «Материалы»), и проводим его.\n\n3. В шапке обработки устанавливаем тип пополнения «Закупка и переработка», при необходимости заполняем поле «Источник» (если выбрать контрагента в этом поле, то расчет потребностей будет произведен только по тем товарам, основным поставщиком которых является выбранный контрагент). Далее последовательно нажимаем на кнопку «Рассчитать» на вкладках «Потребность» и «Рекомендации», после чего на вкладке «Рекомендации» проставляем галочки напротив тех товаров, по которым необходимо сделать заказ (-ы) поставщику (-ам):\n\nЕсли необходимо изменить «Дату поступления» в документе «Заказ поставщику», который должен быть сформирован, также, как и в пункте 2, разворачиваем группировку товара и устанавливаем нужную дату напротив типа пополнения «Закупка». После этого переходим на вкладку «Заказы» и нажимаем на кнопку «Сформировать заказы» - в результате будет (-ут) сформирован (-ы) заказ (-ы) поставщику (-ам).\n\nВажное уточнение! Количество заказов поставщикам зависит от того, разные или одинаковые поставщики у товаров, которые необходимо заказать (на скриншоте видно, что поставщиками номенклатурных позиций «Ветошь» и «Масло» является контрагент «Гельдельберг ЗАО», а у номенклатурной позиции «Мелованная бумага UPM FINESSE gloss» в качестве поставщика установлен «Дубль В ООО») и от установленных дат поступления (если даты у номенклатурных позиций разные, то даже если у них один и тот же поставщик, будут сформированы отдельные заказы). Учитывая даты и поставщиков на примере было сформировано два заказа поставщику – один на «Ветошь» и «Масло» для контрагента Гельдельберг’у, а другой на «Мелованная бумага UPM FINESSE gloss» Дубль В:\n\nКак получить аналитику по заказам покупателей (какие материалы требуются, сколько уже отпущено, осталось отпустить, зарезервировано на складе, заказано поставщикам, сколько материалов находится в производстве)?\n\nДля этого есть специальный отчет «Потребность в запасах», найти его можно в подсистеме «Закупке» в подразделе «Отчеты»:\n\nСам отчет выглядит следующим образом:","content_sha256":"9d8e9a56e5809c1006fc356b70d03b39c6295fab189a271e62d2b1d081875d96","saved_at":"2026-10-24T22:59:41.544702+03:00","image_refs":[{"url":"https://1cpoly.ru/i/newcont/faq-poly2-1.png","local_file":"/Users/maria/Documents/ChatGPT/chatbot/output/faq_1cpoly_prepared_2026-10-25/assets/07423c0e8fd36e796295.png"},{"url":"https://1cpoly.ru/i/newcont/faq-poly2-2.png","local_file":"/Users/maria/Documents/ChatGPT/chatbot/output/faq_1cpoly_prepared_2026-10-25/assets/35f373eef52d89b6948c.png"},{"url":"https://1cpoly.ru/i/newcont/faq-poly2-3.png","local_file":"/Users/maria/Documents/ChatGPT/chatbot/output/faq_1cpoly_prepared_2026-10-25/assets/fb018acd69ece1550585.png"},{"url":"https://1cpoly.ru/i/newcont/faq-poly2-4.png","local_file":"/Users/maria/Documents/ChatGPT/chatbot/output/faq_1cpoly_prepared_2026-10-25/assets/2772cce8ef452ff9706a.png"},{"url":"https://1cpoly.ru/i/newcont/faq-poly2-5.png","local_file":"/Users/maria/Documents/ChatGPT/chatbot/output/faq_1cpoly_prepared_2026-10-25/assets/46fc92641eb4c2ab9813.png"},{"url":"https://1cpoly.ru/i/newcont/faq-poly2-6.png","local_file":"/Users/maria/Documents/ChatGPT/chatbot/output/faq_1cpoly_prepared_2026-10-25/assets/4fe00f28e11b70e1f045.png"},{"url":"https://1cpoly.ru/i/newcont/faq-poly2-7.png","local_file":"/Users/maria/Documents/ChatGPT/chatbot/output/faq_1cpoly_prepared_2026-10-25/assets/75207cc24bda3e505569.png"},{"url":"https://1cpoly.ru/i/newcont/faq-poly2-8.png","local_file":"/Users/maria/Documents/ChatGPT/chatbot/output/faq_1cpoly_prepared_2026-10-25/assets/c022112fa0c914769e4f.png"},{"url":"https://1cpoly.ru/i/newcont/faq-poly2-9.png","local_file":"/Users/maria/Documents/ChatGPT/chatbot/output/faq_1cpoly_prepared_2026-10-25/assets/9c07d2747c68ea3ea33d.png"}],"applicability_check":"confirmed_by_consultant","required_facts":["Используется обработка «Расчёт потребностей» в разделе «Закупки».","В FAQ последовательно рассматриваются потребности, рекомендации и формирование заказов; поставщику объединяются потребности нескольких заказов."],"approval_basis":"user_confirmed_consultant_approval"}]</x:v>
      </x:c>
      <x:c r="W190" s="6" t="str">
        <x:v>["В содержательном ответе отражены следующие подтверждённые пункты: Используется обработка «Расчёт потребностей» в разделе «Закупки». В FAQ последовательно рассматриваются потребности, рекомендации и формирование заказов; поставщику объединяются потребности нескольких заказов.","Приведена релевантная ссылка на FAQ; смысл ответа согласуется с источником, нет неподтверждённых действий и лишнего уточнения."]</x:v>
      </x:c>
      <x:c r="X190" s="6" t="str">
        <x:v>approved</x:v>
      </x:c>
      <x:c r="Y190" s="6" t="str">
        <x:v>Карточка и применимость источников согласованы консультантом; утверждение подтверждено пользователем 25.10.2026.</x:v>
      </x:c>
      <x:c r="Z190" s="6" t="str">
        <x:v>G-31bb5d1e43884c</x:v>
      </x:c>
      <x:c r="AA190" s="6" t="str">
        <x:v>eval</x:v>
      </x:c>
      <x:c r="AB190" s="6" t="str">
        <x:v>official_faq_entry</x:v>
      </x:c>
    </x:row>
    <x:row r="191" ht="115" customHeight="1">
      <x:c r="A191" s="6" t="str">
        <x:v>FAQ-poly2-185</x:v>
      </x:c>
      <x:c r="B191" s="6" t="str">
        <x:v>official_faq_entry:poly2-185</x:v>
      </x:c>
      <x:c r="C191" s="6" t="str">
        <x:v>{"history":[],"user_message":"Как в 1С:УНФ 8. Полиграфия 2 решить вопрос раскроя и резки рулонного и листового материала?"}</x:v>
      </x:c>
      <x:c r="D191" s="6" t="str">
        <x:v>{"product":"1С:УНФ 8. Полиграфия 2","version":"3.0.14.140","retrieval_state":"available","handoff_consent":false,"source_faq_id":"poly2-185","group_id":"faq_poly2-185","source_applicability":"confirmed_by_consultant","approval_basis":"user_confirmed_consultant_approval"}</x:v>
      </x:c>
      <x:c r="E191" s="6" t="str">
        <x:v>1С:УНФ 8. Полиграфия 2</x:v>
      </x:c>
      <x:c r="F191" s="6" t="str">
        <x:v>3.0.14.140</x:v>
      </x:c>
      <x:c r="G191" s="6" t="str">
        <x:v>not_reported</x:v>
      </x:c>
      <x:c r="H191" s="6" t="str">
        <x:v>default</x:v>
      </x:c>
      <x:c r="I191" s="6" t="str">
        <x:v>Применимость источников и эталона к 1С:УНФ 8. Полиграфия 2, релиз 3.0.14.140, подтверждена консультантом со слов пользователя.</x:v>
      </x:c>
      <x:c r="J191" s="13" t="str">
        <x:v>0</x:v>
      </x:c>
      <x:c r="K191" s="13" t="str">
        <x:v>5</x:v>
      </x:c>
      <x:c r="L191" s="7" t="b">
        <x:v>0</x:v>
      </x:c>
      <x:c r="M191" s="6" t="str">
        <x:v>not_applicable</x:v>
      </x:c>
      <x:c r="N191" s="6" t="str">
        <x:v>[]</x:v>
      </x:c>
      <x:c r="O191" s="7" t="b">
        <x:v>1</x:v>
      </x:c>
      <x:c r="P191" s="6" t="str">
        <x:v>K2</x:v>
      </x:c>
      <x:c r="Q191" s="6" t="str">
        <x:v>K2: история пуста, вопрос соответствует статье FAQ poly2-185; в утверждённом источнике есть достаточный применимый ответ для 3.0.14.140. Бот отвечает сразу с источником.</x:v>
      </x:c>
      <x:c r="R191" s="6" t="str">
        <x:v>["faq","poly2","documented_answer"]</x:v>
      </x:c>
      <x:c r="S191" s="6" t="str">
        <x:v>answer</x:v>
      </x:c>
      <x:c r="T191" s="6" t="str">
        <x:v>["Резка материала отражается документом «Производство» с операцией «Сборка».","В продукции задаются полученные рулоны/листы, в материалах — исходный материал; размеры и количества должны соответствовать примеру.","Указать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1"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1" s="6" t="str">
        <x:v>[{"source_file":"/Users/maria/chatbot_rag/knowledge base/faq_articles.jsonl","source_jsonl_line":10,"faq_id":"poly2-185","url":"https://1cpoly.ru/questions/?action=show&amp;id=185","source_locator":".faq-answer","title":"Как в 1С:УНФ 8. Полиграфия 2 решить вопрос раскроя и резки рулонного и листового материала?","source_answer":"С помощью документа «Производство» можно отразить операцию комплектации товаров на складе или производство продукции.\n\nРассмотрим пример: Купили пленку шириной 1600 мм, теперь нам ее нужно порезать на 2 рулона шириной 800 мм.\n\nОформим поступление на склад «резки рулонов» пленки с шириной роля 1600 мм.\n\nТеперь оформим документ Производство, в котором установим операцию «Сборка», в табличной части \"Продукция\" укажем список производимой номенклатуры ( пленка 2 шт. , с характеристикой- ширина рулона 800 мм).\n\nВ табличной части \"Материалы\" укажем пленку с шириной роля 1600 мм, которую нам пришлось порезать, чтоб получить 2 пленки с шириной роля 800 мм.\n\nПосле проведения документа, проанализировать полученные данные по складу можно отчетами: «Движение товаров по складам» и «Остатки товаров на складах».","content_sha256":"cbd4cff27bf1e1d7837e07dcfc996f6fc692a31f3acc35c14cf30048b455d4f0","saved_at":"2026-10-24T22:59:41.544702+03:00","image_refs":[{"url":"https://1cpoly.ru/i/newcont/faq-poly2-cut-1.png","local_file":"/Users/maria/Documents/ChatGPT/chatbot/output/faq_1cpoly_prepared_2026-10-25/assets/cb73d060107890d5e952.png"},{"url":"https://1cpoly.ru/i/newcont/faq-poly2-cut-2.png","local_file":"/Users/maria/Documents/ChatGPT/chatbot/output/faq_1cpoly_prepared_2026-10-25/assets/e52589984a076703bb63.png"},{"url":"https://1cpoly.ru/i/newcont/faq-poly2-cut-3.png","local_file":"/Users/maria/Documents/ChatGPT/chatbot/output/faq_1cpoly_prepared_2026-10-25/assets/942750da7e98f538dd09.png"},{"url":"https://1cpoly.ru/i/newcont/faq-poly2-cut-4.png","local_file":"/Users/maria/Documents/ChatGPT/chatbot/output/faq_1cpoly_prepared_2026-10-25/assets/92b041d6668a2791a1a1.png"},{"url":"https://1cpoly.ru/i/newcont/faq-poly2-cut-5.png","local_file":"/Users/maria/Documents/ChatGPT/chatbot/output/faq_1cpoly_prepared_2026-10-25/assets/c13d48a54a88172ccdd4.png"}],"applicability_check":"confirmed_by_consultant","required_facts":["Резка материала отражается документом «Производство» с операцией «Сборка».","В продукции задаются полученные рулоны/листы, в материалах — исходный материал; размеры и количества должны соответствовать примеру."],"approval_basis":"user_confirmed_consultant_approval"}]</x:v>
      </x:c>
      <x:c r="W191" s="6" t="str">
        <x:v>["В содержательном ответе отражены следующие подтверждённые пункты: Резка материала отражается документом «Производство» с операцией «Сборка». В продукции задаются полученные рулоны/листы, в материалах — исходный материал; размеры и количества должны соответствовать примеру.","Приведена релевантная ссылка на FAQ; смысл ответа согласуется с источником, нет неподтверждённых действий и лишнего уточнения."]</x:v>
      </x:c>
      <x:c r="X191" s="6" t="str">
        <x:v>approved</x:v>
      </x:c>
      <x:c r="Y191" s="6" t="str">
        <x:v>Карточка и применимость источников согласованы консультантом; утверждение подтверждено пользователем 25.10.2026.</x:v>
      </x:c>
      <x:c r="Z191" s="6" t="str">
        <x:v>G-758b526d6e10d4</x:v>
      </x:c>
      <x:c r="AA191" s="6" t="str">
        <x:v>eval</x:v>
      </x:c>
      <x:c r="AB191" s="6" t="str">
        <x:v>official_faq_entry</x:v>
      </x:c>
    </x:row>
    <x:row r="192" ht="115" customHeight="1">
      <x:c r="A192" s="6" t="str">
        <x:v>FAQ-poly2-184</x:v>
      </x:c>
      <x:c r="B192" s="6" t="str">
        <x:v>official_faq_entry:poly2-184</x:v>
      </x:c>
      <x:c r="C192" s="6" t="str">
        <x:v>{"history":[],"user_message":"Как определить порядок статусов в полиграфических документах?"}</x:v>
      </x:c>
      <x:c r="D192" s="6" t="str">
        <x:v>{"product":"1С:УНФ 8. Полиграфия 2","version":"3.0.14.140","retrieval_state":"available","handoff_consent":false,"source_faq_id":"poly2-184","group_id":"faq_poly2-184","source_applicability":"confirmed_by_consultant","approval_basis":"user_confirmed_consultant_approval"}</x:v>
      </x:c>
      <x:c r="E192" s="6" t="str">
        <x:v>1С:УНФ 8. Полиграфия 2</x:v>
      </x:c>
      <x:c r="F192" s="6" t="str">
        <x:v>3.0.14.140</x:v>
      </x:c>
      <x:c r="G192" s="6" t="str">
        <x:v>not_reported</x:v>
      </x:c>
      <x:c r="H192" s="6" t="str">
        <x:v>default</x:v>
      </x:c>
      <x:c r="I192" s="6" t="str">
        <x:v>Применимость источников и эталона к 1С:УНФ 8. Полиграфия 2, релиз 3.0.14.140, подтверждена консультантом со слов пользователя.</x:v>
      </x:c>
      <x:c r="J192" s="13" t="str">
        <x:v>0</x:v>
      </x:c>
      <x:c r="K192" s="13" t="str">
        <x:v>5</x:v>
      </x:c>
      <x:c r="L192" s="7" t="b">
        <x:v>0</x:v>
      </x:c>
      <x:c r="M192" s="6" t="str">
        <x:v>not_applicable</x:v>
      </x:c>
      <x:c r="N192" s="6" t="str">
        <x:v>[]</x:v>
      </x:c>
      <x:c r="O192" s="7" t="b">
        <x:v>1</x:v>
      </x:c>
      <x:c r="P192" s="6" t="str">
        <x:v>K2</x:v>
      </x:c>
      <x:c r="Q192" s="6" t="str">
        <x:v>K2: история пуста, вопрос соответствует статье FAQ poly2-184; в утверждённом источнике есть достаточный применимый ответ для 3.0.14.140. Бот отвечает сразу с источником.</x:v>
      </x:c>
      <x:c r="R192" s="6" t="str">
        <x:v>["faq","poly2","documented_answer"]</x:v>
      </x:c>
      <x:c r="S192" s="6" t="str">
        <x:v>answer</x:v>
      </x:c>
      <x:c r="T192" s="6" t="str">
        <x:v>["Разрешённые статусы задаются в «Ролях пользователей» на вкладке «Статусы».","В панели администрирования включается технологическая цепочка по статусам; для статуса задаются возможные последующие статусы.","Указать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2"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2" s="6" t="str">
        <x:v>[{"source_file":"/Users/maria/chatbot_rag/knowledge base/faq_articles.jsonl","source_jsonl_line":11,"faq_id":"poly2-184","url":"https://1cpoly.ru/questions/?action=show&amp;id=184","source_locator":".faq-answer","title":"Как определить порядок статусов в полиграфических документах?","source_answer":"Последовательностью выбора статусов в полиграфических заказов можно управлять. Список статусов для выбора в расчетах задается в справочнике «Роли пользователей» на закладке «Статусы».\n\nЕсли в настройках Панель администрирования Полиграфии на закладке Расчет полиграфических заказов у реквизита «Использовать возможность прописывать технологическую цепочку прохождения заказа по статусам» установлен признак «Истина», тогда на закладке Статусы, для каждого статуса появляется возможность указывать список возможных последующих статусов, на которые вручную пользователь может изменить текущий статус в заказе.\n\nНапример, нужно ограничить полиграфической роли пользователя «Менеджер» изменения в полиграфических заказах со статуса «Расчетный» только на статусы: «В печать» или «Дизайнеру». Тогда для роли «Менеджер» в справочнике «Роли пользователей» на закладке «Статусы», напротив статуса «Расчетный» в правой таблице «Последующий статус» укажем два статуса: «В печать» и «Дизайнеру».\n\nТеперь пользователь с полиграфической ролью «Менеджер» сможет изменить в полиграфических заказах статус «Расчетный» только на: «В печать» и «Дизайнеру».","content_sha256":"1bbf78c9a061c4ea569a299acdbb656da97ff81b61051a5207cd3d1ea66b63fd","saved_at":"2026-10-24T22:59:41.544702+03:00","image_refs":[{"url":"https://1cpoly.ru/i/newcont/faq-poly2-status-1.png","local_file":"/Users/maria/Documents/ChatGPT/chatbot/output/faq_1cpoly_prepared_2026-10-25/assets/f9cfb9f33d8a4a04c57d.png"},{"url":"https://1cpoly.ru/i/newcont/faq-poly2-status-2.png","local_file":"/Users/maria/Documents/ChatGPT/chatbot/output/faq_1cpoly_prepared_2026-10-25/assets/2418da700f3783f79f8e.png"},{"url":"https://1cpoly.ru/i/newcont/faq-poly2-status-3.png","local_file":"/Users/maria/Documents/ChatGPT/chatbot/output/faq_1cpoly_prepared_2026-10-25/assets/907b11d9d9ba49237c8c.png"}],"applicability_check":"confirmed_by_consultant","required_facts":["Разрешённые статусы задаются в «Ролях пользователей» на вкладке «Статусы».","В панели администрирования включается технологическая цепочка по статусам; для статуса задаются возможные последующие статусы."],"approval_basis":"user_confirmed_consultant_approval"}]</x:v>
      </x:c>
      <x:c r="W192" s="6" t="str">
        <x:v>["В содержательном ответе отражены следующие подтверждённые пункты: Разрешённые статусы задаются в «Ролях пользователей» на вкладке «Статусы». В панели администрирования включается технологическая цепочка по статусам; для статуса задаются возможные последующие статусы.","Приведена релевантная ссылка на FAQ; смысл ответа согласуется с источником, нет неподтверждённых действий и лишнего уточнения."]</x:v>
      </x:c>
      <x:c r="X192" s="6" t="str">
        <x:v>approved</x:v>
      </x:c>
      <x:c r="Y192" s="6" t="str">
        <x:v>Карточка и применимость источников согласованы консультантом; утверждение подтверждено пользователем 25.10.2026.</x:v>
      </x:c>
      <x:c r="Z192" s="6" t="str">
        <x:v>G-9d5970227adebb</x:v>
      </x:c>
      <x:c r="AA192" s="6" t="str">
        <x:v>eval</x:v>
      </x:c>
      <x:c r="AB192" s="6" t="str">
        <x:v>official_faq_entry</x:v>
      </x:c>
    </x:row>
    <x:row r="193" ht="115" customHeight="1">
      <x:c r="A193" s="6" t="str">
        <x:v>FAQ-poly2-182</x:v>
      </x:c>
      <x:c r="B193" s="6" t="str">
        <x:v>official_faq_entry:poly2-182</x:v>
      </x:c>
      <x:c r="C193" s="6" t="str">
        <x:v>{"history":[],"user_message":"В каких единицах измерения происходит расчет в блоке «Информация» в документах расчетов заказов и как рассчитываются значения?"}</x:v>
      </x:c>
      <x:c r="D193" s="6" t="str">
        <x:v>{"product":"1С:УНФ 8. Полиграфия 2","version":"3.0.14.140","retrieval_state":"available","handoff_consent":false,"source_faq_id":"poly2-182","group_id":"faq_poly2-182","source_applicability":"confirmed_by_consultant","approval_basis":"user_confirmed_consultant_approval"}</x:v>
      </x:c>
      <x:c r="E193" s="6" t="str">
        <x:v>1С:УНФ 8. Полиграфия 2</x:v>
      </x:c>
      <x:c r="F193" s="6" t="str">
        <x:v>3.0.14.140</x:v>
      </x:c>
      <x:c r="G193" s="6" t="str">
        <x:v>not_reported</x:v>
      </x:c>
      <x:c r="H193" s="6" t="str">
        <x:v>default</x:v>
      </x:c>
      <x:c r="I193" s="6" t="str">
        <x:v>Применимость источников и эталона к 1С:УНФ 8. Полиграфия 2, релиз 3.0.14.140, подтверждена консультантом со слов пользователя.</x:v>
      </x:c>
      <x:c r="J193" s="13" t="str">
        <x:v>0</x:v>
      </x:c>
      <x:c r="K193" s="13" t="str">
        <x:v>5</x:v>
      </x:c>
      <x:c r="L193" s="7" t="b">
        <x:v>0</x:v>
      </x:c>
      <x:c r="M193" s="6" t="str">
        <x:v>not_applicable</x:v>
      </x:c>
      <x:c r="N193" s="6" t="str">
        <x:v>[]</x:v>
      </x:c>
      <x:c r="O193" s="7" t="b">
        <x:v>1</x:v>
      </x:c>
      <x:c r="P193" s="6" t="str">
        <x:v>K2</x:v>
      </x:c>
      <x:c r="Q193" s="6" t="str">
        <x:v>K2: история пуста, вопрос соответствует статье FAQ poly2-182; в утверждённом источнике есть достаточный применимый ответ для 3.0.14.140. Бот отвечает сразу с источником.</x:v>
      </x:c>
      <x:c r="R193" s="6" t="str">
        <x:v>["faq","poly2","documented_answer"]</x:v>
      </x:c>
      <x:c r="S193" s="6" t="str">
        <x:v>answer</x:v>
      </x:c>
      <x:c r="T193" s="6" t="str">
        <x:v>["Блок «Информация» на вкладке «Пресс» разделяет материал на чистый тираж, приладку/брак пресса и приладку/брак постпресса.","«Итого» складывается из этих составляющих; единицы и пересчёт следует объяснять по полному FAQ с учётом оборудования.","Указать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3"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3" s="6" t="str">
        <x:v>[{"source_file":"/Users/maria/chatbot_rag/knowledge base/faq_articles.jsonl","source_jsonl_line":12,"faq_id":"poly2-182","url":"https://1cpoly.ru/questions/?action=show&amp;id=182","source_locator":".faq-answer","title":"В каких единицах измерения происходит расчет в блоке «Информация» в документах расчетов заказов и как рассчитываются значения?","source_answer":"В полиграфических расчетах на закладке «Пресс» в блоке «Информация» мы видим данные по количеству печатного материала для печати тиража заказа в разных единицах измерения.\n\nОбщее количество печатного материала складывается из:\n\nколичества для печати чистого тиража заказа (показатель «На тираж»);\n\nколичества печатного материала на брак и приладку печати (показатель «Приладка и брак пресса»);\n\nколичества печатного материала на приладку и брак послепечатных операций (показатель «Приладка и брак постпресса»);\n\nитоговое количество материала, которое является суммой трех предыдущих вариантов (показатель «Итого»).\n\nЕсли у печатного оборудования установлен вид печати: Листовая печать или Рулонная печать, тогда первая колонка блока «Информация» выводит данные о количестве печатного материала в Листах, вторая колонка пересчитывает количество в килограммы (с учетом плотности и формата), а третья колонка пересчитывает количество в единицу измерения печатного материала, которая выбрана в справочнике номенклатура (лист, погонный метр или кв.метр).\n\nРассмотрим пример: Необходимо напечатать 10000 визиток. На печатном листе форматом 520 на 740 мм., помещается 60 штук визиток. Тираж печати = 10000/60=167 листов.\n\nОбщий (итоговый тираж) равен 281 печатному листу, при пересчете в кг, это будет:\n281 лист * формат листа в м2 (0,52*0,74)* плотность бумаги в кг(0,3) = 32,43864 =32,44 кг.\nЕдина измерения бумаги соответствует листам, поэтому колонка 1 и 3 блока «Информация» совпадают.\n\nЕсли у печатного оборудования установлен вид печати: Нормирование в кв. метрах, тогда первая колонка блока «Информация» выводит данные о количестве печатного материала в квадратных метрах, вторая колонка пересчитывает количество в килограммы (с учетом плотности и формата), а третья колонка пересчитывает количество в единицу измерения печатного материала, которая выбрана в справочнике номенклатура (лист, погонный метр или кв.метр).\n\nДля расчета флексографических заказов в блоке «Информация» пересчет происходит в четырех единицах измерения:\n\nв оттиски (согласно формату печати),\n\nв погонные метры,\n\nв килограммы (с учетом плотности материала),\n\nв квадратные метры (с учетом ширины роля материала).\n\nПри пересчете в килограммы и квадратные метры, анализируются данные каждого печатного материала, указанного в табличной части Материал.\n\nНапример:\n\nПри расчете значения веса итогового тиража кол-во оттисков*длину печати* ширину роля материала №1 *плотность материала №1 + кол-во оттисков*длину печати*ширину роля материала №2 * плотность материала №2 +……. +кол-во оттисков*длину печати* ширину роля материала № N *плотность материала № N.","content_sha256":"a8ea23dad4ea82d722fe5e32184bd4428130b8ccf23ffd01905cce481d692979","saved_at":"2026-10-24T22:59:41.544702+03:00","image_refs":[{"url":"https://1cpoly.ru/i/newcont/faq-poly2-info-1.png","local_file":"/Users/maria/Documents/ChatGPT/chatbot/output/faq_1cpoly_prepared_2026-10-25/assets/4c8388d99acf1eca43f8.png"},{"url":"https://1cpoly.ru/i/newcont/faq-poly2-info-2.png","local_file":"/Users/maria/Documents/ChatGPT/chatbot/output/faq_1cpoly_prepared_2026-10-25/assets/95b3f0a526a63de51542.png"},{"url":"https://1cpoly.ru/i/newcont/faq-poly2-info-3.png","local_file":"/Users/maria/Documents/ChatGPT/chatbot/output/faq_1cpoly_prepared_2026-10-25/assets/0df4fa3b58b88a6835f1.png"},{"url":"https://1cpoly.ru/i/newcont/faq-poly2-info-4.png","local_file":"/Users/maria/Documents/ChatGPT/chatbot/output/faq_1cpoly_prepared_2026-10-25/assets/b841c6b655fa1ea77367.png"},{"url":"https://1cpoly.ru/i/newcont/faq-poly2-info-5.png","local_file":"/Users/maria/Documents/ChatGPT/chatbot/output/faq_1cpoly_prepared_2026-10-25/assets/b6b59b0e963cc90a41ea.png"}],"applicability_check":"confirmed_by_consultant","required_facts":["Блок «Информация» на вкладке «Пресс» разделяет материал на чистый тираж, приладку/брак пресса и приладку/брак постпресса.","«Итого» складывается из этих составляющих; единицы и пересчёт следует объяснять по полному FAQ с учётом оборудования."],"approval_basis":"user_confirmed_consultant_approval"}]</x:v>
      </x:c>
      <x:c r="W193" s="6" t="str">
        <x:v>["В содержательном ответе отражены следующие подтверждённые пункты: Блок «Информация» на вкладке «Пресс» разделяет материал на чистый тираж, приладку/брак пресса и приладку/брак постпресса. «Итого» складывается из этих составляющих; единицы и пересчёт следует объяснять по полному FAQ с учётом оборудования.","Приведена релевантная ссылка на FAQ; смысл ответа согласуется с источником, нет неподтверждённых действий и лишнего уточнения."]</x:v>
      </x:c>
      <x:c r="X193" s="6" t="str">
        <x:v>approved</x:v>
      </x:c>
      <x:c r="Y193" s="6" t="str">
        <x:v>Карточка и применимость источников согласованы консультантом; утверждение подтверждено пользователем 25.10.2026.</x:v>
      </x:c>
      <x:c r="Z193" s="6" t="str">
        <x:v>G-2f5a15880ca863</x:v>
      </x:c>
      <x:c r="AA193" s="6" t="str">
        <x:v>eval</x:v>
      </x:c>
      <x:c r="AB193" s="6" t="str">
        <x:v>official_faq_entry</x:v>
      </x:c>
    </x:row>
    <x:row r="194" ht="115" customHeight="1">
      <x:c r="A194" s="6" t="str">
        <x:v>FAQ-poly2-181</x:v>
      </x:c>
      <x:c r="B194" s="6" t="str">
        <x:v>official_faq_entry:poly2-181</x:v>
      </x:c>
      <x:c r="C194" s="6" t="str">
        <x:v>{"history":[],"user_message":"Как обновить модуль \"Полиграфия\" для 1C:ERP ?"}</x:v>
      </x:c>
      <x:c r="D194" s="6" t="str">
        <x:v>{"product":"1С:УНФ 8. Полиграфия 2","version":"3.0.14.140","retrieval_state":"available","handoff_consent":false,"source_faq_id":"poly2-181","group_id":"faq_poly2-181","source_applicability":"confirmed_by_consultant","source_product":"1С:ERP / модуль Полиграфия для ERP","approval_basis":"user_confirmed_consultant_approval"}</x:v>
      </x:c>
      <x:c r="E194" s="6" t="str">
        <x:v>1С:УНФ 8. Полиграфия 2</x:v>
      </x:c>
      <x:c r="F194" s="6" t="str">
        <x:v>3.0.14.140</x:v>
      </x:c>
      <x:c r="G194" s="6" t="str">
        <x:v>not_reported</x:v>
      </x:c>
      <x:c r="H194" s="6" t="str">
        <x:v>default</x:v>
      </x:c>
      <x:c r="I194" s="6" t="str">
        <x:v>Применимость источников и эталона к 1С:УНФ 8. Полиграфия 2, релиз 3.0.14.140, подтверждена консультантом со слов пользователя.</x:v>
      </x:c>
      <x:c r="J194" s="13" t="str">
        <x:v>0</x:v>
      </x:c>
      <x:c r="K194" s="13" t="str">
        <x:v>5</x:v>
      </x:c>
      <x:c r="L194" s="7" t="b">
        <x:v>0</x:v>
      </x:c>
      <x:c r="M194" s="6" t="str">
        <x:v>not_applicable</x:v>
      </x:c>
      <x:c r="N194" s="6" t="str">
        <x:v>[]</x:v>
      </x:c>
      <x:c r="O194" s="7" t="b">
        <x:v>1</x:v>
      </x:c>
      <x:c r="P194" s="6" t="str">
        <x:v>K2</x:v>
      </x:c>
      <x:c r="Q194" s="6" t="str">
        <x:v>K2: история пуста, вопрос соответствует статье FAQ poly2-181; в утверждённом источнике есть достаточный применимый ответ для 3.0.14.140. Бот отвечает сразу с источником.</x:v>
      </x:c>
      <x:c r="R194" s="6" t="str">
        <x:v>["faq","poly2","documented_answer"]</x:v>
      </x:c>
      <x:c r="S194" s="6" t="str">
        <x:v>answer</x:v>
      </x:c>
      <x:c r="T194" s="6" t="str">
        <x:v>["Источник описывает обновление ERP с модулем Полиграфия в два этапа: ERP, затем модуль.","Совместимость версий и порядок объединения брать из инструкции именно для ERP; не применять её автоматически к УНФ.","Указать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4"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4" s="6" t="str">
        <x:v>[{"source_file":"/Users/maria/chatbot_rag/knowledge base/faq_articles.jsonl","source_jsonl_line":13,"faq_id":"poly2-181","url":"https://1cpoly.ru/questions/?action=show&amp;id=181","source_locator":".faq-answer","title":"Как обновить модуль \"Полиграфия\" для 1C:ERP ?","source_answer":"Порядок обновления конфигурации \"1С:ERP Управление предприятием 2\"+ \"1С Полиграфия 2 Модуль для 1С ERP\".\n\nОбновление такой «Сборной» конфигурации происходит в 2 этапа:\n\n1) Обновление конфигурации \"1С:ERP Управление предприятием 2\" до актуальной версии ERP, с которой будет работать новая версия конфигурации \"1С Полиграфия 2 Модуль для 1С ERP\" ( обычно номер версии ERP соответствует версии конфигурации \"1С Полиграфия 2 Модуль для 1С ERP\") .\n\n2) Обновление самого модуля \"1С Полиграфия 2 Модуль для 1С ERP\".\n\nДля обновления версии конфигурации \"1С:ERP Управление предприятием 2\" следует использовать режим \"Обновление конфигураций\". Файл обновлений 1Cv8.cfu находится в каталоге шаблонов 1centerprise202_4_4_124 каталога шаблонов.\n\nДля обновления версии конфигурации \"1С Полиграфия 2 Модуль для 1С ERP\" следует использовать режим \"Обновление конфигураций\". Файл обновлений 1Cv8.cfu находится в каталоге шаблонов ArmexPoligrafiyaERP2_4_4_124 каталога шаблонов.\n\nПоследовательность действий:\n\n1) Сделайте резервную копию вашей информационной базы.\n\nРезервную копию можно создать:\n\nпри использовании файлового варианта 1С:Предприятия путем копирования файла 1СV8.1CD в отдельный каталог;\n\nпри использовании клиент-серверного варианта 1С:Предприятия средствами SQL Server.\n\nНезависимо от используемого варианта 1С:Предприятия резервную копию можно создать, используя режим выгрузки информационной базы. Для этого:\n\nзапустите систему 1С:Предприятие в режиме \"Конфигуратор\";\n\nв меню \"Администрирование\" выберите пункт \"Выгрузка информационной базы\";\n\nв открывшемся диалоге укажите имя файла, в который будут записаны данные.\n\n2) необходимо определить кол-во релизов ERP , которые нужно будет последовательно обновить. Для этого нужно на сайте https://releases.1c.ru/total просмотреть , какие релизы были пропущенные, скачать необходимые версии и для каждой версии проделать пункты 3-10. Список релизов обновлений конфигурации представлен на сайте в виде таблицы, в первой колонке указывается номер релиза конфигурации, во второй - дата выхода, в следующей - месяц издания диска ИТС, на котором данный релиз был опубликован, а в последней колонке указан список предыдущих релизов, на которые можно установить данное обновление.\n\n3) Запустите 1С:Предприятие в режиме \"Конфигуратор\".\n4) Откройте конфигурацию, для этого в меню \"Конфигурация\" выберите пункт \"Открыть конфигурацию\".\n5) Вызовите режим \"Обновление конфигураций\", для этого в меню \"Конфигурация\", подменю \"Поддержка\", выберите пункт \"Обновить конфигурацию\".\n6) В диалоге выбора обновления в качестве источника обновления укажите \"Доступные обновления\", после чего выберите нужное обновление в соответствующем списке.\n7) Если в списке обновлений необходимое обновление отсутствует, то в диалоге выбора обновления в качестве источника обновления укажите \"Файл обновления\", после чего выберите нужный файл обновления (по умолчанию 1cv8.cfu).\n8) В окне \"Обновление конфигураций\" нажмите кнопку \"OK\" для продолжения обновления конфигурации.\n9) После завершения будет открыто окно \"Конфигурация\", содержащее конфигурацию с внесенными изменениями. Выполните сохранение конфигурации.\n10) Запустите 1С:Предприятие в режиме \"1С:Предприятие\".\n\nКогда конфигурация \"1С:ERP Управление предприятием 2\" будет обновлена до нужного нам релиза, приступает к обновлению конфигурации \"1С Полиграфия 2 Модуль для 1С ERP\" . Для этого необходимо воспроизвести последовательность действий п.2-10, для конфигурации \"1С Полиграфия 2 Модуль для 1С ERP\" .\n\nВнимание!!!! НЕ ЗАБЫВАЕМ ПРЕДВАРИТЕЛЬНО ОБНОВЛЯТЬ ПЛАТФОРМУ!!! Последние релизы работают с новыми версиями платформы 1с, поэтому просьба читать файл ReadMe.txt в каталоге шаблонов ArmexPoligrafiyaERP2_4_4_124, где указана актуальная версия платформы, необходимая для работы с этой версией конфигурации.\n\nПример:\n\nУ пользователя установлена сборная конфигурация \"1С:ERP Управление предприятием 2\" версии 2.4.2.110 +\"1С Полиграфия 2 Модуль для 1С ERP\" версии 2.4.2.110. Необходимо обновить данную конфигурацию до релиза версии 2.4.4.124.\n1. Делаем Архив базы (меню «Администрирование - Выгрузить информационную базу»).\n2. Смотрим сколько последовательных (Обязательных) релизов обновления нам нужно будет скачать, чтоб потом последовательно данными релизами обновить конфигурацию \"1С:ERP Управление предприятием 2\".\n\nВ нашем примере релизов было пропущено очень много и необходимо скачать версии:\n\n2.4.2.132 ( так как это последняя версии , которая поддерживает обновление с версии2.4.2.110, которая сейчас установлена у нас).\n\n2.4.2.144 ( так как эта версия последняя, которая поддерживает обновление с версии2.4.2.132)\n\n2.4.3.167 (так как эта версия последняя, которая поддерживает обновление с версии2.4.2.144)\n\n2.4.4.124 ( наша версия , на которую нужно обновиться )\n\nЭто самая короткая цепочка обновления и установку остальных релизов между начальным и конечным релизом можно пропустить.\n\n3. Через меню «Конфигурация – Поддержка - Обновить конфигурацию - Выбор файла обновления» указываем путь к нашему файлу .cfu конфигурации поставщика (версия 2.4.2.132 (согласно п.2 ). Файл устанавливается после скачивания в каталог шаблонов 1centerprise202_4_2_132.\n\n4. Соглашаемся на обновление информационной базы.\n\nВнимание!!!\n\nТак как 1С Полиграфия 2 Модуль для 1С ERP для полноценной работы использует типовые документы, справочники, модули и прочее конфигурации \"1С:ERP Управление предприятием 2\" , то есть вероятность при обновлении их затереть. Что бы этого не произошло, необходимо после того как конфигурация \"1С:ERP Управление предприятием 2\" и модуль «1С Полиграфия 2 Модуль для 1С ERP» будут обновлены на последнюю актуальную версию ( в нашем примере это 2.4.4.124), воспользоваться инструкцией Интеграция конфигурации 1С Полиграфия 2 Модуль для 1С ERP.docx ( находится в каталоге шаблона 1С Полиграфия 2 Модуль для 1С ERP (последней версии). И внести изменения вручную ( если требуется) в типовые объекты конфигурации\"1С:ERP Управление предприятием 2\" ( см. инструкцию Интеграция конфигурации 1С Полиграфия 2 Модуль для 1С ERP.docx пункты: 1-2 и с п. 12-до конца инструкции).\n\n5. Открываем базу в режиме предприятия.\n\n6. Соглашаемся на все и ждем выполнения обработки обновления.\n\nВнимание!!!! Не забывайте после каждого обновления конфигурации выполнять запуск информационной базы в режиме \"1С:Предприятие\", т.к. при этом производится реорганизация данных в соответствии с произведенными обновлениями конфигурации, в противном случае возможна повреждение или потеря данных.\n\n7. Далее последовательно обновляем (пункты 3-6 ) для остальных версий ERP.\n\n8. Когда конфигурация \"1С:ERP Управление предприятием 2\" будет обновлена на актуальный релиз 2.4.4.124 приступим к обновлению модуля. Обновление модуля аналогично обновлению конфигурации \"1С:ERP Управление предприятием 2\" , выбирать файлы *.cfu следует из каталога шаблонов ArmexPoligrafiyaERP2_4_4_124.","content_sha256":"8f731309d00df88a336a3f05403a49522ffac5f6d3e7c122d5dc45841927c15e","saved_at":"2026-10-24T22:59:41.544702+03:00","image_refs":[{"url":"https://1cpoly.ru/i/newcont/faq-poly2-obm1.png","local_file":"/Users/maria/Documents/ChatGPT/chatbot/output/faq_1cpoly_prepared_2026-10-25/assets/43b4ca5a70eaf01ca3ca.png"},{"url":"https://1cpoly.ru/i/newcont/faq-poly2-obm2.png","local_file":"/Users/maria/Documents/ChatGPT/chatbot/output/faq_1cpoly_prepared_2026-10-25/assets/faaebe9cdb3a8787a1c6.png"},{"url":"https://1cpoly.ru/i/newcont/faq-poly2-obm3.png","local_file":"/Users/maria/Documents/ChatGPT/chatbot/output/faq_1cpoly_prepared_2026-10-25/assets/a6dea6361af014418987.png"},{"url":"https://1cpoly.ru/i/newcont/faq-poly2-obm4.png","local_file":"/Users/maria/Documents/ChatGPT/chatbot/output/faq_1cpoly_prepared_2026-10-25/assets/f6b85306aa675277e621.png"},{"url":"https://1cpoly.ru/i/newcont/faq-poly2-obm5.png","local_file":"/Users/maria/Documents/ChatGPT/chatbot/output/faq_1cpoly_prepared_2026-10-25/assets/99fcc97147f25bf21af9.png"},{"url":"https://1cpoly.ru/i/newcont/faq-poly2-obm6.png","local_file":"/Users/maria/Documents/ChatGPT/chatbot/output/faq_1cpoly_prepared_2026-10-25/assets/e81435920f2d4dce8b7c.png"},{"url":"https://1cpoly.ru/i/newcont/faq-poly2-obm7.png","local_file":"/Users/maria/Documents/ChatGPT/chatbot/output/faq_1cpoly_prepared_2026-10-25/assets/d5e4d72be32524b7d749.png"},{"url":"https://1cpoly.ru/i/newcont/faq-poly2-obm8.png","local_file":"/Users/maria/Documents/ChatGPT/chatbot/output/faq_1cpoly_prepared_2026-10-25/assets/7ca71bd8e63818e5d544.png"}],"applicability_check":"confirmed_by_consultant","required_facts":["Источник описывает обновление ERP с модулем Полиграфия в два этапа: ERP, затем модуль.","Совместимость версий и порядок объединения брать из инструкции именно для ERP; не применять её автоматически к УНФ."],"approval_basis":"user_confirmed_consultant_approval"}]</x:v>
      </x:c>
      <x:c r="W194" s="6" t="str">
        <x:v>["В содержательном ответе отражены следующие подтверждённые пункты: Источник описывает обновление ERP с модулем Полиграфия в два этапа: ERP, затем модуль. Совместимость версий и порядок объединения брать из инструкции именно для ERP; не применять её автоматически к УНФ.","Приведена релевантная ссылка на FAQ; смысл ответа согласуется с источником, нет неподтверждённых действий и лишнего уточнения."]</x:v>
      </x:c>
      <x:c r="X194" s="6" t="str">
        <x:v>approved</x:v>
      </x:c>
      <x:c r="Y194" s="6" t="str">
        <x:v>Карточка и применимость источников согласованы консультантом; утверждение подтверждено пользователем 25.10.2026.</x:v>
      </x:c>
      <x:c r="Z194" s="6" t="str">
        <x:v>G-0d548c0154a8c3</x:v>
      </x:c>
      <x:c r="AA194" s="6" t="str">
        <x:v>eval</x:v>
      </x:c>
      <x:c r="AB194" s="6" t="str">
        <x:v>official_faq_entry</x:v>
      </x:c>
    </x:row>
    <x:row r="195" ht="115" customHeight="1">
      <x:c r="A195" s="6" t="str">
        <x:v>FAQ-poly2-180</x:v>
      </x:c>
      <x:c r="B195" s="6" t="str">
        <x:v>official_faq_entry:poly2-180</x:v>
      </x:c>
      <x:c r="C195" s="6" t="str">
        <x:v>{"history":[],"user_message":"Можно ли в программе отражать фактическое время выполнения операций и проводить сравнение с их плановым временем выполнения?"}</x:v>
      </x:c>
      <x:c r="D195" s="6" t="str">
        <x:v>{"product":"1С:УНФ 8. Полиграфия 2","version":"3.0.14.140","retrieval_state":"available","handoff_consent":false,"source_faq_id":"poly2-180","group_id":"faq_poly2-180","source_applicability":"confirmed_by_consultant","approval_basis":"user_confirmed_consultant_approval"}</x:v>
      </x:c>
      <x:c r="E195" s="6" t="str">
        <x:v>1С:УНФ 8. Полиграфия 2</x:v>
      </x:c>
      <x:c r="F195" s="6" t="str">
        <x:v>3.0.14.140</x:v>
      </x:c>
      <x:c r="G195" s="6" t="str">
        <x:v>not_reported</x:v>
      </x:c>
      <x:c r="H195" s="6" t="str">
        <x:v>default</x:v>
      </x:c>
      <x:c r="I195" s="6" t="str">
        <x:v>Применимость источников и эталона к 1С:УНФ 8. Полиграфия 2, релиз 3.0.14.140, подтверждена консультантом со слов пользователя.</x:v>
      </x:c>
      <x:c r="J195" s="13" t="str">
        <x:v>0</x:v>
      </x:c>
      <x:c r="K195" s="13" t="str">
        <x:v>5</x:v>
      </x:c>
      <x:c r="L195" s="7" t="b">
        <x:v>0</x:v>
      </x:c>
      <x:c r="M195" s="6" t="str">
        <x:v>not_applicable</x:v>
      </x:c>
      <x:c r="N195" s="6" t="str">
        <x:v>[]</x:v>
      </x:c>
      <x:c r="O195" s="7" t="b">
        <x:v>1</x:v>
      </x:c>
      <x:c r="P195" s="6" t="str">
        <x:v>K2</x:v>
      </x:c>
      <x:c r="Q195" s="6" t="str">
        <x:v>K2: история пуста, вопрос соответствует статье FAQ poly2-180; в утверждённом источнике есть достаточный применимый ответ для 3.0.14.140. Бот отвечает сразу с источником.</x:v>
      </x:c>
      <x:c r="R195" s="6" t="str">
        <x:v>["faq","poly2","documented_answer"]</x:v>
      </x:c>
      <x:c r="S195" s="6" t="str">
        <x:v>answer</x:v>
      </x:c>
      <x:c r="T195" s="6" t="str">
        <x:v>["Фактическое выполнение фиксируется через «Журнал оператора» и «Отражение факта планирования полиграфических заказов».","Для отображения операций выбирается рабочий центр в «Фильтре по оборудованию».","Указать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5"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5" s="6" t="str">
        <x:v>[{"source_file":"/Users/maria/chatbot_rag/knowledge base/faq_articles.jsonl","source_jsonl_line":14,"faq_id":"poly2-180","url":"https://1cpoly.ru/questions/?action=show&amp;id=180","source_locator":".faq-answer","title":"Можно ли в программе отражать фактическое время выполнения операций и проводить сравнение с их плановым временем выполнения?","source_answer":"Да, такая возможность есть. Для этого используется документ «Журнал оператора», в котором сотрудник (исполнитель или начальник определенного участка) отражает состояние оборудования по обработке определенного заказа.\n\nДля отражения факта выполнения запланированных операций на рабочих центрах используется обработка «Отражение факта планирования полиграфических заказов».\n\nЧтобы сформировать список запланированных для выполнения на рабочем центре операции, необходимо в поле «Фильтр по оборудованию» выбрать рабочий центр. Для разделения доступа каждому пользователю можно настроить список доступных для выбора рабочих центров.\n\nВ форме выводится список запланированных заказов и операций со следующими данными:\n\nЗаказ клиенте – ссылка на документ расчета;\n\nПродукция – наименование продукции заказа\n\nОперация заказа – запланированная к выполнению операция;\n\nТираж всего заказа;\n\nИсполнитель – поле для выбора исполнителя операции из справочника «Сотрудники»;\n\nНомер спуска;\n\nТираж операции по плану – запланированный тираж операции;\n\nТираж операции по факту – поле для отметки фактически выполненного объема работ;\n\nОжидается (дата, время), В очереди (дата, время), В работе (дата, время, Отработан (дата, время) – поля отметки даты и времени изменения состояния операции заказа;\n\nСостояние – текущее состояние операции\n\nСтатус – текущий статус заказа.\n\nОдна операция может быть автоматически разбита на несколько, если при планировании оказалось, что длительность операции и график рабочего центра не позволяют выполнить ее в течение одной смены. Пользователь может копированием разбить операцию на несколько, установив для каждой свой тираж, в документе «План производства полиграфии».\n\nВ процессе выполнения операции состояние оборудования может принимать одно из следующих значений:\n\nОжидается – присваивается автоматически при постановке операции в план.\n\nВ очереди – присваивается автоматически при завершении предшествующей операции.\n\nВ работе – устанавливается сотрудником при начале выполнения операции.\n\nОтработан – устанавливается сотрудником при окончании выполнения операции.\n\nЕсли фактический тираж операции отличается от планового, то корректируются данные в поле «Тираж операции по факту». Операции, по которым плановый тираж превышает фактический, автоматически попадают в следующий документ «План производства полиграфии» при его заполнении.\n\nПри отметке об окончании работ по операции (выборе состояния «Отработан») заказ автоматически меняет статус заказа на соответствующий оборудованию следующей операции из списка запланированных по заказу операций.\n\nВ дальнейшем полученные в обработке данные используются в отчетности по выполнению заказов.\n\nО фильтрах обработки Журнал оператора (оперативное планирование).\n\nФункционал обработки и ее практическое применение в первую очередь предназначен для работников производственных подразделений, для которых в первую очередь важна опция отображения операций своего участка и регистрации выполненной работы.\n\nЧто влияет на отображение информации в Журнале оператора и использование фильтров быстрого отбора :\n\n1. Пользователю назначается определенная «Роль пользователя» с набором настроек. По всем закладкам.\n\n2. Далее, использование фильтра «Статусы»\nФильтр срабатывает в том случае если, заказ и выполняемая операция на оборудовании (см. справочник Оборудование) имеют одинаковый статус.\n\n3. Далее, Использование фильтра «Оборудование»\nФильтр работает в соответствии с технологической последовательностью выполнения заказа. Фильтр срабатывает, когда идет выполнение операции на выбранном оборудовании, то есть, например, выполнение заказа имеет 3 последовательные операции (препресс, пресс, постпресс), пока не выполнена операция препресса, при выборе оборудования пресса данного заказа ничего не отобразится.\nСтатус «Расчета заказа» - используется как начальная идентификация заказа + мы рекомендуем именно в этом статусе проводить документы (то есть напротив данного статуса в справочнике статусов должна стоять галочка \"Расчетный статус\". Именно такой статус должен быть свободным, т.е. не выбран ни в одном оборудовании. )\nВсе статусы, не являющиеся свободными, не должны быть расчетными!\nНа примере демо базы посмотрим все операции по Расчету заказа №11.Допечатная подготовка. Операции препресса. В данном случае здесь 2 операции Верстка и Фотовывод на соответственно оборудовании Компьютер Apple Macintosh и Компьютер Intel.\nФильтр по оборудованию сработает (если не установлена «V» Отображать выполненные операции) на Компьютер Intel.","content_sha256":"bbbe1807731e80bc275e0cc03c4aa72d6d6551f4e958398e100ce9585c79cbe3","saved_at":"2026-10-24T22:59:41.544702+03:00","image_refs":[{"url":"https://1cpoly.ru/i/newcont/faq-operator-log-1.png","local_file":"/Users/maria/Documents/ChatGPT/chatbot/output/faq_1cpoly_prepared_2026-10-25/assets/f924605dd9221ab2c108.png"},{"url":"https://1cpoly.ru/i/newcont/faq-operator-log-2.png","local_file":"/Users/maria/Documents/ChatGPT/chatbot/output/faq_1cpoly_prepared_2026-10-25/assets/5c79886e93591f33b156.png"},{"url":"https://1cpoly.ru/i/newcont/faq-operator-log-3.jpg","local_file":"/Users/maria/Documents/ChatGPT/chatbot/output/faq_1cpoly_prepared_2026-10-25/assets/f0b38cafcbdca6cad311.jpg"},{"url":"https://1cpoly.ru/i/newcont/faq-operator-log-4.jpg","local_file":"/Users/maria/Documents/ChatGPT/chatbot/output/faq_1cpoly_prepared_2026-10-25/assets/2022c725a7b8415bc72d.jpg"},{"url":"https://1cpoly.ru/i/newcont/faq-operator-log-5.jpg","local_file":"/Users/maria/Documents/ChatGPT/chatbot/output/faq_1cpoly_prepared_2026-10-25/assets/485dc4e4b854fe689da8.jpg"},{"url":"https://1cpoly.ru/i/newcont/faq-operator-log-6.jpg","local_file":"/Users/maria/Documents/ChatGPT/chatbot/output/faq_1cpoly_prepared_2026-10-25/assets/d608bc13541eb9e8188a.jpg"},{"url":"https://1cpoly.ru/i/newcont/faq-operator-log-7.jpg","local_file":"/Users/maria/Documents/ChatGPT/chatbot/output/faq_1cpoly_prepared_2026-10-25/assets/fbbdd67c16761c399adf.jpg"},{"url":"https://1cpoly.ru/i/newcont/faq-operator-log-8.jpg","local_file":"/Users/maria/Documents/ChatGPT/chatbot/output/faq_1cpoly_prepared_2026-10-25/assets/bf23c30b6c7939f6715e.jpg"}],"applicability_check":"confirmed_by_consultant","required_facts":["Фактическое выполнение фиксируется через «Журнал оператора» и «Отражение факта планирования полиграфических заказов».","Для отображения операций выбирается рабочий центр в «Фильтре по оборудованию»."],"approval_basis":"user_confirmed_consultant_approval"}]</x:v>
      </x:c>
      <x:c r="W195" s="6" t="str">
        <x:v>["В содержательном ответе отражены следующие подтверждённые пункты: Фактическое выполнение фиксируется через «Журнал оператора» и «Отражение факта планирования полиграфических заказов». Для отображения операций выбирается рабочий центр в «Фильтре по оборудованию».","Приведена релевантная ссылка на FAQ; смысл ответа согласуется с источником, нет неподтверждённых действий и лишнего уточнения."]</x:v>
      </x:c>
      <x:c r="X195" s="6" t="str">
        <x:v>approved</x:v>
      </x:c>
      <x:c r="Y195" s="6" t="str">
        <x:v>Карточка и применимость источников согласованы консультантом; утверждение подтверждено пользователем 25.10.2026.</x:v>
      </x:c>
      <x:c r="Z195" s="6" t="str">
        <x:v>G-e334e962e1e7c8</x:v>
      </x:c>
      <x:c r="AA195" s="6" t="str">
        <x:v>eval</x:v>
      </x:c>
      <x:c r="AB195" s="6" t="str">
        <x:v>official_faq_entry</x:v>
      </x:c>
    </x:row>
    <x:row r="196" ht="115" customHeight="1">
      <x:c r="A196" s="6" t="str">
        <x:v>FAQ-poly2-175</x:v>
      </x:c>
      <x:c r="B196" s="6" t="str">
        <x:v>official_faq_entry:poly2-175</x:v>
      </x:c>
      <x:c r="C196" s="6" t="str">
        <x:v>{"history":[],"user_message":"Можно ли организовать в 1с ведение регламентированного и управленческого учета раздельно?"}</x:v>
      </x:c>
      <x:c r="D196" s="6" t="str">
        <x:v>{"product":"1С:УНФ 8. Полиграфия 2","version":"3.0.14.140","retrieval_state":"available","handoff_consent":false,"source_faq_id":"poly2-175","group_id":"faq_poly2-175","source_applicability":"confirmed_by_consultant","source_product":"1С:ERP / модуль Полиграфия для ERP","approval_basis":"user_confirmed_consultant_approval"}</x:v>
      </x:c>
      <x:c r="E196" s="6" t="str">
        <x:v>1С:УНФ 8. Полиграфия 2</x:v>
      </x:c>
      <x:c r="F196" s="6" t="str">
        <x:v>3.0.14.140</x:v>
      </x:c>
      <x:c r="G196" s="6" t="str">
        <x:v>not_reported</x:v>
      </x:c>
      <x:c r="H196" s="6" t="str">
        <x:v>default</x:v>
      </x:c>
      <x:c r="I196" s="6" t="str">
        <x:v>Применимость источников и эталона к 1С:УНФ 8. Полиграфия 2, релиз 3.0.14.140, подтверждена консультантом со слов пользователя.</x:v>
      </x:c>
      <x:c r="J196" s="13" t="str">
        <x:v>0</x:v>
      </x:c>
      <x:c r="K196" s="13" t="str">
        <x:v>5</x:v>
      </x:c>
      <x:c r="L196" s="7" t="b">
        <x:v>0</x:v>
      </x:c>
      <x:c r="M196" s="6" t="str">
        <x:v>not_applicable</x:v>
      </x:c>
      <x:c r="N196" s="6" t="str">
        <x:v>[]</x:v>
      </x:c>
      <x:c r="O196" s="7" t="b">
        <x:v>1</x:v>
      </x:c>
      <x:c r="P196" s="6" t="str">
        <x:v>K2</x:v>
      </x:c>
      <x:c r="Q196" s="6" t="str">
        <x:v>K2: история пуста, вопрос соответствует статье FAQ poly2-175; в утверждённом источнике есть достаточный применимый ответ для 3.0.14.140. Бот отвечает сразу с источником.</x:v>
      </x:c>
      <x:c r="R196" s="6" t="str">
        <x:v>["faq","poly2","documented_answer"]</x:v>
      </x:c>
      <x:c r="S196" s="6" t="str">
        <x:v>answer</x:v>
      </x:c>
      <x:c r="T196" s="6" t="str">
        <x:v>["Первая часть FAQ описывает раздельные операции управленческого и регламентированного учёта именно в ERP.","Для раздельных баз рассматривается типовая синхронизация с «1С:Бухгалтерия предприятия», ред. 3.0; применимость к УНФ 3.0.14.140 подтверждена консультантом.","Указать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6"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6" s="6" t="str">
        <x:v>[{"source_file":"/Users/maria/chatbot_rag/knowledge base/faq_articles.jsonl","source_jsonl_line":15,"faq_id":"poly2-175","url":"https://1cpoly.ru/questions/?action=show&amp;id=175","source_locator":".faq-answer","title":"Можно ли организовать в 1с ведение регламентированного и управленческого учета раздельно?","source_answer":"В качестве ведения раздельного учета в 1С ERP, рекомендуем использовать функционал раздельных операций закупок и продаж для регламентированного и управленческого учета:\n\nПри установке данной галки, в программе появляется «Управленческая организация»:\n\nПосле чего можно отражать документы по управленческой организации, а в документах появится возможность отражения документов только по регламентированному Учету:\n\nДля учета регламентированной и управленческой отчетности в раздельных базах, рекомендуем использовать типовой функционал синхронизации с 1С Бухгалтерия предприятия, ред. 3.0:\n\nВ настройках синхронизации можно указать, данные по каким организациям отправлять в базу «1С Бухгалтерии предприятия»:","content_sha256":"eb62d2b1d4ed182e34da07ecddc6715a0c091fa9d524f4370539d53d8f8612a0","saved_at":"2026-10-24T22:59:41.544702+03:00","image_refs":[{"url":"https://1cpoly.ru/i/newcont/faq-ex3-1.jpg","local_file":"/Users/maria/Documents/ChatGPT/chatbot/output/faq_1cpoly_prepared_2026-10-25/assets/d783ff0eaf7f454ab99f.jpg"},{"url":"https://1cpoly.ru/i/newcont/faq-ex3-2.jpg","local_file":"/Users/maria/Documents/ChatGPT/chatbot/output/faq_1cpoly_prepared_2026-10-25/assets/fbf5ab895e3f15994b9d.jpg"},{"url":"https://1cpoly.ru/i/newcont/faq-ex3-3.jpg","local_file":"/Users/maria/Documents/ChatGPT/chatbot/output/faq_1cpoly_prepared_2026-10-25/assets/c5e8b833a327d165fa92.jpg"},{"url":"https://1cpoly.ru/i/newcont/faq-ex3-4.jpg","local_file":"/Users/maria/Documents/ChatGPT/chatbot/output/faq_1cpoly_prepared_2026-10-25/assets/747c67ff48a86cbd357c.jpg"},{"url":"https://1cpoly.ru/i/newcont/faq-ex3-5.jpg","local_file":"/Users/maria/Documents/ChatGPT/chatbot/output/faq_1cpoly_prepared_2026-10-25/assets/9ee5856aad20aa2b76a6.jpg"},{"url":"https://1cpoly.ru/i/newcont/faq-ex3-6.jpg","local_file":"/Users/maria/Documents/ChatGPT/chatbot/output/faq_1cpoly_prepared_2026-10-25/assets/fce48f24aaee8b40755a.jpg"}],"applicability_check":"confirmed_by_consultant","required_facts":["Первая часть FAQ описывает раздельные операции управленческого и регламентированного учёта именно в ERP.","Для раздельных баз рассматривается типовая синхронизация с «1С:Бухгалтерия предприятия», ред. 3.0; применимость к УНФ 3.0.14.140 подтверждена консультантом."],"approval_basis":"user_confirmed_consultant_approval"}]</x:v>
      </x:c>
      <x:c r="W196" s="6" t="str">
        <x:v>["В содержательном ответе отражены следующие подтверждённые пункты: Первая часть FAQ описывает раздельные операции управленческого и регламентированного учёта именно в ERP. Для раздельных баз рассматривается типовая синхронизация с «1С:Бухгалтерия предприятия», ред. 3.0; применимость к УНФ 3.0.14.140 подтверждена консультантом.","Приведена релевантная ссылка на FAQ; смысл ответа согласуется с источником, нет неподтверждённых действий и лишнего уточнения."]</x:v>
      </x:c>
      <x:c r="X196" s="6" t="str">
        <x:v>approved</x:v>
      </x:c>
      <x:c r="Y196" s="6" t="str">
        <x:v>Карточка и применимость источников согласованы консультантом; утверждение подтверждено пользователем 25.10.2026.</x:v>
      </x:c>
      <x:c r="Z196" s="6" t="str">
        <x:v>G-ea4243843e6ef7</x:v>
      </x:c>
      <x:c r="AA196" s="6" t="str">
        <x:v>eval</x:v>
      </x:c>
      <x:c r="AB196" s="6" t="str">
        <x:v>official_faq_entry</x:v>
      </x:c>
    </x:row>
    <x:row r="197" ht="115" customHeight="1">
      <x:c r="A197" s="6" t="str">
        <x:v>FAQ-poly2-169</x:v>
      </x:c>
      <x:c r="B197" s="6" t="str">
        <x:v>official_faq_entry:poly2-169</x:v>
      </x:c>
      <x:c r="C197" s="6" t="str">
        <x:v>{"history":[],"user_message":"Как установить программу на OS X ?"}</x:v>
      </x:c>
      <x:c r="D197" s="6" t="str">
        <x:v>{"product":"1С:УНФ 8. Полиграфия 2","version":"3.0.14.140","retrieval_state":"available","handoff_consent":false,"source_faq_id":"poly2-169","group_id":"faq_poly2-169","source_applicability":"confirmed_by_consultant","approval_basis":"user_confirmed_consultant_approval"}</x:v>
      </x:c>
      <x:c r="E197" s="6" t="str">
        <x:v>1С:УНФ 8. Полиграфия 2</x:v>
      </x:c>
      <x:c r="F197" s="6" t="str">
        <x:v>3.0.14.140</x:v>
      </x:c>
      <x:c r="G197" s="6" t="str">
        <x:v>not_reported</x:v>
      </x:c>
      <x:c r="H197" s="6" t="str">
        <x:v>default</x:v>
      </x:c>
      <x:c r="I197" s="6" t="str">
        <x:v>Применимость источников и эталона к 1С:УНФ 8. Полиграфия 2, релиз 3.0.14.140, подтверждена консультантом со слов пользователя.</x:v>
      </x:c>
      <x:c r="J197" s="13" t="str">
        <x:v>0</x:v>
      </x:c>
      <x:c r="K197" s="13" t="str">
        <x:v>5</x:v>
      </x:c>
      <x:c r="L197" s="7" t="b">
        <x:v>0</x:v>
      </x:c>
      <x:c r="M197" s="6" t="str">
        <x:v>not_applicable</x:v>
      </x:c>
      <x:c r="N197" s="6" t="str">
        <x:v>[]</x:v>
      </x:c>
      <x:c r="O197" s="7" t="b">
        <x:v>1</x:v>
      </x:c>
      <x:c r="P197" s="6" t="str">
        <x:v>K2</x:v>
      </x:c>
      <x:c r="Q197" s="6" t="str">
        <x:v>K2: история пуста, вопрос соответствует статье FAQ poly2-169; в утверждённом источнике есть достаточный применимый ответ для 3.0.14.140. Бот отвечает сразу с источником.</x:v>
      </x:c>
      <x:c r="R197" s="6" t="str">
        <x:v>["faq","poly2","documented_answer"]</x:v>
      </x:c>
      <x:c r="S197" s="6" t="str">
        <x:v>answer</x:v>
      </x:c>
      <x:c r="T197" s="6" t="str">
        <x:v>["Источник указывает установку клиента 1С:Предприятия для OS X с официального портала.","Порядок лицензирования различается для программного и аппаратного ключа; применимость шагов установки и драйверов подтверждена консультантом.","Указать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7"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7" s="6" t="str">
        <x:v>[{"source_file":"/Users/maria/chatbot_rag/knowledge base/faq_articles.jsonl","source_jsonl_line":17,"faq_id":"poly2-169","url":"https://1cpoly.ru/questions/?action=show&amp;id=169","source_locator":".faq-answer","title":"Как установить программу на OS X ?","source_answer":"На портале 1с https://releases.1c.ru/project/Platform83\n\n(Или на диске ИТС - clientosx.dmg) вам нужно скачать дистрибутив Клиент 1С:Предприятия для OS X\n\nПри начале установки может быть ошибка\n\nРазрешаем установку сторонних программ.\n\nЗапускаем и все по умолчанию\n\nНаименование базы и путь к каталогу.\n\nНаименование базы и путь к каталогу. Если программный ключ , то аналогично как и в windows получаем лицензию.\nЕсли аппаратный и есть usb разъем, то скачиваем и устанавливаем драйвер.\nНа сайт производителя https://safenet-sentinel.ru/helpdesk/download-space/\n\nВставляем ключ и работаем.","content_sha256":"73723bad4c3db861dc26391d37a6b8ad4fb436bd505ce024a797ece0783d1ea3","saved_at":"2026-10-24T22:59:41.544702+03:00","image_refs":[{"url":"https://1cpoly.ru/i/newcont/faq-mac-1.png","local_file":"/Users/maria/Documents/ChatGPT/chatbot/output/faq_1cpoly_prepared_2026-10-25/assets/502448fa62dea32aadc4.png"},{"url":"https://1cpoly.ru/i/newcont/faq-mac-2.png","local_file":"/Users/maria/Documents/ChatGPT/chatbot/output/faq_1cpoly_prepared_2026-10-25/assets/fb54c33c647865f6b01f.png"},{"url":"https://1cpoly.ru/i/newcont/faq-mac-3.png","local_file":"/Users/maria/Documents/ChatGPT/chatbot/output/faq_1cpoly_prepared_2026-10-25/assets/50d97cb67ea6b41b6121.png"},{"url":"https://1cpoly.ru/i/newcont/faq-mac-4.png","local_file":"/Users/maria/Documents/ChatGPT/chatbot/output/faq_1cpoly_prepared_2026-10-25/assets/f5e1762f42fad5019613.png"},{"url":"https://1cpoly.ru/i/newcont/faq-mac-5.png","local_file":"/Users/maria/Documents/ChatGPT/chatbot/output/faq_1cpoly_prepared_2026-10-25/assets/cc3c14f67cef4cb098bd.png"},{"url":"https://1cpoly.ru/i/newcont/faq-mac-6.png","local_file":"/Users/maria/Documents/ChatGPT/chatbot/output/faq_1cpoly_prepared_2026-10-25/assets/04e15a34dcf646de4bc5.png"},{"url":"https://1cpoly.ru/i/newcont/faq-mac-7.png","local_file":"/Users/maria/Documents/ChatGPT/chatbot/output/faq_1cpoly_prepared_2026-10-25/assets/ebefc9c9223c1c003d3f.png"},{"url":"https://1cpoly.ru/i/newcont/faq-mac-8.png","local_file":"/Users/maria/Documents/ChatGPT/chatbot/output/faq_1cpoly_prepared_2026-10-25/assets/c4e90c553a3db4f0fbd3.png"},{"url":"https://1cpoly.ru/i/newcont/faq-mac-9.png","local_file":"/Users/maria/Documents/ChatGPT/chatbot/output/faq_1cpoly_prepared_2026-10-25/assets/df71d178e7adf9a5bc3a.png"},{"url":"https://1cpoly.ru/i/newcont/faq-mac-10.png","local_file":"/Users/maria/Documents/ChatGPT/chatbot/output/faq_1cpoly_prepared_2026-10-25/assets/e38edc98fb4af9c6d1a5.png"},{"url":"https://1cpoly.ru/i/newcont/faq-mac-11.png","local_file":"/Users/maria/Documents/ChatGPT/chatbot/output/faq_1cpoly_prepared_2026-10-25/assets/e9174546f85df67723e1.png"},{"url":"https://1cpoly.ru/i/newcont/faq-mac-12.png","local_file":"/Users/maria/Documents/ChatGPT/chatbot/output/faq_1cpoly_prepared_2026-10-25/assets/8c8a4a4c3e7886139303.png"},{"url":"https://1cpoly.ru/i/newcont/faq-mac-14.png","local_file":"/Users/maria/Documents/ChatGPT/chatbot/output/faq_1cpoly_prepared_2026-10-25/assets/f0ef94c884a184375eeb.png"},{"url":"https://1cpoly.ru/i/newcont/faq-mac-15.png","local_file":"/Users/maria/Documents/ChatGPT/chatbot/output/faq_1cpoly_prepared_2026-10-25/assets/d9639c897297e8a84408.png"},{"url":"https://1cpoly.ru/i/newcont/faq-mac-16.png","local_file":"/Users/maria/Documents/ChatGPT/chatbot/output/faq_1cpoly_prepared_2026-10-25/assets/d5a4ac4dc7f221055bf1.png"},{"url":"https://1cpoly.ru/i/newcont/faq-mac-17.png","local_file":"/Users/maria/Documents/ChatGPT/chatbot/output/faq_1cpoly_prepared_2026-10-25/assets/762d803cf2581d4fb3d6.png"}],"applicability_check":"confirmed_by_consultant","required_facts":["Источник указывает установку клиента 1С:Предприятия для OS X с официального портала.","Порядок лицензирования различается для программного и аппаратного ключа; применимость шагов установки и драйверов подтверждена консультантом."],"approval_basis":"user_confirmed_consultant_approval"}]</x:v>
      </x:c>
      <x:c r="W197" s="6" t="str">
        <x:v>["В содержательном ответе отражены следующие подтверждённые пункты: Источник указывает установку клиента 1С:Предприятия для OS X с официального портала. Порядок лицензирования различается для программного и аппаратного ключа; применимость шагов установки и драйверов подтверждена консультантом.","Приведена релевантная ссылка на FAQ; смысл ответа согласуется с источником, нет неподтверждённых действий и лишнего уточнения."]</x:v>
      </x:c>
      <x:c r="X197" s="6" t="str">
        <x:v>approved</x:v>
      </x:c>
      <x:c r="Y197" s="6" t="str">
        <x:v>Карточка и применимость источников согласованы консультантом; утверждение подтверждено пользователем 25.10.2026.</x:v>
      </x:c>
      <x:c r="Z197" s="6" t="str">
        <x:v>G-6d12113693d6af</x:v>
      </x:c>
      <x:c r="AA197" s="6" t="str">
        <x:v>eval</x:v>
      </x:c>
      <x:c r="AB197" s="6" t="str">
        <x:v>official_faq_entry</x:v>
      </x:c>
    </x:row>
    <x:row r="198" ht="115" customHeight="1">
      <x:c r="A198" s="6" t="str">
        <x:v>FAQ-poly2-214</x:v>
      </x:c>
      <x:c r="B198" s="6" t="str">
        <x:v>official_faq_entry:poly2-214</x:v>
      </x:c>
      <x:c r="C198" s="6" t="str">
        <x:v>{"history":[],"user_message":"Как реализована возможность работы с полуфабрикатами в программном продукте 1С:Полиграфия 2 ?"}</x:v>
      </x:c>
      <x:c r="D198" s="6" t="str">
        <x:v>{"product":"1С:УНФ 8. Полиграфия 2","version":"3.0.14.140","retrieval_state":"available","handoff_consent":false,"source_faq_id":"poly2-214","group_id":"faq_poly2-214","source_applicability":"confirmed_by_consultant","approval_basis":"user_confirmed_consultant_approval"}</x:v>
      </x:c>
      <x:c r="E198" s="6" t="str">
        <x:v>1С:УНФ 8. Полиграфия 2</x:v>
      </x:c>
      <x:c r="F198" s="6" t="str">
        <x:v>3.0.14.140</x:v>
      </x:c>
      <x:c r="G198" s="6" t="str">
        <x:v>not_reported</x:v>
      </x:c>
      <x:c r="H198" s="6" t="str">
        <x:v>default</x:v>
      </x:c>
      <x:c r="I198" s="6" t="str">
        <x:v>Применимость источников и эталона к 1С:УНФ 8. Полиграфия 2, релиз 3.0.14.140, подтверждена консультантом со слов пользователя.</x:v>
      </x:c>
      <x:c r="J198" s="13" t="str">
        <x:v>0</x:v>
      </x:c>
      <x:c r="K198" s="13" t="str">
        <x:v>5</x:v>
      </x:c>
      <x:c r="L198" s="7" t="b">
        <x:v>0</x:v>
      </x:c>
      <x:c r="M198" s="6" t="str">
        <x:v>not_applicable</x:v>
      </x:c>
      <x:c r="N198" s="6" t="str">
        <x:v>[]</x:v>
      </x:c>
      <x:c r="O198" s="7" t="b">
        <x:v>1</x:v>
      </x:c>
      <x:c r="P198" s="6" t="str">
        <x:v>K2</x:v>
      </x:c>
      <x:c r="Q198" s="6" t="str">
        <x:v>K2: история пуста, вопрос соответствует статье FAQ poly2-214; в утверждённом источнике есть достаточный применимый ответ для 3.0.14.140. Бот отвечает сразу с источником.</x:v>
      </x:c>
      <x:c r="R198" s="6" t="str">
        <x:v>["faq","poly2","documented_answer"]</x:v>
      </x:c>
      <x:c r="S198" s="6" t="str">
        <x:v>answer</x:v>
      </x:c>
      <x:c r="T198" s="6" t="str">
        <x:v>["Для соответствующих операций включается «Учёт выпуска полуфабриката» на вкладке «Доп. параметры».","Полуфабрикаты связываются с операциями через документ «Полуфабрикаты к операциям».","Указать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8"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8" s="6" t="str">
        <x:v>[{"source_file":"/Users/maria/chatbot_rag/knowledge base/faq_articles.jsonl","source_jsonl_line":19,"faq_id":"poly2-214","url":"https://1cpoly.ru/questions/?action=show&amp;id=214","source_locator":".faq-answer","title":"Как реализована возможность работы с полуфабрикатами в программном продукте 1С:Полиграфия 2 ?","source_answer":"Рассмотрим как реализована возможность работы с полуфабрикатами в программном продукте 1С:Полиграфия 2 на примере расчета флексопечати.\n\nСоздадим 2 полуфабриката: полуфабрикат печати и полуфабрикат ламинации.\n\nТеперь определим для операций «Флексопечать (полуфабрикат)» и «Ламинация (полуфабрикат)» полуфабрикаты печати и ламинации. Для этого в справочнике «Операции» у операций «Флексопечать (полуфабрикат)» и «Ламинация (полуфабрикат)» на закладке «Доп. параметры» устанавливаем реквизит «Учет выпуска полуфабриката» в значение ИСТИНА.\n\nЭтот реквизит позволяет для данных операций вводить полуфабрикаты в документе \"Полуфабрикаты к операциям\". Далее необходимо создать два документа «Полуфабрикаты к операциям» на операцию «Флексопечать (полуфабрикат)» и «Ламинация (полуфабрикат)». В табличной части «Полуфабрикаты» указывается полуфабрикат операции, продукция и склад (или подразделение), на который будет оформляться поступление полуфабриката. Для документов \"Расчет флексопечати\" в качестве продукции указывается \"Вид изделия\". Данные документа используются для учета выпуска полуфабрикатов при выполнении операции в обработках \"Журнал оператора\" и \"Отражение факта (оперативное планирование)\".\n\nИзменим нормы по расходу материала для операции «Ламинация (полуфабрикат)», укажем в качестве расхода полуфабрикат печати, так как при выполнении данной операции будет расходоваться этот полуфабрикат. Расхода количества полуфабриката печати будет равен расходу печатного материала заказа с учетом потерь на приладку и брак пресса и постпресса.\n\nСоздадим расчет флексопечати на этикетку (печенье) с использованием полуфабрикатов и передадим его в работу.\n\nОткрываем обработку \"Журнал оператора\" и отмечаем последовательное выполнение операций данного заказа.\n\nКогда печатник отметит выполнение операции «Флексопечать (полуфабрикат)», можно автоматически зафиксировать производство полуфабриката «полуфабрикат печати» в производственном подразделении «Печатный цех». Для этого в обработках \"Журнал оператора\" и \"Отражение факта (оперативное планирование)\" можно нажать на кнопку «Оформить выпуск полуфабрикатов» в подменю «Документы». Автоматически будет сформирован документ \"Производство\".\n\nПри формировании документа по выпуску полуфабрикатов, программа анализирует все выполненные, за указанный период операции (все операции в состоянии \"Отработан\"), находит актуальный перечень полуфабрикатов к данным операциям (документ \"Полуфабрикаты к операциям\") и анализирует количество уже выпущенных ранее полуфабрикатов к данным операциям на складе или в подразделении (проведенные ранее документы \"Производство\"). Материалы на выполнение данной операции автоматически заполняются данными фактического расхода, указанного при выполнении операций в поле «Количество по факту». В нашем примере для производства полуфабриката печати, после выполнения операции «Флексопечать (полуфабрикат)», фиксируется расход материала ОПП - ориентированный полипропилен, 35, 443 в количестве 26180 пог.м и материала Leine Silk, 22, 870 в количестве 52360 пог.м.\n\nПосле выполнения операции «Ламинация (полуфабрикат)», также фиксируем выпуск полуфабриката. В расходе материала к данной операции автоматически подтягивается полуфабрикат печати.\n\nВыпуск полуфабрикатов не обязательно фиксировать после выполнения каждой операции, при выполнении которой образуется полуфабрикат. Можно зафиксировать выпуск полуфабрикатов и один раз, например в конце смены. Проанализировать все движения полуфабрикатов можно в отчете «Расширенный анализ себестоимости выпуска полиграфии».","content_sha256":"b2fa46b30a8e3132d14c9c1423f99ba7d6045ba61a5a84fc076a83efc2bd404e","saved_at":"2026-10-24T22:59:41.544702+03:00","image_refs":[{"url":"https://1cpoly.ru/i/newcont/ga-poly2-21.png","local_file":"/Users/maria/Documents/ChatGPT/chatbot/output/faq_1cpoly_prepared_2026-10-25/assets/e760b6bb2cb258d22756.png"},{"url":"https://1cpoly.ru/i/newcont/ga-poly2-22.png","local_file":"/Users/maria/Documents/ChatGPT/chatbot/output/faq_1cpoly_prepared_2026-10-25/assets/93bd508dff826d113e24.png"},{"url":"https://1cpoly.ru/i/newcont/ga-poly2-23.png","local_file":"/Users/maria/Documents/ChatGPT/chatbot/output/faq_1cpoly_prepared_2026-10-25/assets/16a3846f6227427fc101.png"},{"url":"https://1cpoly.ru/i/newcont/ga-poly2-24.png","local_file":"/Users/maria/Documents/ChatGPT/chatbot/output/faq_1cpoly_prepared_2026-10-25/assets/89b90abd36b9dde46fdd.png"},{"url":"https://1cpoly.ru/i/newcont/ga-poly2-25.png","local_file":"/Users/maria/Documents/ChatGPT/chatbot/output/faq_1cpoly_prepared_2026-10-25/assets/2c62adbde02934e06582.png"},{"url":"https://1cpoly.ru/i/newcont/ga-poly2-26.png","local_file":"/Users/maria/Documents/ChatGPT/chatbot/output/faq_1cpoly_prepared_2026-10-25/assets/19f082c8d00825f1648f.png"},{"url":"https://1cpoly.ru/i/newcont/ga-poly2-27.png","local_file":"/Users/maria/Documents/ChatGPT/chatbot/output/faq_1cpoly_prepared_2026-10-25/assets/984c754681efbd07c21c.png"},{"url":"https://1cpoly.ru/i/newcont/ga-poly2-28.png","local_file":"/Users/maria/Documents/ChatGPT/chatbot/output/faq_1cpoly_prepared_2026-10-25/assets/ea555c0cbd00a4c57e22.png"},{"url":"https://1cpoly.ru/i/newcont/ga-poly2-29.png","local_file":"/Users/maria/Documents/ChatGPT/chatbot/output/faq_1cpoly_prepared_2026-10-25/assets/a1db53ed659f4c23623e.png"},{"url":"https://1cpoly.ru/i/newcont/ga-poly2-30.png","local_file":"/Users/maria/Documents/ChatGPT/chatbot/output/faq_1cpoly_prepared_2026-10-25/assets/8ea7f48fe73594a20947.png"},{"url":"https://1cpoly.ru/i/newcont/ga-poly2-31.png","local_file":"/Users/maria/Documents/ChatGPT/chatbot/output/faq_1cpoly_prepared_2026-10-25/assets/a8799c2ee17030360ac3.png"},{"url":"https://1cpoly.ru/i/newcont/ga-poly2-32.png","local_file":"/Users/maria/Documents/ChatGPT/chatbot/output/faq_1cpoly_prepared_2026-10-25/assets/8056c5b41ddf71db38b9.png"},{"url":"https://1cpoly.ru/i/newcont/ga-poly2-34.png","local_file":"/Users/maria/Documents/ChatGPT/chatbot/output/faq_1cpoly_prepared_2026-10-25/assets/c1e5c67c9ebdcf706d90.png"}],"applicability_check":"confirmed_by_consultant","required_facts":["Для соответствующих операций включается «Учёт выпуска полуфабриката» на вкладке «Доп. параметры».","Полуфабрикаты связываются с операциями через документ «Полуфабрикаты к операциям»."],"approval_basis":"user_confirmed_consultant_approval"}]</x:v>
      </x:c>
      <x:c r="W198" s="6" t="str">
        <x:v>["В содержательном ответе отражены следующие подтверждённые пункты: Для соответствующих операций включается «Учёт выпуска полуфабриката» на вкладке «Доп. параметры». Полуфабрикаты связываются с операциями через документ «Полуфабрикаты к операциям».","Приведена релевантная ссылка на FAQ; смысл ответа согласуется с источником, нет неподтверждённых действий и лишнего уточнения."]</x:v>
      </x:c>
      <x:c r="X198" s="6" t="str">
        <x:v>approved</x:v>
      </x:c>
      <x:c r="Y198" s="6" t="str">
        <x:v>Карточка и применимость источников согласованы консультантом; утверждение подтверждено пользователем 25.10.2026.</x:v>
      </x:c>
      <x:c r="Z198" s="6" t="str">
        <x:v>G-7510b7edfff7c4</x:v>
      </x:c>
      <x:c r="AA198" s="6" t="str">
        <x:v>eval</x:v>
      </x:c>
      <x:c r="AB198" s="6" t="str">
        <x:v>official_faq_entry</x:v>
      </x:c>
    </x:row>
    <x:row r="199" ht="115" customHeight="1">
      <x:c r="A199" s="6" t="str">
        <x:v>FAQ-poly2-216</x:v>
      </x:c>
      <x:c r="B199" s="6" t="str">
        <x:v>official_faq_entry:poly2-216</x:v>
      </x:c>
      <x:c r="C199" s="6" t="str">
        <x:v>{"history":[],"user_message":"Как правильно в программе организовать загрузку оборудования с одинаковым функционалом (одинакового типа), которые могут одновременно выполнять разные заказы?"}</x:v>
      </x:c>
      <x:c r="D199" s="6" t="str">
        <x:v>{"product":"1С:УНФ 8. Полиграфия 2","version":"3.0.14.140","retrieval_state":"available","handoff_consent":false,"source_faq_id":"poly2-216","group_id":"faq_poly2-216","source_applicability":"confirmed_by_consultant","approval_basis":"user_confirmed_consultant_approval"}</x:v>
      </x:c>
      <x:c r="E199" s="6" t="str">
        <x:v>1С:УНФ 8. Полиграфия 2</x:v>
      </x:c>
      <x:c r="F199" s="6" t="str">
        <x:v>3.0.14.140</x:v>
      </x:c>
      <x:c r="G199" s="6" t="str">
        <x:v>not_reported</x:v>
      </x:c>
      <x:c r="H199" s="6" t="str">
        <x:v>default</x:v>
      </x:c>
      <x:c r="I199" s="6" t="str">
        <x:v>Применимость источников и эталона к 1С:УНФ 8. Полиграфия 2, релиз 3.0.14.140, подтверждена консультантом со слов пользователя.</x:v>
      </x:c>
      <x:c r="J199" s="13" t="str">
        <x:v>0</x:v>
      </x:c>
      <x:c r="K199" s="13" t="str">
        <x:v>5</x:v>
      </x:c>
      <x:c r="L199" s="7" t="b">
        <x:v>0</x:v>
      </x:c>
      <x:c r="M199" s="6" t="str">
        <x:v>not_applicable</x:v>
      </x:c>
      <x:c r="N199" s="6" t="str">
        <x:v>[]</x:v>
      </x:c>
      <x:c r="O199" s="7" t="b">
        <x:v>1</x:v>
      </x:c>
      <x:c r="P199" s="6" t="str">
        <x:v>K2</x:v>
      </x:c>
      <x:c r="Q199" s="6" t="str">
        <x:v>K2: история пуста, вопрос соответствует статье FAQ poly2-216; в утверждённом источнике есть достаточный применимый ответ для 3.0.14.140. Бот отвечает сразу с источником.</x:v>
      </x:c>
      <x:c r="R199" s="6" t="str">
        <x:v>["faq","poly2","documented_answer"]</x:v>
      </x:c>
      <x:c r="S199" s="6" t="str">
        <x:v>answer</x:v>
      </x:c>
      <x:c r="T199" s="6" t="str">
        <x:v>["Взаимозаменяемые рабочие центры объединяются видом ресурсов предприятия.","В плане производства планирование распределяет операции между рабочими центрами общего вида.","Указать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9"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9" s="6" t="str">
        <x:v>[{"source_file":"/Users/maria/chatbot_rag/knowledge base/faq_articles.jsonl","source_jsonl_line":21,"faq_id":"poly2-216","url":"https://1cpoly.ru/questions/?action=show&amp;id=216","source_locator":".faq-answer","title":"Как правильно в программе организовать загрузку оборудования с одинаковым функционалом (одинакового типа), которые могут одновременно выполнять разные заказы?","source_answer":"В справочнике «Оборудование» существует возможность указывать в качестве рабочего центра справочник «Виды ресурсов предприятия», который объединяет в себе рабочие центры с одинаковым (взаимозаменяемым) функционалом.\n\nСоздадим общий вид «HP Indigo» для рабочих центров «HP Indigo 10000r» и «HP Indigo 12000».\n\nТеперь назначим этот вид печатному оборудования «HP Indigo 10000r».\n\nСоздадим два заказа на печать плакатов цифровым способом на оборудовании HP Indigo 10000r, для которого указан вид взаимозаменяемых ресурсов «HP Indigo». И отправим эти заказы в план.\n\nВ документе «План производства полиграфии», при нажатии на кнопку «Выполнить планирование», программа автоматически распределит выполнение печатной операции «Цифровая печать» между рабочими центрами «HP Indigo 10000r» и «HP Indigo 12000», которые объедены общим видом «HP Indigo».\n\nТаким образом в программе, осуществляется параллельное автоматическое распределение выполнения одинаковых операций разных заказов между взаимозаменяемыми рабочими центрами. Данная возможность сокращает время простоев рабочих центров, оптимизирует их загрузку и способствует увеличению скорости выполнения заказов на предприятии.","content_sha256":"e84eacf8b7a5b53966079e570ca0aceda0125f6a60c3afc2e992cc3735bb6dba","saved_at":"2026-10-24T22:59:41.544702+03:00","image_refs":[{"url":"https://1cpoly.ru/i/newcont/load-eq1.png","local_file":"/Users/maria/Documents/ChatGPT/chatbot/output/faq_1cpoly_prepared_2026-10-25/assets/dc35b6af1bbf9a542490.png"},{"url":"https://1cpoly.ru/i/newcont/load-eq2.png","local_file":"/Users/maria/Documents/ChatGPT/chatbot/output/faq_1cpoly_prepared_2026-10-25/assets/2c2eabdc1f7ef3d3552e.png"},{"url":"https://1cpoly.ru/i/newcont/load-eq3.png","local_file":"/Users/maria/Documents/ChatGPT/chatbot/output/faq_1cpoly_prepared_2026-10-25/assets/a6da624dd03c979ae2a5.png"},{"url":"https://1cpoly.ru/i/newcont/load-eq4.png","local_file":"/Users/maria/Documents/ChatGPT/chatbot/output/faq_1cpoly_prepared_2026-10-25/assets/321ce8af6e7fc28cd55e.png"},{"url":"https://1cpoly.ru/i/newcont/load-eq5.png","local_file":"/Users/maria/Documents/ChatGPT/chatbot/output/faq_1cpoly_prepared_2026-10-25/assets/9744cd421e7fb491e1a2.png"}],"applicability_check":"confirmed_by_consultant","required_facts":["Взаимозаменяемые рабочие центры объединяются видом ресурсов предприятия.","В плане производства планирование распределяет операции между рабочими центрами общего вида."],"approval_basis":"user_confirmed_consultant_approval"}]</x:v>
      </x:c>
      <x:c r="W199" s="6" t="str">
        <x:v>["В содержательном ответе отражены следующие подтверждённые пункты: Взаимозаменяемые рабочие центры объединяются видом ресурсов предприятия. В плане производства планирование распределяет операции между рабочими центрами общего вида.","Приведена релевантная ссылка на FAQ; смысл ответа согласуется с источником, нет неподтверждённых действий и лишнего уточнения."]</x:v>
      </x:c>
      <x:c r="X199" s="6" t="str">
        <x:v>approved</x:v>
      </x:c>
      <x:c r="Y199" s="6" t="str">
        <x:v>Карточка и применимость источников согласованы консультантом; утверждение подтверждено пользователем 25.10.2026.</x:v>
      </x:c>
      <x:c r="Z199" s="6" t="str">
        <x:v>G-9bb0b77f681250</x:v>
      </x:c>
      <x:c r="AA199" s="6" t="str">
        <x:v>eval</x:v>
      </x:c>
      <x:c r="AB199" s="6" t="str">
        <x:v>official_faq_entry</x:v>
      </x:c>
    </x:row>
    <x:row r="200" ht="115" customHeight="1">
      <x:c r="A200" s="6" t="str">
        <x:v>FAQ-poly2-217</x:v>
      </x:c>
      <x:c r="B200" s="6" t="str">
        <x:v>official_faq_entry:poly2-217</x:v>
      </x:c>
      <x:c r="C200" s="6" t="str">
        <x:v>{"history":[],"user_message":"Как оформить заказ покупателя и выставить счет по заранее согласованной цене/сумме без предварительного Расчета заказа?"}</x:v>
      </x:c>
      <x:c r="D200" s="6" t="str">
        <x:v>{"product":"1С:УНФ 8. Полиграфия 2","version":"3.0.14.140","retrieval_state":"available","handoff_consent":false,"source_faq_id":"poly2-217","group_id":"faq_poly2-217","source_applicability":"confirmed_by_consultant","approval_basis":"user_confirmed_consultant_approval"}</x:v>
      </x:c>
      <x:c r="E200" s="6" t="str">
        <x:v>1С:УНФ 8. Полиграфия 2</x:v>
      </x:c>
      <x:c r="F200" s="6" t="str">
        <x:v>3.0.14.140</x:v>
      </x:c>
      <x:c r="G200" s="6" t="str">
        <x:v>not_reported</x:v>
      </x:c>
      <x:c r="H200" s="6" t="str">
        <x:v>default</x:v>
      </x:c>
      <x:c r="I200" s="6" t="str">
        <x:v>Применимость источников и эталона к 1С:УНФ 8. Полиграфия 2, релиз 3.0.14.140, подтверждена консультантом со слов пользователя.</x:v>
      </x:c>
      <x:c r="J200" s="13" t="str">
        <x:v>0</x:v>
      </x:c>
      <x:c r="K200" s="13" t="str">
        <x:v>5</x:v>
      </x:c>
      <x:c r="L200" s="7" t="b">
        <x:v>0</x:v>
      </x:c>
      <x:c r="M200" s="6" t="str">
        <x:v>not_applicable</x:v>
      </x:c>
      <x:c r="N200" s="6" t="str">
        <x:v>[]</x:v>
      </x:c>
      <x:c r="O200" s="7" t="b">
        <x:v>1</x:v>
      </x:c>
      <x:c r="P200" s="6" t="str">
        <x:v>K2</x:v>
      </x:c>
      <x:c r="Q200" s="6" t="str">
        <x:v>K2: история пуста, вопрос соответствует статье FAQ poly2-217; в утверждённом источнике есть достаточный применимый ответ для 3.0.14.140. Бот отвечает сразу с источником.</x:v>
      </x:c>
      <x:c r="R200" s="6" t="str">
        <x:v>["faq","poly2","documented_answer"]</x:v>
      </x:c>
      <x:c r="S200" s="6" t="str">
        <x:v>answer</x:v>
      </x:c>
      <x:c r="T200" s="6" t="str">
        <x:v>["На вкладке «Обобщённые сведения» вводится согласованная сумма и включается «Фиксированная сумма».","После заполнения основных данных создаются заказ покупателя и счёт; запрет пересчёта сумм задаётся в роли пользователя.","Указать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0"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0" s="6" t="str">
        <x:v>[{"source_file":"/Users/maria/chatbot_rag/knowledge base/faq_articles.jsonl","source_jsonl_line":22,"faq_id":"poly2-217","url":"https://1cpoly.ru/questions/?action=show&amp;id=217","source_locator":".faq-answer","title":"Как оформить заказ покупателя и выставить счет по заранее согласованной цене/сумме без предварительного Расчета заказа?","source_answer":"Программа позволяет на основании Расчета заказа сформировать Заказ покупателя и выставить счет покупателю без предварительного расчета полиграфического заказа.\n\nМенеджер заполняет основные данные по заказу :\n\nинформация о заказчике, тираж, красочность, продукция.\n\nДалее на закладке «Обобщенные сведения» вводит согласованную сумму и устанавливает флаг «Фиксированная сумма» в значение ИСТИНА. После создает «Заказ покупателя» и высылает счет клиенту.\n\nЧтобы ограничить сотрудника (технолога), который будет в дальнейшем вносить правки в данный заказ на изменения уже зафиксированной суммы по данному заказу. Необходимо установить такому сотруднику в полиграфической роли пользователя, запрета на пересчет сумм в заказе. Запрет на пересчет сумм заказов можно установить для любого статуса.\n\nТехнолог сможет менять бумагу, добавлять дополнительную отделку или услуги, калькуляционная сумма заказа будет меняться, согласованная ( зафиксированная менеджером) останется неизменна.","content_sha256":"f1f7a175cf82e1b71d4fb3e333aafc195247db6d0e5d4e2cd7b29a4640fb9b3b","saved_at":"2026-10-24T22:59:41.544702+03:00","image_refs":[{"url":"https://1cpoly.ru/i/newcont/qa-poly2-1.png","local_file":"/Users/maria/Documents/ChatGPT/chatbot/output/faq_1cpoly_prepared_2026-10-25/assets/d424c93ba89bb00294ff.png"},{"url":"https://1cpoly.ru/i/newcont/qa-poly2-2.png","local_file":"/Users/maria/Documents/ChatGPT/chatbot/output/faq_1cpoly_prepared_2026-10-25/assets/e2dbca1cf74995dcb59f.png"},{"url":"https://1cpoly.ru/i/newcont/qa-poly2-3.png","local_file":"/Users/maria/Documents/ChatGPT/chatbot/output/faq_1cpoly_prepared_2026-10-25/assets/2da37bcc0739f79efc10.png"},{"url":"https://1cpoly.ru/i/newcont/qa-poly2-4.png","local_file":"/Users/maria/Documents/ChatGPT/chatbot/output/faq_1cpoly_prepared_2026-10-25/assets/af8c0f3a9c1ea6200c51.png"},{"url":"https://1cpoly.ru/i/newcont/qa-poly2-5.png","local_file":"/Users/maria/Documents/ChatGPT/chatbot/output/faq_1cpoly_prepared_2026-10-25/assets/41ae24e60e1141256edc.png"},{"url":"https://1cpoly.ru/i/newcont/qa-poly2-6.png","local_file":"/Users/maria/Documents/ChatGPT/chatbot/output/faq_1cpoly_prepared_2026-10-25/assets/dfb7fec2f3038e7313de.png"},{"url":"https://1cpoly.ru/i/newcont/qa-poly2-7.png","local_file":"/Users/maria/Documents/ChatGPT/chatbot/output/faq_1cpoly_prepared_2026-10-25/assets/8e63a604c9714e2bc2ad.png"},{"url":"https://1cpoly.ru/i/newcont/qa-poly2-8.png","local_file":"/Users/maria/Documents/ChatGPT/chatbot/output/faq_1cpoly_prepared_2026-10-25/assets/893c0665f024014b6022.png"}],"applicability_check":"confirmed_by_consultant","required_facts":["На вкладке «Обобщённые сведения» вводится согласованная сумма и включается «Фиксированная сумма».","После заполнения основных данных создаются заказ покупателя и счёт; запрет пересчёта сумм задаётся в роли пользователя."],"approval_basis":"user_confirmed_consultant_approval"}]</x:v>
      </x:c>
      <x:c r="W200" s="6" t="str">
        <x:v>["В содержательном ответе отражены следующие подтверждённые пункты: На вкладке «Обобщённые сведения» вводится согласованная сумма и включается «Фиксированная сумма». После заполнения основных данных создаются заказ покупателя и счёт; запрет пересчёта сумм задаётся в роли пользователя.","Приведена релевантная ссылка на FAQ; смысл ответа согласуется с источником, нет неподтверждённых действий и лишнего уточнения."]</x:v>
      </x:c>
      <x:c r="X200" s="6" t="str">
        <x:v>approved</x:v>
      </x:c>
      <x:c r="Y200" s="6" t="str">
        <x:v>Карточка и применимость источников согласованы консультантом; утверждение подтверждено пользователем 25.10.2026.</x:v>
      </x:c>
      <x:c r="Z200" s="6" t="str">
        <x:v>G-0dcb0c02ca8f64</x:v>
      </x:c>
      <x:c r="AA200" s="6" t="str">
        <x:v>eval</x:v>
      </x:c>
      <x:c r="AB200" s="6" t="str">
        <x:v>official_faq_entry</x:v>
      </x:c>
    </x:row>
    <x:row r="201" ht="115" customHeight="1">
      <x:c r="A201" s="6" t="str">
        <x:v>FAQ-poly2-218</x:v>
      </x:c>
      <x:c r="B201" s="6" t="str">
        <x:v>official_faq_entry:poly2-218</x:v>
      </x:c>
      <x:c r="C201" s="6" t="str">
        <x:v>{"history":[],"user_message":"Как подключить в 1С:УНФ IP-телефонию \"Манго Телеком\"?"}</x:v>
      </x:c>
      <x:c r="D201" s="6" t="str">
        <x:v>{"product":"1С:УНФ 8. Полиграфия 2","version":"3.0.14.140","retrieval_state":"available","handoff_consent":false,"source_faq_id":"poly2-218","group_id":"faq_poly2-218","source_applicability":"confirmed_by_consultant","approval_basis":"user_confirmed_consultant_approval"}</x:v>
      </x:c>
      <x:c r="E201" s="6" t="str">
        <x:v>1С:УНФ 8. Полиграфия 2</x:v>
      </x:c>
      <x:c r="F201" s="6" t="str">
        <x:v>3.0.14.140</x:v>
      </x:c>
      <x:c r="G201" s="6" t="str">
        <x:v>not_reported</x:v>
      </x:c>
      <x:c r="H201" s="6" t="str">
        <x:v>default</x:v>
      </x:c>
      <x:c r="I201" s="6" t="str">
        <x:v>Применимость источников и эталона к 1С:УНФ 8. Полиграфия 2, релиз 3.0.14.140, подтверждена консультантом со слов пользователя.</x:v>
      </x:c>
      <x:c r="J201" s="13" t="str">
        <x:v>0</x:v>
      </x:c>
      <x:c r="K201" s="13" t="str">
        <x:v>5</x:v>
      </x:c>
      <x:c r="L201" s="7" t="b">
        <x:v>0</x:v>
      </x:c>
      <x:c r="M201" s="6" t="str">
        <x:v>not_applicable</x:v>
      </x:c>
      <x:c r="N201" s="6" t="str">
        <x:v>[]</x:v>
      </x:c>
      <x:c r="O201" s="7" t="b">
        <x:v>1</x:v>
      </x:c>
      <x:c r="P201" s="6" t="str">
        <x:v>K2</x:v>
      </x:c>
      <x:c r="Q201" s="6" t="str">
        <x:v>K2: история пуста, вопрос соответствует статье FAQ poly2-218; в утверждённом источнике есть достаточный применимый ответ для 3.0.14.140. Бот отвечает сразу с источником.</x:v>
      </x:c>
      <x:c r="R201" s="6" t="str">
        <x:v>["faq","poly2","documented_answer"]</x:v>
      </x:c>
      <x:c r="S201" s="6" t="str">
        <x:v>answer</x:v>
      </x:c>
      <x:c r="T201" s="6" t="str">
        <x:v>["FAQ описывает IP-телефонию УНФ и подключение MANGO OFFICE.","Возможности включают звонки из карточек и фиксацию истории; конкретные шаги подключения приведены в утверждённой статье.","Указать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1"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1" s="6" t="str">
        <x:v>[{"source_file":"/Users/maria/chatbot_rag/knowledge base/faq_articles.jsonl","source_jsonl_line":23,"faq_id":"poly2-218","url":"https://1cpoly.ru/questions/?action=show&amp;id=218","source_locator":".faq-answer","title":"Как подключить в 1С:УНФ IP-телефонию \"Манго Телеком\"?","source_answer":"О телефонии в 1С:УНФ\n\nВ редакции 1.6 реализована одна из основных составляющих CRM системы - телефония.\n\nЗвоните своим клиентам и фиксируйте входящие звонки прямо из 1С:УНФ с помощью IP-телефонии.\n\nНа данный момент доступны более 60 облачных операторов. В том числе:\n\nMANGO OFFICE;\n\nС телефонией в 1С:УНФ:\n\nПри входящем звонке автоматически определится имя клиента (откроется карточка клиента);\n\nВо время звонка можно работать с договорами, коммерческими предложениями и заказами этого клиента;\n\nВходящие звонки распределяются ответственным за клиентов менеджерам;\n\nПозвонить клиенту можно из его карточки и любого списка (где есть контактная информация);\n\nЕсли номер определяется как неизвестный, можно сразу добавить нового клиента;\n\nИстория всех звонков фиксируется в CRM (в том числе пропущенных);\n\nСсылка на запись разговора с клиентом сохранится в карточке звонка.\n\nВы сможете принимать и совершать звонки с помощью настольных телефонов, софтфонов (программных телефонов) и мобильных устройств.\n\nИспользуйте возможности телефонии в 1С:УНФ для развития вашего бизнеса и повышения продаж.\n\nЧитайте также:\n\nКак позвонить клиенту?\n\nКак принять звонок?\n\nРабота со звонками\n\nПодключение виртуальной АТС MANGO OFFICE\n\nОзнакомиться с полным списком возможностей виртуальной АТС MANGO OFFICE и ценами можно на странице https://www.mango-office.ru/products/virtualnaya_ats.\n\nВиртуальная АТС MANGO OFFICE позволяет принимать и совершать звонки с настольных телефонов или с помощью софтфона (программного телефона).\nПрограммный телефон (SIP-софтфон, коммуникатор) - это «виртуальный» телефон, который устанавливается на ваш компьютер и позволяет заменить ваш настольный телефон.\n\nM.TALKER для MANGO OFFICE\n\nДля подключения к виртуальной АТС MANGO OFFICE:\n\n1. В настройках раздела CRM включите опцию Использовать телефонию (CRM - Еще больше возможностей) и перейдите по ссылке Выбор оператора и настройка интеграции.\n\nВ открывшемся окне выберите виртуальную АТС MANGO OFFICE, установив флажок. Станут доступны настройки подключения.\n\nЕсли используется платформа 1:Предприятие 8.3.11 (или выше), при включении телефонии, система попросит вас зарегистрироваться и автоматически активирует опцию Автоматическая обработка звонков (группа настроек Обработка звонков).\n\nПри переходе с версии 8.3.10, опцию потребуется включить вручную.\n\nЕсли Автоматическая обработка звонков отключена, для принятия входящего звонка в программе потребуется нажать на кнопку F8.\n\n2. Заполните настройки интеграции.\n\nДанные для заполнения можно получить в личном кабинете виртуальной АТС MANGO OFFICE. Откройте личный кабинет и перейдите в меню Настройка АТС - Интеграции.\n\nСкопируйте данные и вставьте в соответствующие поля в 1С:УНФ.\n\nСкопируйте данные из 1С и вставьте в настройки интеграции.\n\nПоле Адрес публикации 1С:УНФ будет заполнено автоматически для сервиса 1cFresh.com. Для настольной (ПРОФ или Базовой) версии потребуется предварительно опубликовать базу на веб-сервере.\n\n3. Выполните настройки на стороне виртуальной АТС, воспользовавшись помощником на главной странице личного кабинета MANGO OFFICE.\n\nНе забудьте заполнить список сотрудников и их внутренние номера в разделе Сотрудники личного кабинета MANGO OFFICE.\n\nВнесите данные о пользователях телефонии в 1С:УНФ в группе настроек Пользователи телефонии.\n\nВАЖНО!\nЗаполнение настроек пользователей телефонии обязательно для соединения с облачной АТС. Данные о пользователях в 1С:УНФ должны соответствовать данным, указанным в личном кабинете оператора.\n\nЧтобы входящие звонки клиентов сразу перенаправлялись ответственному за абонента сотруднику, установите в настройках флажок Маршрутизировать входящие на ответственных.\n\nВиртуальные и облачные АТС могут работать совместно с настольной (ПРОФ или Базовой) или облачной версией приложения 1С:Управление нашей фирмой 8.\n\nДля подключения настольной версии 1С:УНФ (ПРОФ или Базовой) к облачной АТС необходимо использовать внешний статический IP адрес компьютера. Данную услугу может предоставить интернет-провайдер.\n\nДля того, чтобы появилась возможность использовать телефонию в настольной версии, необходимо выполнить следующие действия:\n\n1. Установить и настроить веб-сервер Apache или IIS. Проверить что Firewall не блокирует входящие подключения на используемый веб-сервером порт (обычно это 80 или 8080). Подробнее о настройке веб-серверов можно ознакомиться в поставляемой к ним документации.\n\n2. Необходимо убедиться, что на компьютере установлено настольное приложение 1С:Управление нашей фирмой. Рекомендуется использовать последнюю версию настольного приложения. Подойдет Базовая или ПРОФ версия.\n\n3. Необходимо опубликовать http-сервис для обмена данными с облачной АТС.\n\nЭта операция выполняется в конфигураторе настольного приложения 1С:Управление нашей фирмой 8. Для этого необходимо воспользоваться пунктом Публикация на веб-сервере… из меню Администрирование.\n\nНа вкладке HTTP сервисы укажите каталог для публикации и выберите http-сервис IP-телефонии (TelephonyApi). После этого необходимо нажать кнопку Опубликовать и согласиться с перезапуском веб-сервера.\n\nПодробное описание настройки веб-серверов для работы с «1С:Предприятием» в документации Платформа 1С:Предприятие 8.3.13\", глава 7.\n\n4. При обмене данными облачной АТС с 1С:УНФ, подключение к информационной базе будет выполняться от имени служебного пользователя.\n\nСлужебный пользователь создается системой автоматически в момент выбора оператора телефонии и не виден пользователям системы.\n\nИнформация об этом пользователе хранится в настройках телефонии:\n\nДля файловой базы:\nCRM — Еще больше возможностей — Настройка публикации http-сервисов\n\nДля администратора в режиме сервиса:\nАдминистрирование сервиса — Общие настройки телефонии\n\nПосле публикации http-сервисов в каталоге виртуального приложения будет располагаться файл default.vrd.\n\nВ строке подключения необходимо указать логин и пароль служебного пользователя.\n\nПример файловой базы:\n\nib=\"File=\"[КаталогВиртуальноПриложения]\";Usr=[Пользователь];Pwd=[Пароль];\"\n\nПример клиент-серверной базы:\n\nib=\"Srvr=\"tcp://[ИмяСервера]\";Ref=\"[ИмяПубликации]\";Usr=[Пользователь];Pwd=[Пароль];\"\n\nПодробнее о заполнении файла default.vrd читайте на сайте ИТС.\n\n5. Для проверки корректности публикации, перейдите в браузере по ссылке вида http://[ИмяСервера]/[ИмяПубликации]/hs/[ИмяHTTPсервиса]/ping. Данная ссылка (без окончания /ping) также потребуется нам для подключения облачной АТС.\n\nНапример, для настроек выше, адрес будет составлен так: http://178.86.45.45/tel/hs/telephony/ping\n\nПосле ввода информации пользователя, в браузере должен появиться ответ сервера.\n\nЕсли система запрашивает ввод логина и пароля, то необходимо вернуться к п.4 и проверить корректность его выполнения.","content_sha256":"4a824867f5ec0cbde9741fcf9802803b67a07faad1c5ddf4acdcb4ae76eb4c92","saved_at":"2026-10-24T22:59:41.544702+03:00","image_refs":[{"url":"https://1cpoly.ru/i/newcont/qa-mango-1.png","local_file":"/Users/maria/Documents/ChatGPT/chatbot/output/faq_1cpoly_prepared_2026-10-25/assets/4e47202e8725a859dbb9.png"},{"url":"https://1cpoly.ru/i/newcont/qa-mango-2.png","local_file":"/Users/maria/Documents/ChatGPT/chatbot/output/faq_1cpoly_prepared_2026-10-25/assets/43e0770e0cd86ac0774d.png"},{"url":"https://1cpoly.ru/i/newcont/qa-mango-3.png","local_file":"/Users/maria/Documents/ChatGPT/chatbot/output/faq_1cpoly_prepared_2026-10-25/assets/1af078d21069b12b16fb.png"},{"url":"https://1cpoly.ru/i/newcont/qa-mango-4.png","local_file":"/Users/maria/Documents/ChatGPT/chatbot/output/faq_1cpoly_prepared_2026-10-25/assets/690c52b26d2d0acb3095.png"},{"url":"https://1cpoly.ru/i/newcont/qa-mango-5.png","local_file":"/Users/maria/Documents/ChatGPT/chatbot/output/faq_1cpoly_prepared_2026-10-25/assets/bca5baf354a32b1fb2fc.png"},{"url":"https://1cpoly.ru/i/newcont/qa-mango-6.png","local_file":"/Users/maria/Documents/ChatGPT/chatbot/output/faq_1cpoly_prepared_2026-10-25/assets/0f09fb4817705132ffe8.png"},{"url":"https://1cpoly.ru/i/newcont/qa-mango-7.png","local_file":"/Users/maria/Documents/ChatGPT/chatbot/output/faq_1cpoly_prepared_2026-10-25/assets/62cd57f12620a6f5f2b7.png"},{"url":"https://1cpoly.ru/i/newcont/qa-mango-8.png","local_file":"/Users/maria/Documents/ChatGPT/chatbot/output/faq_1cpoly_prepared_2026-10-25/assets/9ee9ba7cbda50e2f9249.png"},{"url":"https://1cpoly.ru/i/newcont/ga-unf-1.png","local_file":"/Users/maria/Documents/ChatGPT/chatbot/output/faq_1cpoly_prepared_2026-10-25/assets/8c56995d4eed887617d6.png"},{"url":"https://1cpoly.ru/i/newcont/ga-unf-2.png","local_file":"/Users/maria/Documents/ChatGPT/chatbot/output/faq_1cpoly_prepared_2026-10-25/assets/038404e96f361223e638.png"},{"url":"https://1cpoly.ru/i/newcont/ga-unf-3.png","local_file":"/Users/maria/Documents/ChatGPT/chatbot/output/faq_1cpoly_prepared_2026-10-25/assets/0e47c6e1d69612155cc8.png"},{"url":"https://1cpoly.ru/i/newcont/ga-unf-4.png","local_file":"/Users/maria/Documents/ChatGPT/chatbot/output/faq_1cpoly_prepared_2026-10-25/assets/37cc97d342ba77e95e64.png"}],"applicability_check":"confirmed_by_consultant","required_facts":["FAQ описывает IP-телефонию УНФ и подключение MANGO OFFICE.","Возможности включают звонки из карточек и фиксацию истории; конкретные шаги подключения приведены в утверждённой статье."],"approval_basis":"user_confirmed_consultant_approval"}]</x:v>
      </x:c>
      <x:c r="W201" s="6" t="str">
        <x:v>["В содержательном ответе отражены следующие подтверждённые пункты: FAQ описывает IP-телефонию УНФ и подключение MANGO OFFICE. Возможности включают звонки из карточек и фиксацию истории; конкретные шаги подключения приведены в утверждённой статье.","Приведена релевантная ссылка на FAQ; смысл ответа согласуется с источником, нет неподтверждённых действий и лишнего уточнения."]</x:v>
      </x:c>
      <x:c r="X201" s="6" t="str">
        <x:v>approved</x:v>
      </x:c>
      <x:c r="Y201" s="6" t="str">
        <x:v>Карточка и применимость источников согласованы консультантом; утверждение подтверждено пользователем 25.10.2026.</x:v>
      </x:c>
      <x:c r="Z201" s="6" t="str">
        <x:v>G-723ea7804e83b7</x:v>
      </x:c>
      <x:c r="AA201" s="6" t="str">
        <x:v>eval</x:v>
      </x:c>
      <x:c r="AB201" s="6" t="str">
        <x:v>official_faq_entry</x:v>
      </x:c>
    </x:row>
    <x:row r="202" ht="115" customHeight="1">
      <x:c r="A202" s="6" t="str">
        <x:v>FAQ-poly2-219</x:v>
      </x:c>
      <x:c r="B202" s="6" t="str">
        <x:v>official_faq_entry:poly2-219</x:v>
      </x:c>
      <x:c r="C202" s="6" t="str">
        <x:v>{"history":[],"user_message":"Как опубликовать базу на веб-сервере для 1С:УНФ 8. Полиграфия 2?"}</x:v>
      </x:c>
      <x:c r="D202" s="6" t="str">
        <x:v>{"product":"1С:УНФ 8. Полиграфия 2","version":"3.0.14.140","retrieval_state":"available","handoff_consent":false,"source_faq_id":"poly2-219","group_id":"faq_poly2-219","source_applicability":"confirmed_by_consultant","approval_basis":"user_confirmed_consultant_approval"}</x:v>
      </x:c>
      <x:c r="E202" s="6" t="str">
        <x:v>1С:УНФ 8. Полиграфия 2</x:v>
      </x:c>
      <x:c r="F202" s="6" t="str">
        <x:v>3.0.14.140</x:v>
      </x:c>
      <x:c r="G202" s="6" t="str">
        <x:v>not_reported</x:v>
      </x:c>
      <x:c r="H202" s="6" t="str">
        <x:v>default</x:v>
      </x:c>
      <x:c r="I202" s="6" t="str">
        <x:v>Применимость источников и эталона к 1С:УНФ 8. Полиграфия 2, релиз 3.0.14.140, подтверждена консультантом со слов пользователя.</x:v>
      </x:c>
      <x:c r="J202" s="13" t="str">
        <x:v>0</x:v>
      </x:c>
      <x:c r="K202" s="13" t="str">
        <x:v>5</x:v>
      </x:c>
      <x:c r="L202" s="7" t="b">
        <x:v>0</x:v>
      </x:c>
      <x:c r="M202" s="6" t="str">
        <x:v>not_applicable</x:v>
      </x:c>
      <x:c r="N202" s="6" t="str">
        <x:v>[]</x:v>
      </x:c>
      <x:c r="O202" s="7" t="b">
        <x:v>1</x:v>
      </x:c>
      <x:c r="P202" s="6" t="str">
        <x:v>K2</x:v>
      </x:c>
      <x:c r="Q202" s="6" t="str">
        <x:v>K2: история пуста, вопрос соответствует статье FAQ poly2-219; в утверждённом источнике есть достаточный применимый ответ для 3.0.14.140. Бот отвечает сразу с источником.</x:v>
      </x:c>
      <x:c r="R202" s="6" t="str">
        <x:v>["faq","poly2","documented_answer"]</x:v>
      </x:c>
      <x:c r="S202" s="6" t="str">
        <x:v>answer</x:v>
      </x:c>
      <x:c r="T202" s="6" t="str">
        <x:v>["FAQ описывает публикацию на IIS через «Конфигуратор — Администрирование — Публикация на Web-сервере».","Проверяются права обработчика, права на файловую базу, приложение IIS, MIME-типы и обработчики; это инструкция, а не действие бота на сервере.","Указать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2"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2" s="6" t="str">
        <x:v>[{"source_file":"/Users/maria/chatbot_rag/knowledge base/faq_articles.jsonl","source_jsonl_line":24,"faq_id":"poly2-219","url":"https://1cpoly.ru/questions/?action=show&amp;id=219","source_locator":".faq-answer","title":"Как опубликовать базу на веб-сервере для 1С:УНФ 8. Полиграфия 2?","source_answer":"1) Установка IIS выполняется стандартными средствами. Набор достаточных :\n\n2) Создаем папку на web сервере. В моем случае 1С.\n\n3) Публикуем сервис из 1С. Администрирование -&gt; 1С -&gt; Конфигуратор -&gt; Администрирование -&gt; Публикация на Web-сервере.\n\nСодержимое\n\n4) Зададим права для обработчика web-сервисов 1С. Права на запуск (Выполнение) модулей добавляются для группы IIS_IUSRS на папку C:Program Files (x86)1cv88.3……..bin\n\n5) Если база файловая, нужно добавить права на изменение (Изменение) на папку и подпапки базы для той же группы.\n\n6) В консоли IIS. Кликаем правой кнопкой мыши на строку с созданной нами папкой. Преобразовываем её в приложение.\n\n8) Добавляем MIME типы 1С. Делать это можно для сервера или для сайта, или для папки. Наследование присутствует.\n\n9) Добавляем настройки для обработки файлов 1С. На вкладке Сопоставление обработчиков добавляем скрипты (не скрипты со звездочкой) для каждого расширения -\"*.1cws\" и \"*.1crs\". 010\n\nИмена любые. Главное - для каждого расширение отдельное правило! Ограничения запроса -&gt; Доступ -&gt; Сценарий или Выполнение.\n\n10) Для обработчиков нужно задать дополнительные параметры (Edit Feature Permission). Установить флаги запуска скриптов и приложений.\n\n11) Можно проверить наличие обработчика web-сервисов 1С на вкладке ISAPI and CGI Restrictions для сервера.\n\nкак установка идет в 64 разрядном окружении, то для обработчика нужно включить режим Пулы приложений -&gt; DefaultAppPool -&gt; Дополнительные параметры -&gt; Разрешены 32-разрядные приложения -&gt;True\n\n12) Обращаемся по адресу http://localhost/1C/.","content_sha256":"caf018de609c85cf30228899d070a357adefebaebd502c57e7ae90c58cda7229","saved_at":"2026-10-24T22:59:41.544702+03:00","image_refs":[{"url":"https://1cpoly.ru/i/newcont/ga-unf-011.jpg","local_file":"/Users/maria/Documents/ChatGPT/chatbot/output/faq_1cpoly_prepared_2026-10-25/assets/b56f622553684b8527b2.jpg"},{"url":"https://1cpoly.ru/i/newcont/ga-unf-012.jpg","local_file":"/Users/maria/Documents/ChatGPT/chatbot/output/faq_1cpoly_prepared_2026-10-25/assets/57270e36b917d1804073.jpg"},{"url":"https://1cpoly.ru/i/newcont/ga-unf-013.jpg","local_file":"/Users/maria/Documents/ChatGPT/chatbot/output/faq_1cpoly_prepared_2026-10-25/assets/13337998906860012fba.jpg"},{"url":"https://1cpoly.ru/i/newcont/ga-unf-014.jpg","local_file":"/Users/maria/Documents/ChatGPT/chatbot/output/faq_1cpoly_prepared_2026-10-25/assets/94fb0e75140dd02297d1.jpg"},{"url":"https://1cpoly.ru/i/newcont/ga-unf-015.jpg","local_file":"/Users/maria/Documents/ChatGPT/chatbot/output/faq_1cpoly_prepared_2026-10-25/assets/18ffbc44dd56af3a21f2.jpg"},{"url":"https://1cpoly.ru/i/newcont/ga-unf-016.jpg","local_file":"/Users/maria/Documents/ChatGPT/chatbot/output/faq_1cpoly_prepared_2026-10-25/assets/a69eb223f4f56c3b8259.jpg"},{"url":"https://1cpoly.ru/i/newcont/ga-unf-017.jpg","local_file":"/Users/maria/Documents/ChatGPT/chatbot/output/faq_1cpoly_prepared_2026-10-25/assets/dba5a38668f2680760d2.jpg"},{"url":"https://1cpoly.ru/i/newcont/ga-unf-018.jpg","local_file":"/Users/maria/Documents/ChatGPT/chatbot/output/faq_1cpoly_prepared_2026-10-25/assets/6b6c9c546fef5044aaf0.jpg"},{"url":"https://1cpoly.ru/i/newcont/ga-unf-019.jpg","local_file":"/Users/maria/Documents/ChatGPT/chatbot/output/faq_1cpoly_prepared_2026-10-25/assets/5ae1e9b67ba2c39429c8.jpg"},{"url":"https://1cpoly.ru/i/newcont/ga-unf-020.jpg","local_file":"/Users/maria/Documents/ChatGPT/chatbot/output/faq_1cpoly_prepared_2026-10-25/assets/cf245692ecd8eddfeb45.jpg"},{"url":"https://1cpoly.ru/i/newcont/ga-unf-021.jpg","local_file":"/Users/maria/Documents/ChatGPT/chatbot/output/faq_1cpoly_prepared_2026-10-25/assets/e5011cb2d0080160a237.jpg"},{"url":"https://1cpoly.ru/i/newcont/ga-unf-022.jpg","local_file":"/Users/maria/Documents/ChatGPT/chatbot/output/faq_1cpoly_prepared_2026-10-25/assets/89bfdfeaeb286d49d0ee.jpg"},{"url":"https://1cpoly.ru/i/newcont/ga-unf-023.jpg","local_file":"/Users/maria/Documents/ChatGPT/chatbot/output/faq_1cpoly_prepared_2026-10-25/assets/375fe25d3d85c75c7d15.jpg"},{"url":"https://1cpoly.ru/i/newcont/ga-unf-024.jpg","local_file":"/Users/maria/Documents/ChatGPT/chatbot/output/faq_1cpoly_prepared_2026-10-25/assets/bbd106b6e220ca006d1e.jpg"}],"applicability_check":"confirmed_by_consultant","required_facts":["FAQ описывает публикацию на IIS через «Конфигуратор — Администрирование — Публикация на Web-сервере».","Проверяются права обработчика, права на файловую базу, приложение IIS, MIME-типы и обработчики; это инструкция, а не действие бота на сервере."],"approval_basis":"user_confirmed_consultant_approval"}]</x:v>
      </x:c>
      <x:c r="W202" s="6" t="str">
        <x:v>["В содержательном ответе отражены следующие подтверждённые пункты: FAQ описывает публикацию на IIS через «Конфигуратор — Администрирование — Публикация на Web-сервере». Проверяются права обработчика, права на файловую базу, приложение IIS, MIME-типы и обработчики; это инструкция, а не действие бота на сервере.","Приведена релевантная ссылка на FAQ; смысл ответа согласуется с источником, нет неподтверждённых действий и лишнего уточнения."]</x:v>
      </x:c>
      <x:c r="X202" s="6" t="str">
        <x:v>approved</x:v>
      </x:c>
      <x:c r="Y202" s="6" t="str">
        <x:v>Карточка и применимость источников согласованы консультантом; утверждение подтверждено пользователем 25.10.2026.</x:v>
      </x:c>
      <x:c r="Z202" s="6" t="str">
        <x:v>G-8582d8548b7902</x:v>
      </x:c>
      <x:c r="AA202" s="6" t="str">
        <x:v>eval</x:v>
      </x:c>
      <x:c r="AB202" s="6" t="str">
        <x:v>official_faq_entry</x:v>
      </x:c>
    </x:row>
    <x:row r="203" ht="115" customHeight="1">
      <x:c r="A203" s="6" t="str">
        <x:v>FAQ-poly2-237</x:v>
      </x:c>
      <x:c r="B203" s="6" t="str">
        <x:v>official_faq_entry:poly2-237</x:v>
      </x:c>
      <x:c r="C203" s="6" t="str">
        <x:v>{"history":[],"user_message":"Как включить автоматическую синхронизацию с Битрикс24?"}</x:v>
      </x:c>
      <x:c r="D203" s="6" t="str">
        <x:v>{"product":"1С:УНФ 8. Полиграфия 2","version":"3.0.14.140","retrieval_state":"available","handoff_consent":false,"source_faq_id":"poly2-237","group_id":"faq_poly2-237","source_applicability":"confirmed_by_consultant","approval_basis":"user_confirmed_consultant_approval"}</x:v>
      </x:c>
      <x:c r="E203" s="6" t="str">
        <x:v>1С:УНФ 8. Полиграфия 2</x:v>
      </x:c>
      <x:c r="F203" s="6" t="str">
        <x:v>3.0.14.140</x:v>
      </x:c>
      <x:c r="G203" s="6" t="str">
        <x:v>not_reported</x:v>
      </x:c>
      <x:c r="H203" s="6" t="str">
        <x:v>default</x:v>
      </x:c>
      <x:c r="I203" s="6" t="str">
        <x:v>Применимость источников и эталона к 1С:УНФ 8. Полиграфия 2, релиз 3.0.14.140, подтверждена консультантом со слов пользователя.</x:v>
      </x:c>
      <x:c r="J203" s="13" t="str">
        <x:v>0</x:v>
      </x:c>
      <x:c r="K203" s="13" t="str">
        <x:v>5</x:v>
      </x:c>
      <x:c r="L203" s="7" t="b">
        <x:v>0</x:v>
      </x:c>
      <x:c r="M203" s="6" t="str">
        <x:v>not_applicable</x:v>
      </x:c>
      <x:c r="N203" s="6" t="str">
        <x:v>[]</x:v>
      </x:c>
      <x:c r="O203" s="7" t="b">
        <x:v>1</x:v>
      </x:c>
      <x:c r="P203" s="6" t="str">
        <x:v>K2</x:v>
      </x:c>
      <x:c r="Q203" s="6" t="str">
        <x:v>K2: история пуста, вопрос соответствует статье FAQ poly2-237; в утверждённом источнике есть достаточный применимый ответ для 3.0.14.140. Бот отвечает сразу с источником.</x:v>
      </x:c>
      <x:c r="R203" s="6" t="str">
        <x:v>["faq","poly2","documented_answer"]</x:v>
      </x:c>
      <x:c r="S203" s="6" t="str">
        <x:v>answer</x:v>
      </x:c>
      <x:c r="T203" s="6" t="str">
        <x:v>["В общих настройках обмена включается «Активизировать».","Задаются диапазон времени и периодичность обмена; список типов данных показан на скриншотах, его нельзя додумывать.","Указать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3"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3" s="6" t="str">
        <x:v>[{"source_file":"/Users/maria/chatbot_rag/knowledge base/faq_articles.jsonl","source_jsonl_line":31,"faq_id":"poly2-237","url":"https://1cpoly.ru/questions/?action=show&amp;id=237","source_locator":".faq-answer","title":"Как включить автоматическую синхронизацию с Битрикс24?","source_answer":"Заходим в общие настройки:\n\nВключаем флажок «Активизировать» и настраиваем расписание обмена – в какой диапазон времени и как часто:\n\nВот перечень информации, которую можно передвать из УНФ в Битрикс24 и обратно:\n\nВот где они задаются в УНФ:\n\nИ при задании типа данных выводится фиксированный список:","content_sha256":"c69d2d6441921131bdc30820cc9b52595d6ea78cf2c37b38e538facd97afc834","saved_at":"2026-10-24T22:59:41.544702+03:00","image_refs":[{"url":"https://1cpoly.ru/i/newcont/ga-unf-141.png","local_file":"/Users/maria/Documents/ChatGPT/chatbot/output/faq_1cpoly_prepared_2026-10-25/assets/c432ede06bd19fd98a44.png"},{"url":"https://1cpoly.ru/i/newcont/ga-unf-142.png","local_file":"/Users/maria/Documents/ChatGPT/chatbot/output/faq_1cpoly_prepared_2026-10-25/assets/9f338a99d930505cba0a.png"},{"url":"https://1cpoly.ru/i/newcont/ga-unf-143.png","local_file":"/Users/maria/Documents/ChatGPT/chatbot/output/faq_1cpoly_prepared_2026-10-25/assets/e1cfe075cc65496cf840.png"},{"url":"https://1cpoly.ru/i/newcont/ga-unf-144.png","local_file":"/Users/maria/Documents/ChatGPT/chatbot/output/faq_1cpoly_prepared_2026-10-25/assets/255f1cc78e8de84ed54f.png"},{"url":"https://1cpoly.ru/i/newcont/ga-unf-145.png","local_file":"/Users/maria/Documents/ChatGPT/chatbot/output/faq_1cpoly_prepared_2026-10-25/assets/4abe12e3dc306fc116a6.png"},{"url":"https://1cpoly.ru/i/newcont/ga-unf-146.png","local_file":"/Users/maria/Documents/ChatGPT/chatbot/output/faq_1cpoly_prepared_2026-10-25/assets/09006150933e859e3c98.png"}],"applicability_check":"confirmed_by_consultant","required_facts":["В общих настройках обмена включается «Активизировать».","Задаются диапазон времени и периодичность обмена; список типов данных показан на скриншотах, его нельзя додумывать."],"approval_basis":"user_confirmed_consultant_approval"}]</x:v>
      </x:c>
      <x:c r="W203" s="6" t="str">
        <x:v>["В содержательном ответе отражены следующие подтверждённые пункты: В общих настройках обмена включается «Активизировать». Задаются диапазон времени и периодичность обмена; список типов данных показан на скриншотах, его нельзя додумывать.","Приведена релевантная ссылка на FAQ; смысл ответа согласуется с источником, нет неподтверждённых действий и лишнего уточнения."]</x:v>
      </x:c>
      <x:c r="X203" s="6" t="str">
        <x:v>approved</x:v>
      </x:c>
      <x:c r="Y203" s="6" t="str">
        <x:v>Карточка и применимость источников согласованы консультантом; утверждение подтверждено пользователем 25.10.2026.</x:v>
      </x:c>
      <x:c r="Z203" s="6" t="str">
        <x:v>G-5911d938b7239a</x:v>
      </x:c>
      <x:c r="AA203" s="6" t="str">
        <x:v>eval</x:v>
      </x:c>
      <x:c r="AB203" s="6" t="str">
        <x:v>official_faq_entry</x:v>
      </x:c>
    </x:row>
    <x:row r="204" ht="115" customHeight="1">
      <x:c r="A204" s="6" t="str">
        <x:v>FAQ-poly2-238</x:v>
      </x:c>
      <x:c r="B204" s="6" t="str">
        <x:v>official_faq_entry:poly2-238</x:v>
      </x:c>
      <x:c r="C204" s="6" t="str">
        <x:v>{"history":[],"user_message":"Как правильно завести краску, если расход краски на заказ меньше 0,001 килограмма?"}</x:v>
      </x:c>
      <x:c r="D204" s="6" t="str">
        <x:v>{"product":"1С:УНФ 8. Полиграфия 2","version":"3.0.14.140","retrieval_state":"available","handoff_consent":false,"source_faq_id":"poly2-238","group_id":"faq_poly2-238","source_applicability":"confirmed_by_consultant","approval_basis":"user_confirmed_consultant_approval"}</x:v>
      </x:c>
      <x:c r="E204" s="6" t="str">
        <x:v>1С:УНФ 8. Полиграфия 2</x:v>
      </x:c>
      <x:c r="F204" s="6" t="str">
        <x:v>3.0.14.140</x:v>
      </x:c>
      <x:c r="G204" s="6" t="str">
        <x:v>not_reported</x:v>
      </x:c>
      <x:c r="H204" s="6" t="str">
        <x:v>default</x:v>
      </x:c>
      <x:c r="I204" s="6" t="str">
        <x:v>Применимость источников и эталона к 1С:УНФ 8. Полиграфия 2, релиз 3.0.14.140, подтверждена консультантом со слов пользователя.</x:v>
      </x:c>
      <x:c r="J204" s="13" t="str">
        <x:v>0</x:v>
      </x:c>
      <x:c r="K204" s="13" t="str">
        <x:v>5</x:v>
      </x:c>
      <x:c r="L204" s="7" t="b">
        <x:v>0</x:v>
      </x:c>
      <x:c r="M204" s="6" t="str">
        <x:v>not_applicable</x:v>
      </x:c>
      <x:c r="N204" s="6" t="str">
        <x:v>[]</x:v>
      </x:c>
      <x:c r="O204" s="7" t="b">
        <x:v>1</x:v>
      </x:c>
      <x:c r="P204" s="6" t="str">
        <x:v>K2</x:v>
      </x:c>
      <x:c r="Q204" s="6" t="str">
        <x:v>K2: история пуста, вопрос соответствует статье FAQ poly2-238; в утверждённом источнике есть достаточный применимый ответ для 3.0.14.140. Бот отвечает сразу с источником.</x:v>
      </x:c>
      <x:c r="R204" s="6" t="str">
        <x:v>["faq","poly2","documented_answer"]</x:v>
      </x:c>
      <x:c r="S204" s="6" t="str">
        <x:v>answer</x:v>
      </x:c>
      <x:c r="T204" s="6" t="str">
        <x:v>["При расходе меньше 0,001 кг краска заводится в граммах.","В полиграфических параметрах расход задаётся в г/м²; материалы отображают расход в граммах.","Указать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4"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4" s="6" t="str">
        <x:v>[{"source_file":"/Users/maria/chatbot_rag/knowledge base/faq_articles.jsonl","source_jsonl_line":32,"faq_id":"poly2-238","url":"https://1cpoly.ru/questions/?action=show&amp;id=238","source_locator":".faq-answer","title":"Как правильно завести краску, если расход краски на заказ меньше 0,001 килограмма?","source_answer":"В этом случае краску заводят в граммах:\n\nИ в блоке Полиграфические параметры устанавливается расход г/м2:\n\nВкладка Материалы показывает расход в граммах:\n\nТребуемые материалы для производства:","content_sha256":"6959d96392eabd440d649956501e9c86fc5f6740ad22a3dec6ea437724a35d63","saved_at":"2026-10-24T22:59:41.544702+03:00","image_refs":[{"url":"https://1cpoly.ru/i/newcont/ga-unf-151.png","local_file":"/Users/maria/Documents/ChatGPT/chatbot/output/faq_1cpoly_prepared_2026-10-25/assets/2d1f125ada42c09bed3a.png"},{"url":"https://1cpoly.ru/i/newcont/ga-unf-152.png","local_file":"/Users/maria/Documents/ChatGPT/chatbot/output/faq_1cpoly_prepared_2026-10-25/assets/2bc8637ef211e2e238a4.png"},{"url":"https://1cpoly.ru/i/newcont/ga-unf-153.png","local_file":"/Users/maria/Documents/ChatGPT/chatbot/output/faq_1cpoly_prepared_2026-10-25/assets/4a72de1b5c2cd8795b20.png"},{"url":"https://1cpoly.ru/i/newcont/ga-unf-154.png","local_file":"/Users/maria/Documents/ChatGPT/chatbot/output/faq_1cpoly_prepared_2026-10-25/assets/6715f216702fdce2d558.png"}],"applicability_check":"confirmed_by_consultant","required_facts":["При расходе меньше 0,001 кг краска заводится в граммах.","В полиграфических параметрах расход задаётся в г/м²; материалы отображают расход в граммах."],"approval_basis":"user_confirmed_consultant_approval"}]</x:v>
      </x:c>
      <x:c r="W204" s="6" t="str">
        <x:v>["В содержательном ответе отражены следующие подтверждённые пункты: При расходе меньше 0,001 кг краска заводится в граммах. В полиграфических параметрах расход задаётся в г/м²; материалы отображают расход в граммах.","Приведена релевантная ссылка на FAQ; смысл ответа согласуется с источником, нет неподтверждённых действий и лишнего уточнения."]</x:v>
      </x:c>
      <x:c r="X204" s="6" t="str">
        <x:v>approved</x:v>
      </x:c>
      <x:c r="Y204" s="6" t="str">
        <x:v>Карточка и применимость источников согласованы консультантом; утверждение подтверждено пользователем 25.10.2026.</x:v>
      </x:c>
      <x:c r="Z204" s="6" t="str">
        <x:v>G-d2e384b1ac5870</x:v>
      </x:c>
      <x:c r="AA204" s="6" t="str">
        <x:v>eval</x:v>
      </x:c>
      <x:c r="AB204" s="6" t="str">
        <x:v>official_faq_entry</x:v>
      </x:c>
    </x:row>
    <x:row r="205" ht="115" customHeight="1">
      <x:c r="A205" s="6" t="str">
        <x:v>FAQ-poly2-239</x:v>
      </x:c>
      <x:c r="B205" s="6" t="str">
        <x:v>official_faq_entry:poly2-239</x:v>
      </x:c>
      <x:c r="C205" s="6" t="str">
        <x:v>{"history":[],"user_message":"Как запустить RemoteApp для компьютеров с Mac OS?"}</x:v>
      </x:c>
      <x:c r="D205" s="6" t="str">
        <x:v>{"product":"1С:УНФ 8. Полиграфия 2","version":"3.0.14.140","retrieval_state":"available","handoff_consent":false,"source_faq_id":"poly2-239","group_id":"faq_poly2-239","source_applicability":"confirmed_by_consultant","approval_basis":"user_confirmed_consultant_approval"}</x:v>
      </x:c>
      <x:c r="E205" s="6" t="str">
        <x:v>1С:УНФ 8. Полиграфия 2</x:v>
      </x:c>
      <x:c r="F205" s="6" t="str">
        <x:v>3.0.14.140</x:v>
      </x:c>
      <x:c r="G205" s="6" t="str">
        <x:v>not_reported</x:v>
      </x:c>
      <x:c r="H205" s="6" t="str">
        <x:v>default</x:v>
      </x:c>
      <x:c r="I205" s="6" t="str">
        <x:v>Применимость источников и эталона к 1С:УНФ 8. Полиграфия 2, релиз 3.0.14.140, подтверждена консультантом со слов пользователя.</x:v>
      </x:c>
      <x:c r="J205" s="13" t="str">
        <x:v>0</x:v>
      </x:c>
      <x:c r="K205" s="13" t="str">
        <x:v>5</x:v>
      </x:c>
      <x:c r="L205" s="7" t="b">
        <x:v>0</x:v>
      </x:c>
      <x:c r="M205" s="6" t="str">
        <x:v>not_applicable</x:v>
      </x:c>
      <x:c r="N205" s="6" t="str">
        <x:v>[]</x:v>
      </x:c>
      <x:c r="O205" s="7" t="b">
        <x:v>1</x:v>
      </x:c>
      <x:c r="P205" s="6" t="str">
        <x:v>K2</x:v>
      </x:c>
      <x:c r="Q205" s="6" t="str">
        <x:v>K2: история пуста, вопрос соответствует статье FAQ poly2-239; в утверждённом источнике есть достаточный применимый ответ для 3.0.14.140. Бот отвечает сразу с источником.</x:v>
      </x:c>
      <x:c r="R205" s="6" t="str">
        <x:v>["faq","poly2","documented_answer"]</x:v>
      </x:c>
      <x:c r="S205" s="6" t="str">
        <x:v>answer</x:v>
      </x:c>
      <x:c r="T205" s="6" t="str">
        <x:v>["В статье используется RD Client и добавление удалённых ресурсов.","Указываются предоставленные администратором адрес и учётные данные; пример адреса из FAQ не является адресом любого клиента.","Указать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5"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5" s="6" t="str">
        <x:v>[{"source_file":"/Users/maria/chatbot_rag/knowledge base/faq_articles.jsonl","source_jsonl_line":33,"faq_id":"poly2-239","url":"https://1cpoly.ru/questions/?action=show&amp;id=239","source_locator":".faq-answer","title":"Как запустить RemoteApp для компьютеров с Mac OS?","source_answer":"Приложение «RD Client» можно скачать с AppStore, приложение бесплатное.\n\nВ самом приложении при нажимаем Remote Resorurses\n\nВ открывшемся окне ввести адрес подключения к серверу (https://web.ateszori.ru/RDWeb/Feed/webfeed.aspx), логин и пароль для подключения. Нажимаем «Refresh».\n\nЕсли подключение прошло успешно появится список приложений, которые можно запустить.\n\nЗапускаем приложение, программа спросит можно ли доверять сертификату, соглашаемся «Continue»\n\nМожно работать.","content_sha256":"3bed5bba997192d3ef52ed8c0e88c91184ae58b4808524cbaab9e429834f5954","saved_at":"2026-10-24T22:59:41.544702+03:00","image_refs":[{"url":"https://1cpoly.ru/i/newcont/ga-unf-161.jpg","local_file":"/Users/maria/Documents/ChatGPT/chatbot/output/faq_1cpoly_prepared_2026-10-25/assets/c04c7ae1a8f9a79a1494.jpg"},{"url":"https://1cpoly.ru/i/newcont/ga-unf-162.jpg","local_file":"/Users/maria/Documents/ChatGPT/chatbot/output/faq_1cpoly_prepared_2026-10-25/assets/16d8127a96645527e519.jpg"},{"url":"https://1cpoly.ru/i/newcont/ga-unf-163.jpg","local_file":"/Users/maria/Documents/ChatGPT/chatbot/output/faq_1cpoly_prepared_2026-10-25/assets/51142183165937a6dbd0.jpg"},{"url":"https://1cpoly.ru/i/newcont/ga-unf-164.jpg","local_file":"/Users/maria/Documents/ChatGPT/chatbot/output/faq_1cpoly_prepared_2026-10-25/assets/218595973e6062ae1c47.jpg"}],"applicability_check":"confirmed_by_consultant","required_facts":["В статье используется RD Client и добавление удалённых ресурсов.","Указываются предоставленные администратором адрес и учётные данные; пример адреса из FAQ не является адресом любого клиента."],"approval_basis":"user_confirmed_consultant_approval"}]</x:v>
      </x:c>
      <x:c r="W205" s="6" t="str">
        <x:v>["В содержательном ответе отражены следующие подтверждённые пункты: В статье используется RD Client и добавление удалённых ресурсов. Указываются предоставленные администратором адрес и учётные данные; пример адреса из FAQ не является адресом любого клиента.","Приведена релевантная ссылка на FAQ; смысл ответа согласуется с источником, нет неподтверждённых действий и лишнего уточнения."]</x:v>
      </x:c>
      <x:c r="X205" s="6" t="str">
        <x:v>approved</x:v>
      </x:c>
      <x:c r="Y205" s="6" t="str">
        <x:v>Карточка и применимость источников согласованы консультантом; утверждение подтверждено пользователем 25.10.2026.</x:v>
      </x:c>
      <x:c r="Z205" s="6" t="str">
        <x:v>G-04efc0b6e6acca</x:v>
      </x:c>
      <x:c r="AA205" s="6" t="str">
        <x:v>eval</x:v>
      </x:c>
      <x:c r="AB205" s="6" t="str">
        <x:v>official_faq_entry</x:v>
      </x:c>
    </x:row>
    <x:row r="206" ht="115" customHeight="1">
      <x:c r="A206" s="6" t="str">
        <x:v>FAQ-poly2-243</x:v>
      </x:c>
      <x:c r="B206" s="6" t="str">
        <x:v>official_faq_entry:poly2-243</x:v>
      </x:c>
      <x:c r="C206" s="6" t="str">
        <x:v>{"history":[],"user_message":"Как удалить всё из демонстрационной базы данных «1С:УНФ8.Полиграфия 2», кроме справочников и документов нормирования, чтобы начать её использовать как рабочую базу данных?"}</x:v>
      </x:c>
      <x:c r="D206" s="6" t="str">
        <x:v>{"product":"1С:УНФ 8. Полиграфия 2","version":"3.0.14.140","retrieval_state":"available","handoff_consent":false,"source_faq_id":"poly2-243","group_id":"faq_poly2-243","source_applicability":"confirmed_by_consultant","approval_basis":"user_confirmed_consultant_approval"}</x:v>
      </x:c>
      <x:c r="E206" s="6" t="str">
        <x:v>1С:УНФ 8. Полиграфия 2</x:v>
      </x:c>
      <x:c r="F206" s="6" t="str">
        <x:v>3.0.14.140</x:v>
      </x:c>
      <x:c r="G206" s="6" t="str">
        <x:v>not_reported</x:v>
      </x:c>
      <x:c r="H206" s="6" t="str">
        <x:v>default</x:v>
      </x:c>
      <x:c r="I206" s="6" t="str">
        <x:v>Применимость источников и эталона к 1С:УНФ 8. Полиграфия 2, релиз 3.0.14.140, подтверждена консультантом со слов пользователя.</x:v>
      </x:c>
      <x:c r="J206" s="13" t="str">
        <x:v>0</x:v>
      </x:c>
      <x:c r="K206" s="13" t="str">
        <x:v>5</x:v>
      </x:c>
      <x:c r="L206" s="7" t="b">
        <x:v>0</x:v>
      </x:c>
      <x:c r="M206" s="6" t="str">
        <x:v>not_applicable</x:v>
      </x:c>
      <x:c r="N206" s="6" t="str">
        <x:v>[]</x:v>
      </x:c>
      <x:c r="O206" s="7" t="b">
        <x:v>1</x:v>
      </x:c>
      <x:c r="P206" s="6" t="str">
        <x:v>K2</x:v>
      </x:c>
      <x:c r="Q206" s="6" t="str">
        <x:v>K2: история пуста, вопрос соответствует статье FAQ poly2-243; в утверждённом источнике есть достаточный применимый ответ для 3.0.14.140. Бот отвечает сразу с источником.</x:v>
      </x:c>
      <x:c r="R206" s="6" t="str">
        <x:v>["faq","poly2","documented_answer"]</x:v>
      </x:c>
      <x:c r="S206" s="6" t="str">
        <x:v>answer</x:v>
      </x:c>
      <x:c r="T206" s="6" t="str">
        <x:v>["В FAQ очистка демонстрационной базы начинается с создания её копии.","Описывается штатная обработка группового изменения реквизитов и пометка выбранных объектов на удаление; нельзя переносить это на рабочую базу без проверки границ.","Указать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6"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6" s="6" t="str">
        <x:v>[{"source_file":"/Users/maria/chatbot_rag/knowledge base/faq_articles.jsonl","source_jsonl_line":34,"faq_id":"poly2-243","url":"https://1cpoly.ru/questions/?action=show&amp;id=243","source_locator":".faq-answer","title":"Как удалить всё из демонстрационной базы данных «1С:УНФ8.Полиграфия 2», кроме справочников и документов нормирования, чтобы начать её использовать как рабочую базу данных?","source_answer":"Это можно сделать двумя способами.\n\n1-ый способ\n\n-----------------------------\n\nДелаем копию демонстрационной базы данных.\n\nОткрываем под пользователем с «Административными правами» базу данных.\n\nПодсистема «Компания» -&gt; Еще больше возможностей –&gt;Корректировка данных и открываем обработку «Групповое изменение реквизитов»\n\nВыбираем необходимый состав объектов, которые хотим удалить.\n\nНа закладке «Дополнительные параметры» открываем возможность использовать «Служебных реквизитов»\n\nУстанавливаем Пометку удаления и нажимаем кнопку «Изменить реквизиты»\n\nПосле того как весь необходимый состав объектов будет помечен на удаление переходим (открываем) другую обработку «Удаление помеченных объектов»\n\nВыбираем настройки и нажимаем кнопку «удалить».\n\nТаким образом мы удали все ненужные объекты и можем использовать эту БД для дальнейшей работы.\n\n2-ой способ\n\n-----------------\n\nСкачиваете с портала 1С:ИТС актуальную обработку «Выгрузка и загрузка данных XML»\n\nПодготавливаете из дистрибутива новую пустую базу и по аналогии с рабочей (демоБД) настраиваете параметры учета.\n\nКомпания –&gt;Еще больше возможностей. И по каждому пункту (Компания, CRM, Продажи…)\n\nЗатем на рабочей (демоБД) из главного меню «Файл-&gt;Открыть» и указываем путь к нашей скачанной обработке.\n\nОткрываем.\n\nНа закладке «Выгрузка» отмечаем все объекты в «Константы», «Справочники», «Планы видов характеристик», «Регистры сведений»\n\nВ блоке «Документы» отмечаем документы нормирования.\n\nУказываем файл выгрузки и нажимаем кнопку «Выгрузить»\n\nДожидаемся окончания выгрузки.\n\nНа этом работа с этой базой завершена.\n\nПереходим к нашей пустой (вновь созданной) базе.\n\nОткрываем скачанную обработку «Выгрузка и загрузка данных»\n\nПо умолчанию при создании БД у вас может не хватить прав на открытие и выполнение процедур во внешней обработке и вы получите сообщение о нарушении прав доступа.\n\nОткрываем новую БД в режиме Конфигуратора, Администрирование-&gt;Пользователи –выбираем, открываем, закладка «Прочее» и отмечаем (назначаем этому пользователю) роль «Интерактивное открытие внешних отчетов и обработок»\n\nЗатем, запускаем БД в режиме «1С:Предприятие 8» таким же образом открываем обработку «Выгрузка и загрузка данных XML» и на закладке «Загрузка» (см. настройки) указываем путь к файлу выгрузки и нажимаем «Загрузить данные»\n\nЖдем окончания загрузки.\n\nПосле этого проверяем все справочники и их структура на месте, документы нормирования перенеслись.\n\nЖурналы всех документов пустые.\n\nМожно начинать работать в БД.","content_sha256":"f56e1a2fc8142aca0ff7d47db9f8c52440fd7ac43e5a413701d5fa37478f7d16","saved_at":"2026-10-24T22:59:41.544702+03:00","image_refs":[{"url":"https://1cpoly.ru/i/newcont/ga-unf-201.jpg","local_file":"/Users/maria/Documents/ChatGPT/chatbot/output/faq_1cpoly_prepared_2026-10-25/assets/e455a885d6d7edb02691.jpg"},{"url":"https://1cpoly.ru/i/newcont/ga-unf-202.jpg","local_file":"/Users/maria/Documents/ChatGPT/chatbot/output/faq_1cpoly_prepared_2026-10-25/assets/85f322433eb1e1207ae2.jpg"},{"url":"https://1cpoly.ru/i/newcont/ga-unf-203.jpg","local_file":"/Users/maria/Documents/ChatGPT/chatbot/output/faq_1cpoly_prepared_2026-10-25/assets/24026751b72a35be711c.jpg"},{"url":"https://1cpoly.ru/i/newcont/ga-unf-204.jpg","local_file":"/Users/maria/Documents/ChatGPT/chatbot/output/faq_1cpoly_prepared_2026-10-25/assets/07b991a5f3ebb4e671ee.jpg"},{"url":"https://1cpoly.ru/i/newcont/ga-unf-205.jpg","local_file":"/Users/maria/Documents/ChatGPT/chatbot/output/faq_1cpoly_prepared_2026-10-25/assets/307108cd5a61327ed879.jpg"},{"url":"https://1cpoly.ru/i/newcont/ga-unf-206.jpg","local_file":"/Users/maria/Documents/ChatGPT/chatbot/output/faq_1cpoly_prepared_2026-10-25/assets/aa937b6fd20fc1a41d99.jpg"},{"url":"https://1cpoly.ru/i/newcont/ga-unf-207.jpg","local_file":"/Users/maria/Documents/ChatGPT/chatbot/output/faq_1cpoly_prepared_2026-10-25/assets/66748537b7606faf517a.jpg"},{"url":"https://1cpoly.ru/i/newcont/ga-unf-208.jpg","local_file":"/Users/maria/Documents/ChatGPT/chatbot/output/faq_1cpoly_prepared_2026-10-25/assets/470df87184d64746c9fa.jpg"},{"url":"https://1cpoly.ru/i/newcont/ga-unf-209.jpg","local_file":"/Users/maria/Documents/ChatGPT/chatbot/output/faq_1cpoly_prepared_2026-10-25/assets/fb9da632585680ddbedd.jpg"},{"url":"https://1cpoly.ru/i/newcont/ga-unf-210.jpg","local_file":"/Users/maria/Documents/ChatGPT/chatbot/output/faq_1cpoly_prepared_2026-10-25/assets/a26000fef8da48eb6680.jpg"},{"url":"https://1cpoly.ru/i/newcont/ga-unf-211.jpg","local_file":"/Users/maria/Documents/ChatGPT/chatbot/output/faq_1cpoly_prepared_2026-10-25/assets/dfd04953830c82958af2.jpg"},{"url":"https://1cpoly.ru/i/newcont/ga-unf-212.jpg","local_file":"/Users/maria/Documents/ChatGPT/chatbot/output/faq_1cpoly_prepared_2026-10-25/assets/9013312a360db7d901a8.jpg"},{"url":"https://1cpoly.ru/i/newcont/ga-unf-213.jpg","local_file":"/Users/maria/Documents/ChatGPT/chatbot/output/faq_1cpoly_prepared_2026-10-25/assets/8a7efc2cd0066c46da48.jpg"},{"url":"https://1cpoly.ru/i/newcont/ga-unf-214.jpg","local_file":"/Users/maria/Documents/ChatGPT/chatbot/output/faq_1cpoly_prepared_2026-10-25/assets/dbdf22514bba41477283.jpg"},{"url":"https://1cpoly.ru/i/newcont/ga-unf-215.jpg","local_file":"/Users/maria/Documents/ChatGPT/chatbot/output/faq_1cpoly_prepared_2026-10-25/assets/227ff6b83b6968389741.jpg"},{"url":"https://1cpoly.ru/i/newcont/ga-unf-216.jpg","local_file":"/Users/maria/Documents/ChatGPT/chatbot/output/faq_1cpoly_prepared_2026-10-25/assets/cd2a6bda0a44dbe5dc69.jpg"},{"url":"https://1cpoly.ru/i/newcont/ga-unf-217.jpg","local_file":"/Users/maria/Documents/ChatGPT/chatbot/output/faq_1cpoly_prepared_2026-10-25/assets/cdeec19d8af3f089b07a.jpg"},{"url":"https://1cpoly.ru/i/newcont/ga-unf-218.jpg","local_file":"/Users/maria/Documents/ChatGPT/chatbot/output/faq_1cpoly_prepared_2026-10-25/assets/d39b5748d92cde88df0e.jpg"},{"url":"https://1cpoly.ru/i/newcont/ga-unf-219.jpg","local_file":"/Users/maria/Documents/ChatGPT/chatbot/output/faq_1cpoly_prepared_2026-10-25/assets/2380c7b5893f4905bd85.jpg"}],"applicability_check":"confirmed_by_consultant","required_facts":["В FAQ очистка демонстрационной базы начинается с создания её копии.","Описывается штатная обработка группового изменения реквизитов и пометка выбранных объектов на удаление; нельзя переносить это на рабочую базу без проверки границ."],"approval_basis":"user_confirmed_consultant_approval"}]</x:v>
      </x:c>
      <x:c r="W206" s="6" t="str">
        <x:v>["В содержательном ответе отражены следующие подтверждённые пункты: В FAQ очистка демонстрационной базы начинается с создания её копии. Описывается штатная обработка группового изменения реквизитов и пометка выбранных объектов на удаление; нельзя переносить это на рабочую базу без проверки границ.","Приведена релевантная ссылка на FAQ; смысл ответа согласуется с источником, нет неподтверждённых действий и лишнего уточнения."]</x:v>
      </x:c>
      <x:c r="X206" s="6" t="str">
        <x:v>approved</x:v>
      </x:c>
      <x:c r="Y206" s="6" t="str">
        <x:v>Карточка и применимость источников согласованы консультантом; утверждение подтверждено пользователем 25.10.2026.</x:v>
      </x:c>
      <x:c r="Z206" s="6" t="str">
        <x:v>G-64500d583a72e3</x:v>
      </x:c>
      <x:c r="AA206" s="6" t="str">
        <x:v>eval</x:v>
      </x:c>
      <x:c r="AB206" s="6" t="str">
        <x:v>official_faq_entry</x:v>
      </x:c>
    </x:row>
    <x:row r="207" ht="115" customHeight="1">
      <x:c r="A207" s="6" t="str">
        <x:v>FAQ-poly2-247</x:v>
      </x:c>
      <x:c r="B207" s="6" t="str">
        <x:v>official_faq_entry:poly2-247</x:v>
      </x:c>
      <x:c r="C207" s="6" t="str">
        <x:v>{"history":[],"user_message":"Как программа делает раскладку формата продукции на формате печатного листа?"}</x:v>
      </x:c>
      <x:c r="D207" s="6" t="str">
        <x:v>{"product":"1С:УНФ 8. Полиграфия 2","version":"3.0.14.140","retrieval_state":"available","handoff_consent":false,"source_faq_id":"poly2-247","group_id":"faq_poly2-247","source_applicability":"confirmed_by_consultant","approval_basis":"user_confirmed_consultant_approval"}</x:v>
      </x:c>
      <x:c r="E207" s="6" t="str">
        <x:v>1С:УНФ 8. Полиграфия 2</x:v>
      </x:c>
      <x:c r="F207" s="6" t="str">
        <x:v>3.0.14.140</x:v>
      </x:c>
      <x:c r="G207" s="6" t="str">
        <x:v>not_reported</x:v>
      </x:c>
      <x:c r="H207" s="6" t="str">
        <x:v>default</x:v>
      </x:c>
      <x:c r="I207" s="6" t="str">
        <x:v>Применимость источников и эталона к 1С:УНФ 8. Полиграфия 2, релиз 3.0.14.140, подтверждена консультантом со слов пользователя.</x:v>
      </x:c>
      <x:c r="J207" s="13" t="str">
        <x:v>0</x:v>
      </x:c>
      <x:c r="K207" s="13" t="str">
        <x:v>5</x:v>
      </x:c>
      <x:c r="L207" s="7" t="b">
        <x:v>0</x:v>
      </x:c>
      <x:c r="M207" s="6" t="str">
        <x:v>not_applicable</x:v>
      </x:c>
      <x:c r="N207" s="6" t="str">
        <x:v>[]</x:v>
      </x:c>
      <x:c r="O207" s="7" t="b">
        <x:v>1</x:v>
      </x:c>
      <x:c r="P207" s="6" t="str">
        <x:v>K2</x:v>
      </x:c>
      <x:c r="Q207" s="6" t="str">
        <x:v>K2: история пуста, вопрос соответствует статье FAQ poly2-247; в утверждённом источнике есть достаточный применимый ответ для 3.0.14.140. Бот отвечает сразу с источником.</x:v>
      </x:c>
      <x:c r="R207" s="6" t="str">
        <x:v>["faq","poly2","documented_answer"]</x:v>
      </x:c>
      <x:c r="S207" s="6" t="str">
        <x:v>answer</x:v>
      </x:c>
      <x:c r="T207" s="6" t="str">
        <x:v>["Полезный формат печати учитывает поле и клапан оборудования.","Дальнейшая раскладка зависит от варианта учёта полей и поля для резки; числовой пример нельзя выдавать за универсальный результат.","Указать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7"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7" s="6" t="str">
        <x:v>[{"source_file":"/Users/maria/chatbot_rag/knowledge base/faq_articles.jsonl","source_jsonl_line":38,"faq_id":"poly2-247","url":"https://1cpoly.ru/questions/?action=show&amp;id=247","source_locator":".faq-answer","title":"Как программа делает раскладку формата продукции на формате печатного листа?","source_answer":"Рассмотрим пример: продукция однополосная, печать листовая.\n\nФормат печати: 420х594 (А2)\n\nФормат продукции: 210х297 (A4)\n\nПоля для резки: 3 мм.\n\nОборудование: клапан-по ширине, поле -10 мм, клапан -15 мм.\n\nФормат печати\n\nЧтобы узнать сколько продукции уместится на формате печатного листа, программа из формата печати вычитает данные реквизитов оборудования «Поле» и «Клапан».\n\nВ нашем примере клапан располагается по длине, поэтому из ширины формата печати вычитаем 15 мм на клапан («слева») и 10 мм на поле «справа».\n\nФормат печати ширина=Формат.Ширина-Оборудование.Клапан-Оборудование.Поле=420-15-10=395\n\nДалее программа проверят значение реквизита «Вариант учета полей печатного оборудования» (Справочник Оборудование-закладка «Параметры оборудования»), если данный реквизит установлен в значение «Да», тогда проверяется значение реквизита полиграфического заказа «Поле для резки» ( Закладка «Пресс»-Группа «Расположение на печатном листе»).\n\nЕсли поле для резки меньше или равно минимальному из значений оборудования (реквизит «Поле» из Оборудования или реквизит «Клапан») , тогда к формату печати по ширине прибавляет значение поле для резки слева и справа. Тем самым размещая поле для резки на выделенном поле и клапане оборудования.\n\nЕсли Поле для резки больше, чем минимальное из значений оборудования (реквизит «Поле» из Оборудования или реквизит «Клапан»), тогда к формату печати по ширине прибавляет минимальное из значений оборудования (поле или Клапан) слева и справа.\n\nВ нашем пример поле для резки =3 мм, это меньше, чем 10 мм, поэтому\n\nФормат печати ширина= 395+2* ПолеДляРезки=395+2*3=401\n\nЕсли значение реквизита «Вариант учета полей печатного оборудования» установлено в значение «Нет», тогда поля резки не прибавляются к формату печати по ширине.\n\nДля расчета длины печатного формата, программа уменьшат формат печати по длине на значение реквизита «Поле» из Оборудования снизу и сверху.\n\nФормат печати длина=Формат.Длина-2*Оборудование.Поле= 594-10-10=574;\n\nДалее программа проверят значение реквизита «Вариант учета полей печатного оборудования» (Справочник Оборудование-закладка «Параметры оборудования»), если данный реквизит установлен в значение «Да», тогда проверяется значение реквизита полиграфического заказа «Поле для резки» (Закладка «Пресс»-Группа «Расположение на печатном листе»).\n\nДалее программа сравнивает значение поля для резки со значением реквизита«Поле» из Оборудования, если оно меньше или равно, тогда прибавляет к формату печати по длине значение поля для резки.\n\nЕсли Поле для резки больше, чем реквизит «Поле» из Оборудования, тогда к формату печати по длине прибавляет значений реквизита «Поле» из Оборудования слева и справа.\n\nВ нашем пример поле для резки =3 мм, это меньше, чем 10 мм, поэтому\n\nФормат печати длина=Формат.Длина+ 2*ПолеДляРезки =574+2*3=580;\n\nЕсли значение реквизита «Вариант учета полей печатного оборудования» установлено в значение «Нет», тогда поля резки не прибавляются к формату печати по длине.\n\nФормат продукции\n\nК ширине продукции программа добавляет поля для резки слева и справа\n\nШиринаПродукции = 210+ ПолеДляРезки*2=210+2*3=216;\n\nК длине продукции программа добавляет поля для резки сверху и снизу\n\nДлинаПродукции = Длина + ПолеДляРезки*2= 297+2*3=303;\n\nРаскладка формата продукции (216х303) на формате печати (401х580)\n\nКогда программа делает раскладку на листе, программа сначала делит ширину печати на ширину продукции. Длину печати на дину продукции. Получает размещенное кол-во на листе, потом программа пытается разложить продукцию по-другому. Длину продукции по ширине листа, ширину продукции по длине листа. При каком варианте получим максимальное кол-во продукций, тот вариант программа и берет за основу.\n\nВ нашем примере разложив дину по дине, ширину по ширине получаем 1 изделие на листе.\n\nПри втором варианте кол-во размещенных продукции будет равно 2.\n\nЕсли значение реквизита «Вариант учета полей печатного оборудования» было бы установлено в значение «Нет», тогда программа размещала формата продукции (216х303) на формате печати (395х574).\n\nРазмещение нескольких полос продукции на одном листе.\n\nФормат печати: 420х594 (А2) ;\n\nФормат продукции: 210х297 (A4);\n\nКоличество полос: 2;\n\nПоля для резки: 3 мм;\n\nОборудование: клапан-по длине, поле -3 мм, клапан -3мм.\n\nДля того. Чтоб узнать поместиться ли изделие на формат печатного листа , программа вычитает из длины формата печати, значения полей оборудования (слева и справа).\n\nПо Аналогии с предыдущим примером получаем следующие значения формата печати\n\nФормат печати ширина=Формат.Ширина-Оборудование.Клапан-Оборудование.Поле=420-3-3=414мм\n\nФормат печати ширина= 414+2* ПолеДляРезки=414+2*3=420.\n\nФормат печати длина=Формат.Длина-2*Оборудование.Поле= 594-3-3=588;\n\nФормат печати длина=588+ 2*ПолеДляРезки =588+2*3=594;\n\nФормат продукции\n\nК ширине продукции программа добавляет поля для резки слева и справа\n\nШиринаПродукции = 210+ ПолеДляРезки*2=210+2*3=216;\n\nК длине продукции программа добавляет поля для резки сверху и снизу\n\nДлинаПродукции = Длина + ПолеДляРезки*2= 297+2*3=303;\n\nРаскладка формата продукции (216х303) на формате печати (420х594)\n\n594/216=2 изделия по ширине листа\n\n420/303=1 изделия по длине листа\n\nПолучаем 2 изделия с одной стороны листа, но так как изделие у нас многополосное и красочность изделия двусторонняя, общее количество продукции на листе , с учетом оборота получили 4.","content_sha256":"04a8cb61cd644853df668a12d04b271c47070a235f99eae793b2870796e638fa","saved_at":"2026-10-24T22:59:41.544702+03:00","image_refs":[{"url":"https://1cpoly.ru/i/newcont/qa-format-1.png","local_file":"/Users/maria/Documents/ChatGPT/chatbot/output/faq_1cpoly_prepared_2026-10-25/assets/a32ea86d18775651c11e.png"},{"url":"https://1cpoly.ru/i/newcont/qa-format-2.png","local_file":"/Users/maria/Documents/ChatGPT/chatbot/output/faq_1cpoly_prepared_2026-10-25/assets/527fbf86b4202a4333ba.png"},{"url":"https://1cpoly.ru/i/newcont/qa-format-3.png","local_file":"/Users/maria/Documents/ChatGPT/chatbot/output/faq_1cpoly_prepared_2026-10-25/assets/4a0753ca87721ede5fc3.png"},{"url":"https://1cpoly.ru/i/newcont/qa-format-4.png","local_file":"/Users/maria/Documents/ChatGPT/chatbot/output/faq_1cpoly_prepared_2026-10-25/assets/a440653e22553ed88388.png"},{"url":"https://1cpoly.ru/i/newcont/qa-format-5.png","local_file":"/Users/maria/Documents/ChatGPT/chatbot/output/faq_1cpoly_prepared_2026-10-25/assets/ebf49186d718c5786a42.png"},{"url":"https://1cpoly.ru/i/newcont/qa-format-6.png","local_file":"/Users/maria/Documents/ChatGPT/chatbot/output/faq_1cpoly_prepared_2026-10-25/assets/e244862f73617dcb4abc.png"},{"url":"https://1cpoly.ru/i/newcont/qa-format-7.png","local_file":"/Users/maria/Documents/ChatGPT/chatbot/output/faq_1cpoly_prepared_2026-10-25/assets/dcda0e0c8b8d84998139.png"},{"url":"https://1cpoly.ru/i/newcont/qa-format-8.png","local_file":"/Users/maria/Documents/ChatGPT/chatbot/output/faq_1cpoly_prepared_2026-10-25/assets/177b9fbefc0208c972b3.png"}],"applicability_check":"confirmed_by_consultant","required_facts":["Полезный формат печати учитывает поле и клапан оборудования.","Дальнейшая раскладка зависит от варианта учёта полей и поля для резки; числовой пример нельзя выдавать за универсальный результат."],"approval_basis":"user_confirmed_consultant_approval"}]</x:v>
      </x:c>
      <x:c r="W207" s="6" t="str">
        <x:v>["В содержательном ответе отражены следующие подтверждённые пункты: Полезный формат печати учитывает поле и клапан оборудования. Дальнейшая раскладка зависит от варианта учёта полей и поля для резки; числовой пример нельзя выдавать за универсальный результат.","Приведена релевантная ссылка на FAQ; смысл ответа согласуется с источником, нет неподтверждённых действий и лишнего уточнения."]</x:v>
      </x:c>
      <x:c r="X207" s="6" t="str">
        <x:v>approved</x:v>
      </x:c>
      <x:c r="Y207" s="6" t="str">
        <x:v>Карточка и применимость источников согласованы консультантом; утверждение подтверждено пользователем 25.10.2026.</x:v>
      </x:c>
      <x:c r="Z207" s="6" t="str">
        <x:v>G-10b0b0576742f7</x:v>
      </x:c>
      <x:c r="AA207" s="6" t="str">
        <x:v>eval</x:v>
      </x:c>
      <x:c r="AB207" s="6" t="str">
        <x:v>official_faq_entry</x:v>
      </x:c>
    </x:row>
    <x:row r="208" ht="115" customHeight="1">
      <x:c r="A208" s="6" t="str">
        <x:v>FAQ-poly2-256</x:v>
      </x:c>
      <x:c r="B208" s="6" t="str">
        <x:v>official_faq_entry:poly2-256</x:v>
      </x:c>
      <x:c r="C208" s="6" t="str">
        <x:v>{"history":[],"user_message":"Автоматизация типовых действий в 1С:Полиграфия"}</x:v>
      </x:c>
      <x:c r="D208" s="6" t="str">
        <x:v>{"product":"1С:УНФ 8. Полиграфия 2","version":"3.0.14.140","retrieval_state":"available","handoff_consent":false,"source_faq_id":"poly2-256","group_id":"faq_poly2-256","source_applicability":"confirmed_by_consultant","approval_basis":"user_confirmed_consultant_approval"}</x:v>
      </x:c>
      <x:c r="E208" s="6" t="str">
        <x:v>1С:УНФ 8. Полиграфия 2</x:v>
      </x:c>
      <x:c r="F208" s="6" t="str">
        <x:v>3.0.14.140</x:v>
      </x:c>
      <x:c r="G208" s="6" t="str">
        <x:v>not_reported</x:v>
      </x:c>
      <x:c r="H208" s="6" t="str">
        <x:v>default</x:v>
      </x:c>
      <x:c r="I208" s="6" t="str">
        <x:v>Применимость источников и эталона к 1С:УНФ 8. Полиграфия 2, релиз 3.0.14.140, подтверждена консультантом со слов пользователя.</x:v>
      </x:c>
      <x:c r="J208" s="13" t="str">
        <x:v>0</x:v>
      </x:c>
      <x:c r="K208" s="13" t="str">
        <x:v>5</x:v>
      </x:c>
      <x:c r="L208" s="7" t="b">
        <x:v>0</x:v>
      </x:c>
      <x:c r="M208" s="6" t="str">
        <x:v>not_applicable</x:v>
      </x:c>
      <x:c r="N208" s="6" t="str">
        <x:v>[]</x:v>
      </x:c>
      <x:c r="O208" s="7" t="b">
        <x:v>1</x:v>
      </x:c>
      <x:c r="P208" s="6" t="str">
        <x:v>K2</x:v>
      </x:c>
      <x:c r="Q208" s="6" t="str">
        <x:v>K2: история пуста, вопрос соответствует статье FAQ poly2-256; в утверждённом источнике есть достаточный применимый ответ для 3.0.14.140. Бот отвечает сразу с источником.</x:v>
      </x:c>
      <x:c r="R208" s="6" t="str">
        <x:v>["faq","poly2","documented_answer"]</x:v>
      </x:c>
      <x:c r="S208" s="6" t="str">
        <x:v>answer</x:v>
      </x:c>
      <x:c r="T208" s="6" t="str">
        <x:v>["Правила рабочего процесса открываются в разделе CRM.","Для правила задаются включение, условие старта, критерии и действия; они позволяют автоматизировать документированные события и уведомления.","Указать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8"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8" s="6" t="str">
        <x:v>[{"source_file":"/Users/maria/chatbot_rag/knowledge base/faq_articles.jsonl","source_jsonl_line":44,"faq_id":"poly2-256","url":"https://1cpoly.ru/questions/?action=show&amp;id=256","source_locator":".faq-answer","title":"Автоматизация типовых действий в 1С:Полиграфия","source_answer":"Правила рабочего процесса в 1C:Полиграфия позволяют автоматизировать рутинные процессы в работе такие как отправка писем при смене статуса заказа, установка напоминаний и создание событий, оповещение Контрагента о изменениях статуса его заказа.\n\nДля создания правила необходимо пройти по ссылке «Правила рабочего процесса» в разделе «CRM»\n\nПройдя по ссылке, мы видим таблицу со списком уже созданных правил\n\nВ таблице несколько столбцов:\n\n1. Наименование - в котором присутствует два типа данных – визуальный, кружочки и наименование правила. Цвет кружка означает состояние правила – зеленый означает включено, а серый – выключено.\n\n2. Условие старта – действие пользователя при котором правило сработает\n\n3. Критерии правила – условие срабатывания правила\n\n4. Действия – действие, выполняемое программой при срабатывании правила\n\n5. Автор – кто создал данное правило\n\n6. Комментарий – пояснение к правилу\n\nЧто бы создать правило нажимаем на кнопку «Создать»\n\nНачинаем с того, что даем название правилу и включаем правило – ставим галочку напротив строки «Включено». Выбираем условие старта – в поле «Условие старта» выбираем из предложенного списка нужный вариант – в данном случае «Изменение статуса по расчету заказа».\n\nВариантов «Условий старта» на данный момент 13 из которых 11 правил связаны с изменением состояния документов и событий. При выборе Условия, связанного с изменением состояния документа, в поле «Критерии правила» необходимо поставить галочку напротив соответствующей строки и выбрать необходимое условие выполнения (Статус заказа – Приостановлен).\n\nПоле «Критерии правила» позволяет более тонко настроить параметры, при которых данное правило сработает.\n\nВ поле «Выполняемые действия» выбираем или создаем действия, которые должна сделать программа при выполнении всех условий срабатывания правила\n\nДля настройки действий нажимаем кнопку «Добавить»\n\nВозникает окно выбора и создания действий.\n\nЕсли в списке нет действий, которые нам нужны – мы их создадим.\n\nДля этого нажимаем кнопку «Создать» и в открывшемся окне заполняем следующие поля:\n\n1. Тип действия – что будет делать программа, когда условия будут выполнены. Для каждого типа действия в 1C:Полиграфия предусмотрен свой набор заполняемых полей.\n\nВ примере поставим «Отправить E-mail».\n\n2. Наименование – именуем данное правило, чтобы отличать его от других.\n\n3. Шаблон – шаблон письма. К шаблону можно прикрепить файл или печатную форму нужного документа.\n\nПри необходимости можно создать новый шаблон. В зависимости от назначения можно использовать набор требуемых реквизитов.\n\n4. Кому - адресат которому отправляется данное письмо. Адресата можно жестко закрепить, нажав на кружочек «указанный» и выбрав сотрудника или контактное лицо, либо\n\nконтрагента. Если мы поставим отметку напротив «из основания», то программа будет обращаться к документу основанию и брать оттуда нужный вариант. В списке можно выбрать 2 варианта «Автор» или «Покупатель».\n\nАвтор – пользователь программы, автор документа на основании которого выполняется действие\n\nПокупатель – контрагент из документа на основании которого выполняется действие.\n\n5. Учетная запись – адрес электронной почты с которого будет уходить письмо\n\n6. Ответственный – сотрудник, отвечающий за данное событие. Ответственного можно подставить из основания или закрепить из списка(указанный)\n\n7. Вид контактной информации – по какому каналу уйдет сообщение, но так как мы выбрали Тип действия «Отправить E-mail» - канал стоит по умолчанию «E-mail»\n\nВ примере эта форма после заполнения выглядит так:\n\nНажимаем «Записать и закрыть».\n\nВ списке действий также выбираем созданное правило и нажимаем «Выбрать»\n\nВ карточке правила ставим галочку «Включено» и нажимаем «Записать»\n\nНа одно правило может быть несколько действий - например мы можем отправить письмо клиенту о готовности заказа, отправить ему SMS с аналогичной информацией и создать напоминание менеджеру о необходимости позвонить клиенту и узнать, когда он приедет за заказом.\n\nВ верхней части карточки можно проверить действие правила – нажимаем на ссылку «Выполнение правила».\n\nВ журнале мы видим какое Действие сработало, с каким результатом и когда это событие произошло.\n\nПравило готово и работает.","content_sha256":"cb1e46694541337544d1154893e4c1cf835679444b76f3827408f738ae2152de","saved_at":"2026-10-24T22:59:41.544702+03:00","image_refs":[{"url":"https://1cpoly.ru/i/newcont/workflow1.png","local_file":"/Users/maria/Documents/ChatGPT/chatbot/output/faq_1cpoly_prepared_2026-10-25/assets/174d7bb7e8f47ab2bb5f.png"},{"url":"https://1cpoly.ru/i/newcont/workflow2.png","local_file":"/Users/maria/Documents/ChatGPT/chatbot/output/faq_1cpoly_prepared_2026-10-25/assets/93efa0996a2da2a5db1d.png"},{"url":"https://1cpoly.ru/i/newcont/workflow3.png","local_file":"/Users/maria/Documents/ChatGPT/chatbot/output/faq_1cpoly_prepared_2026-10-25/assets/9252a72da7b7bc1dcad4.png"},{"url":"https://1cpoly.ru/i/newcont/workflow4.png","local_file":"/Users/maria/Documents/ChatGPT/chatbot/output/faq_1cpoly_prepared_2026-10-25/assets/dadd844e9a1e520e4532.png"},{"url":"https://1cpoly.ru/i/newcont/workflow5.png","local_file":"/Users/maria/Documents/ChatGPT/chatbot/output/faq_1cpoly_prepared_2026-10-25/assets/c56651903eaeedab8660.png"},{"url":"https://1cpoly.ru/i/newcont/workflow6.png","local_file":"/Users/maria/Documents/ChatGPT/chatbot/output/faq_1cpoly_prepared_2026-10-25/assets/b4024512c5a2e9c240d2.png"},{"url":"https://1cpoly.ru/i/newcont/workflow7.png","local_file":"/Users/maria/Documents/ChatGPT/chatbot/output/faq_1cpoly_prepared_2026-10-25/assets/8502bff5ac7011f21b57.png"},{"url":"https://1cpoly.ru/i/newcont/workflow8.png","local_file":"/Users/maria/Documents/ChatGPT/chatbot/output/faq_1cpoly_prepared_2026-10-25/assets/e5ea45519d90e9edb419.png"},{"url":"https://1cpoly.ru/i/newcont/workflow9.png","local_file":"/Users/maria/Documents/ChatGPT/chatbot/output/faq_1cpoly_prepared_2026-10-25/assets/950ea66bdf958ad819fd.png"},{"url":"https://1cpoly.ru/i/newcont/workflow10.png","local_file":"/Users/maria/Documents/ChatGPT/chatbot/output/faq_1cpoly_prepared_2026-10-25/assets/3077aacc3ab7d3f8143f.png"},{"url":"https://1cpoly.ru/i/newcont/workflow11.png","local_file":"/Users/maria/Documents/ChatGPT/chatbot/output/faq_1cpoly_prepared_2026-10-25/assets/bff343d897d26eb03e33.png"},{"url":"https://1cpoly.ru/i/newcont/workflow12.png","local_file":"/Users/maria/Documents/ChatGPT/chatbot/output/faq_1cpoly_prepared_2026-10-25/assets/c508ea57855227916ca6.png"},{"url":"https://1cpoly.ru/i/newcont/workflow14.png","local_file":"/Users/maria/Documents/ChatGPT/chatbot/output/faq_1cpoly_prepared_2026-10-25/assets/3d27ff9b35f9f3c32df5.png"}],"applicability_check":"confirmed_by_consultant","required_facts":["Правила рабочего процесса открываются в разделе CRM.","Для правила задаются включение, условие старта, критерии и действия; они позволяют автоматизировать документированные события и уведомления."],"approval_basis":"user_confirmed_consultant_approval"}]</x:v>
      </x:c>
      <x:c r="W208" s="6" t="str">
        <x:v>["В содержательном ответе отражены следующие подтверждённые пункты: Правила рабочего процесса открываются в разделе CRM. Для правила задаются включение, условие старта, критерии и действия; они позволяют автоматизировать документированные события и уведомления.","Приведена релевантная ссылка на FAQ; смысл ответа согласуется с источником, нет неподтверждённых действий и лишнего уточнения."]</x:v>
      </x:c>
      <x:c r="X208" s="6" t="str">
        <x:v>approved</x:v>
      </x:c>
      <x:c r="Y208" s="6" t="str">
        <x:v>Карточка и применимость источников согласованы консультантом; утверждение подтверждено пользователем 25.10.2026.</x:v>
      </x:c>
      <x:c r="Z208" s="6" t="str">
        <x:v>G-178f8f30c1008a</x:v>
      </x:c>
      <x:c r="AA208" s="6" t="str">
        <x:v>eval</x:v>
      </x:c>
      <x:c r="AB208" s="6" t="str">
        <x:v>official_faq_entry</x:v>
      </x:c>
    </x:row>
    <x:row r="209" ht="115" customHeight="1">
      <x:c r="A209" s="6" t="str">
        <x:v>FAQ-poly8-001</x:v>
      </x:c>
      <x:c r="B209" s="6" t="str">
        <x:v>official_faq_entry:poly8-001</x:v>
      </x:c>
      <x:c r="C209" s="6" t="str">
        <x:v>{"history":[],"user_message":"Как нормируется время операции в зависимости от плотности и формата операции с последующим использованием в расчете стоимости заказа?"}</x:v>
      </x:c>
      <x:c r="D209" s="6" t="str">
        <x:v>{"product":"1С:УНФ 8. Полиграфия 2","version":"3.0.14.140","retrieval_state":"available","handoff_consent":false,"source_faq_id":"poly8-001","group_id":"faq_poly8-001","source_applicability":"confirmed_by_consultant","source_product":"1С:Полиграфия 8","approval_basis":"user_confirmed_consultant_approval"}</x:v>
      </x:c>
      <x:c r="E209" s="6" t="str">
        <x:v>1С:УНФ 8. Полиграфия 2</x:v>
      </x:c>
      <x:c r="F209" s="6" t="str">
        <x:v>3.0.14.140</x:v>
      </x:c>
      <x:c r="G209" s="6" t="str">
        <x:v>not_reported</x:v>
      </x:c>
      <x:c r="H209" s="6" t="str">
        <x:v>default</x:v>
      </x:c>
      <x:c r="I209" s="6" t="str">
        <x:v>Применимость источников и эталона к 1С:УНФ 8. Полиграфия 2, релиз 3.0.14.140, подтверждена консультантом со слов пользователя.</x:v>
      </x:c>
      <x:c r="J209" s="13" t="str">
        <x:v>0</x:v>
      </x:c>
      <x:c r="K209" s="13" t="str">
        <x:v>5</x:v>
      </x:c>
      <x:c r="L209" s="7" t="b">
        <x:v>0</x:v>
      </x:c>
      <x:c r="M209" s="6" t="str">
        <x:v>not_applicable</x:v>
      </x:c>
      <x:c r="N209" s="6" t="str">
        <x:v>[]</x:v>
      </x:c>
      <x:c r="O209" s="7" t="b">
        <x:v>1</x:v>
      </x:c>
      <x:c r="P209" s="6" t="str">
        <x:v>K2</x:v>
      </x:c>
      <x:c r="Q209" s="6" t="str">
        <x:v>K2: история пуста, вопрос соответствует статье FAQ poly8-001; в утверждённом источнике есть достаточный применимый ответ для 3.0.14.140. Бот отвечает сразу с источником.</x:v>
      </x:c>
      <x:c r="R209" s="6" t="str">
        <x:v>["faq","poly8","documented_answer"]</x:v>
      </x:c>
      <x:c r="S209" s="6" t="str">
        <x:v>answer</x:v>
      </x:c>
      <x:c r="T209" s="6" t="str">
        <x:v>["На оборудовании включается нормирование по скорости/времени.","Для операции задаются параметры плотности/формата и нормы времени/стоимости; используются формулы и настройки из изображений источника.","Указать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9"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9" s="6" t="str">
        <x:v>[{"source_file":"/Users/maria/chatbot_rag/knowledge base/faq_articles.jsonl","source_jsonl_line":45,"faq_id":"poly8-001","url":"https://1cpoly.ru/questions/faq-function-poligrafiy/","source_locator":"#field_0 &gt; accordion item 1","title":"Как нормируется время операции в зависимости от плотности и формата операции с последующим использованием в расчете стоимости заказа?","source_answer":"Рассмотрим на примере из демобазы.\nОперация – Резка1\nОборудование – Резак\nОборудование «Резак» – закладка «Нормирование» - устанавливаем «v» использовать нормирование по скорости(времени).\n\nСоздаем операцию поспресса «Резка1»\nЗакладки.\n\nЗдесь выберу только плотность (можно добавить и формат, тогда в формуле нормирования операции по времени еще нужно будет выбирать формат)\n\nНормируем операцию по времени\n\nНормируем операцию по стоимости\n\nДобавляем операцию на закладке Постпресс. С одной плотностью и форматом затем с другой с другой","content_sha256":"f90ae50f022a720468991ced3c8737f58c74ad1f9942bb14611eb495cf789e99","saved_at":"2026-10-24T22:59:41.544702+03:00","image_refs":[{"url":"https://1cpoly.ru/i/newcont/faq-ex4-1.jpg","local_file":"/Users/maria/Documents/ChatGPT/chatbot/output/faq_1cpoly_prepared_2026-10-25/assets/546a60e2d7eef6e729aa.jpg"},{"url":"https://1cpoly.ru/i/newcont/faq-ex4-2.jpg","local_file":"/Users/maria/Documents/ChatGPT/chatbot/output/faq_1cpoly_prepared_2026-10-25/assets/6fb08ecb85a4744f369f.jpg"},{"url":"https://1cpoly.ru/i/newcont/faq-ex4-3.jpg","local_file":"/Users/maria/Documents/ChatGPT/chatbot/output/faq_1cpoly_prepared_2026-10-25/assets/9b393d99b1ec96cde89e.jpg"},{"url":"https://1cpoly.ru/i/newcont/faq-ex4-4.jpg","local_file":"/Users/maria/Documents/ChatGPT/chatbot/output/faq_1cpoly_prepared_2026-10-25/assets/4b964ce4a35686472e16.jpg"},{"url":"https://1cpoly.ru/i/newcont/faq-ex4-5.jpg","local_file":"/Users/maria/Documents/ChatGPT/chatbot/output/faq_1cpoly_prepared_2026-10-25/assets/30eb40fb7da03459141e.jpg"},{"url":"https://1cpoly.ru/i/newcont/faq-ex4-6.jpg","local_file":"/Users/maria/Documents/ChatGPT/chatbot/output/faq_1cpoly_prepared_2026-10-25/assets/7b2a4da756e6a9f978fa.jpg"},{"url":"https://1cpoly.ru/i/newcont/faq-ex4-7.jpg","local_file":"/Users/maria/Documents/ChatGPT/chatbot/output/faq_1cpoly_prepared_2026-10-25/assets/edcdca06eb3db9384291.jpg"},{"url":"https://1cpoly.ru/i/newcont/faq-ex4-8.jpg","local_file":"/Users/maria/Documents/ChatGPT/chatbot/output/faq_1cpoly_prepared_2026-10-25/assets/7b8966b2ae0a1922f2e7.jpg"}],"applicability_check":"confirmed_by_consultant","required_facts":["На оборудовании включается нормирование по скорости/времени.","Для операции задаются параметры плотности/формата и нормы времени/стоимости; используются формулы и настройки из изображений источника."],"approval_basis":"user_confirmed_consultant_approval"}]</x:v>
      </x:c>
      <x:c r="W209" s="6" t="str">
        <x:v>["В содержательном ответе отражены следующие подтверждённые пункты: На оборудовании включается нормирование по скорости/времени. Для операции задаются параметры плотности/формата и нормы времени/стоимости; используются формулы и настройки из изображений источника.","Приведена релевантная ссылка на FAQ; смысл ответа согласуется с источником, нет неподтверждённых действий и лишнего уточнения."]</x:v>
      </x:c>
      <x:c r="X209" s="6" t="str">
        <x:v>approved</x:v>
      </x:c>
      <x:c r="Y209" s="6" t="str">
        <x:v>Карточка и применимость источников согласованы консультантом; утверждение подтверждено пользователем 25.10.2026.</x:v>
      </x:c>
      <x:c r="Z209" s="6" t="str">
        <x:v>G-543936cea3fefd</x:v>
      </x:c>
      <x:c r="AA209" s="6" t="str">
        <x:v>eval</x:v>
      </x:c>
      <x:c r="AB209" s="6" t="str">
        <x:v>official_faq_entry</x:v>
      </x:c>
    </x:row>
    <x:row r="210" ht="115" customHeight="1">
      <x:c r="A210" s="6" t="str">
        <x:v>FAQ-poly8-002</x:v>
      </x:c>
      <x:c r="B210" s="6" t="str">
        <x:v>official_faq_entry:poly8-002</x:v>
      </x:c>
      <x:c r="C210" s="6" t="str">
        <x:v>{"history":[],"user_message":"Как учитываются параметры плотности, формата, времени операций постпресса в стоимости расчета заказа?"}</x:v>
      </x:c>
      <x:c r="D210" s="6" t="str">
        <x:v>{"product":"1С:УНФ 8. Полиграфия 2","version":"3.0.14.140","retrieval_state":"available","handoff_consent":false,"source_faq_id":"poly8-002","group_id":"faq_poly8-002","source_applicability":"confirmed_by_consultant","source_product":"1С:Полиграфия 8","approval_basis":"user_confirmed_consultant_approval"}</x:v>
      </x:c>
      <x:c r="E210" s="6" t="str">
        <x:v>1С:УНФ 8. Полиграфия 2</x:v>
      </x:c>
      <x:c r="F210" s="6" t="str">
        <x:v>3.0.14.140</x:v>
      </x:c>
      <x:c r="G210" s="6" t="str">
        <x:v>not_reported</x:v>
      </x:c>
      <x:c r="H210" s="6" t="str">
        <x:v>default</x:v>
      </x:c>
      <x:c r="I210" s="6" t="str">
        <x:v>Применимость источников и эталона к 1С:УНФ 8. Полиграфия 2, релиз 3.0.14.140, подтверждена консультантом со слов пользователя.</x:v>
      </x:c>
      <x:c r="J210" s="13" t="str">
        <x:v>0</x:v>
      </x:c>
      <x:c r="K210" s="13" t="str">
        <x:v>5</x:v>
      </x:c>
      <x:c r="L210" s="7" t="b">
        <x:v>0</x:v>
      </x:c>
      <x:c r="M210" s="6" t="str">
        <x:v>not_applicable</x:v>
      </x:c>
      <x:c r="N210" s="6" t="str">
        <x:v>[]</x:v>
      </x:c>
      <x:c r="O210" s="7" t="b">
        <x:v>1</x:v>
      </x:c>
      <x:c r="P210" s="6" t="str">
        <x:v>K2</x:v>
      </x:c>
      <x:c r="Q210" s="6" t="str">
        <x:v>K2: история пуста, вопрос соответствует статье FAQ poly8-002; в утверждённом источнике есть достаточный применимый ответ для 3.0.14.140. Бот отвечает сразу с источником.</x:v>
      </x:c>
      <x:c r="R210" s="6" t="str">
        <x:v>["faq","poly8","documented_answer"]</x:v>
      </x:c>
      <x:c r="S210" s="6" t="str">
        <x:v>answer</x:v>
      </x:c>
      <x:c r="T210" s="6" t="str">
        <x:v>["Нормирование по времени включается на оборудовании.","Операция постпресса нормируется по времени и стоимости; существенная часть примера находится на изображениях.","Указать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0"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0" s="6" t="str">
        <x:v>[{"source_file":"/Users/maria/chatbot_rag/knowledge base/faq_articles.jsonl","source_jsonl_line":46,"faq_id":"poly8-002","url":"https://1cpoly.ru/questions/faq-function-poligrafiy/","source_locator":"#field_0 &gt; accordion item 2","title":"Как учитываются параметры плотности, формата, времени операций постпресса в стоимости расчета заказа?","source_answer":"Рассмотрим на примере из демобазы.\nОперация – Резка1\nОборудование – Резак\nОборудование «Резак» – закладка «Нормирование» - устанавливаем «v» использовать нормирование по скорости(времени)\n\nСоздаем операцию поспресса «Резка1»\n\nЗакладки.\n\nНормируем операцию по времени\n\nНормируем операцию по стоимости\n\nДобавляю операцию на закладке Постпресс.","content_sha256":"70812cee74b3fd64f1993850925da279c98ae1e769ff0d15246a765980309b43","saved_at":"2026-10-24T22:59:41.544702+03:00","image_refs":[{"url":"https://1cpoly.ru/i/newcont/faq-ex2-1.jpg","local_file":"/Users/maria/Documents/ChatGPT/chatbot/output/faq_1cpoly_prepared_2026-10-25/assets/b045ddc47f5d084f2d84.jpg"},{"url":"https://1cpoly.ru/i/newcont/faq-ex2-2.jpg","local_file":"/Users/maria/Documents/ChatGPT/chatbot/output/faq_1cpoly_prepared_2026-10-25/assets/37f7c22af97471fbfcde.jpg"},{"url":"https://1cpoly.ru/i/newcont/faq-ex2-3.jpg","local_file":"/Users/maria/Documents/ChatGPT/chatbot/output/faq_1cpoly_prepared_2026-10-25/assets/7b049a1539e0958c2918.jpg"},{"url":"https://1cpoly.ru/i/newcont/faq-ex2-4.jpg","local_file":"/Users/maria/Documents/ChatGPT/chatbot/output/faq_1cpoly_prepared_2026-10-25/assets/f7703aacfa07dfef77f2.jpg"},{"url":"https://1cpoly.ru/i/newcont/faq-ex2-5.jpg","local_file":"/Users/maria/Documents/ChatGPT/chatbot/output/faq_1cpoly_prepared_2026-10-25/assets/de136b08fb3f321ceef3.jpg"},{"url":"https://1cpoly.ru/i/newcont/faq-ex2-6.jpg","local_file":"/Users/maria/Documents/ChatGPT/chatbot/output/faq_1cpoly_prepared_2026-10-25/assets/57d945085fdee258bae5.jpg"},{"url":"https://1cpoly.ru/i/newcont/faq-ex2-7.jpg","local_file":"/Users/maria/Documents/ChatGPT/chatbot/output/faq_1cpoly_prepared_2026-10-25/assets/a5b08b63efba76a0e38b.jpg"},{"url":"https://1cpoly.ru/i/newcont/faq-ex2-8.jpg","local_file":"/Users/maria/Documents/ChatGPT/chatbot/output/faq_1cpoly_prepared_2026-10-25/assets/784148ffe1f37bea2000.jpg"}],"applicability_check":"confirmed_by_consultant","required_facts":["Нормирование по времени включается на оборудовании.","Операция постпресса нормируется по времени и стоимости; существенная часть примера находится на изображениях."],"approval_basis":"user_confirmed_consultant_approval"}]</x:v>
      </x:c>
      <x:c r="W210" s="6" t="str">
        <x:v>["В содержательном ответе отражены следующие подтверждённые пункты: Нормирование по времени включается на оборудовании. Операция постпресса нормируется по времени и стоимости; существенная часть примера находится на изображениях.","Приведена релевантная ссылка на FAQ; смысл ответа согласуется с источником, нет неподтверждённых действий и лишнего уточнения."]</x:v>
      </x:c>
      <x:c r="X210" s="6" t="str">
        <x:v>approved</x:v>
      </x:c>
      <x:c r="Y210" s="6" t="str">
        <x:v>Карточка и применимость источников согласованы консультантом; утверждение подтверждено пользователем 25.10.2026.</x:v>
      </x:c>
      <x:c r="Z210" s="6" t="str">
        <x:v>G-543936cea3fefd</x:v>
      </x:c>
      <x:c r="AA210" s="6" t="str">
        <x:v>eval</x:v>
      </x:c>
      <x:c r="AB210" s="6" t="str">
        <x:v>official_faq_entry</x:v>
      </x:c>
    </x:row>
    <x:row r="211" ht="115" customHeight="1">
      <x:c r="A211" s="6" t="str">
        <x:v>FAQ-poly8-004</x:v>
      </x:c>
      <x:c r="B211" s="6" t="str">
        <x:v>official_faq_entry:poly8-004</x:v>
      </x:c>
      <x:c r="C211" s="6" t="str">
        <x:v>{"history":[],"user_message":"Как установить программу на OS X ?"}</x:v>
      </x:c>
      <x:c r="D211" s="6" t="str">
        <x:v>{"product":"1С:УНФ 8. Полиграфия 2","version":"3.0.14.140","retrieval_state":"available","handoff_consent":false,"source_faq_id":"poly8-004","group_id":"faq_poly8-004","source_applicability":"confirmed_by_consultant","source_product":"1С:Полиграфия 8","approval_basis":"user_confirmed_consultant_approval"}</x:v>
      </x:c>
      <x:c r="E211" s="6" t="str">
        <x:v>1С:УНФ 8. Полиграфия 2</x:v>
      </x:c>
      <x:c r="F211" s="6" t="str">
        <x:v>3.0.14.140</x:v>
      </x:c>
      <x:c r="G211" s="6" t="str">
        <x:v>not_reported</x:v>
      </x:c>
      <x:c r="H211" s="6" t="str">
        <x:v>default</x:v>
      </x:c>
      <x:c r="I211" s="6" t="str">
        <x:v>Применимость источников и эталона к 1С:УНФ 8. Полиграфия 2, релиз 3.0.14.140, подтверждена консультантом со слов пользователя.</x:v>
      </x:c>
      <x:c r="J211" s="13" t="str">
        <x:v>0</x:v>
      </x:c>
      <x:c r="K211" s="13" t="str">
        <x:v>5</x:v>
      </x:c>
      <x:c r="L211" s="7" t="b">
        <x:v>0</x:v>
      </x:c>
      <x:c r="M211" s="6" t="str">
        <x:v>not_applicable</x:v>
      </x:c>
      <x:c r="N211" s="6" t="str">
        <x:v>[]</x:v>
      </x:c>
      <x:c r="O211" s="7" t="b">
        <x:v>1</x:v>
      </x:c>
      <x:c r="P211" s="6" t="str">
        <x:v>K2</x:v>
      </x:c>
      <x:c r="Q211" s="6" t="str">
        <x:v>K2: история пуста, вопрос соответствует статье FAQ poly8-004; в утверждённом источнике есть достаточный применимый ответ для 3.0.14.140. Бот отвечает сразу с источником.</x:v>
      </x:c>
      <x:c r="R211" s="6" t="str">
        <x:v>["faq","poly8","documented_answer"]</x:v>
      </x:c>
      <x:c r="S211" s="6" t="str">
        <x:v>answer</x:v>
      </x:c>
      <x:c r="T211" s="6" t="str">
        <x:v>["Используется клиент 1С:Предприятия для OS X с официального портала.","Тип ключа определяет порядок лицензирования и необходимость драйвера; применимость инструкции к целевому релизу подтверждена консультантом.","Указать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1"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1" s="6" t="str">
        <x:v>[{"source_file":"/Users/maria/chatbot_rag/knowledge base/faq_articles.jsonl","source_jsonl_line":48,"faq_id":"poly8-004","url":"https://1cpoly.ru/questions/faq-function-poligrafiy/","source_locator":"#field_0 &gt; accordion item 4","title":"Как установить программу на OS X ?","source_answer":"На портале 1с https://releases.1c.ru/project/Platform83\n\n(Или на диске ИТС - clientosx.dmg) вам нужно скачать дистрибутив Клиент 1С:Предприятия для OS X\n\nПри начале установки может быть ошибка\n\nРазрешаем установку сторонних программ.\n\nЗапускаем и все по умолчанию\n\nНаименование базы и путь к каталогу.\n\nНаименование базы и путь к каталогу. Если программный ключ , то аналогично как и в windows получаем лицензию.\nЕсли аппаратный и есть usb разъем, то скачиваем и устанавливаем драйвер.\nНа сайт производителя https://safenet-sentinel.ru/helpdesk/download-space/\n\nВставляем ключ и работаем.","content_sha256":"73723bad4c3db861dc26391d37a6b8ad4fb436bd505ce024a797ece0783d1ea3","saved_at":"2026-10-24T22:59:41.544702+03:00","image_refs":[{"url":"https://1cpoly.ru/i/newcont/faq-mac-1.png","local_file":"/Users/maria/Documents/ChatGPT/chatbot/output/faq_1cpoly_prepared_2026-10-25/assets/502448fa62dea32aadc4.png"},{"url":"https://1cpoly.ru/i/newcont/faq-mac-2.png","local_file":"/Users/maria/Documents/ChatGPT/chatbot/output/faq_1cpoly_prepared_2026-10-25/assets/fb54c33c647865f6b01f.png"},{"url":"https://1cpoly.ru/i/newcont/faq-mac-3.png","local_file":"/Users/maria/Documents/ChatGPT/chatbot/output/faq_1cpoly_prepared_2026-10-25/assets/50d97cb67ea6b41b6121.png"},{"url":"https://1cpoly.ru/i/newcont/faq-mac-4.png","local_file":"/Users/maria/Documents/ChatGPT/chatbot/output/faq_1cpoly_prepared_2026-10-25/assets/f5e1762f42fad5019613.png"},{"url":"https://1cpoly.ru/i/newcont/faq-mac-5.png","local_file":"/Users/maria/Documents/ChatGPT/chatbot/output/faq_1cpoly_prepared_2026-10-25/assets/cc3c14f67cef4cb098bd.png"},{"url":"https://1cpoly.ru/i/newcont/faq-mac-6.png","local_file":"/Users/maria/Documents/ChatGPT/chatbot/output/faq_1cpoly_prepared_2026-10-25/assets/04e15a34dcf646de4bc5.png"},{"url":"https://1cpoly.ru/i/newcont/faq-mac-7.png","local_file":"/Users/maria/Documents/ChatGPT/chatbot/output/faq_1cpoly_prepared_2026-10-25/assets/ebefc9c9223c1c003d3f.png"},{"url":"https://1cpoly.ru/i/newcont/faq-mac-8.png","local_file":"/Users/maria/Documents/ChatGPT/chatbot/output/faq_1cpoly_prepared_2026-10-25/assets/c4e90c553a3db4f0fbd3.png"},{"url":"https://1cpoly.ru/i/newcont/faq-mac-9.png","local_file":"/Users/maria/Documents/ChatGPT/chatbot/output/faq_1cpoly_prepared_2026-10-25/assets/df71d178e7adf9a5bc3a.png"},{"url":"https://1cpoly.ru/i/newcont/faq-mac-10.png","local_file":"/Users/maria/Documents/ChatGPT/chatbot/output/faq_1cpoly_prepared_2026-10-25/assets/e38edc98fb4af9c6d1a5.png"},{"url":"https://1cpoly.ru/i/newcont/faq-mac-11.png","local_file":"/Users/maria/Documents/ChatGPT/chatbot/output/faq_1cpoly_prepared_2026-10-25/assets/e9174546f85df67723e1.png"},{"url":"https://1cpoly.ru/i/newcont/faq-mac-12.png","local_file":"/Users/maria/Documents/ChatGPT/chatbot/output/faq_1cpoly_prepared_2026-10-25/assets/8c8a4a4c3e7886139303.png"},{"url":"https://1cpoly.ru/i/newcont/faq-mac-14.png","local_file":"/Users/maria/Documents/ChatGPT/chatbot/output/faq_1cpoly_prepared_2026-10-25/assets/f0ef94c884a184375eeb.png"},{"url":"https://1cpoly.ru/i/newcont/faq-mac-15.png","local_file":"/Users/maria/Documents/ChatGPT/chatbot/output/faq_1cpoly_prepared_2026-10-25/assets/d9639c897297e8a84408.png"},{"url":"https://1cpoly.ru/i/newcont/faq-mac-16.png","local_file":"/Users/maria/Documents/ChatGPT/chatbot/output/faq_1cpoly_prepared_2026-10-25/assets/d5a4ac4dc7f221055bf1.png"},{"url":"https://1cpoly.ru/i/newcont/faq-mac-17.png","local_file":"/Users/maria/Documents/ChatGPT/chatbot/output/faq_1cpoly_prepared_2026-10-25/assets/762d803cf2581d4fb3d6.png"}],"applicability_check":"confirmed_by_consultant","required_facts":["Используется клиент 1С:Предприятия для OS X с официального портала.","Тип ключа определяет порядок лицензирования и необходимость драйвера; применимость инструкции к целевому релизу подтверждена консультантом."],"approval_basis":"user_confirmed_consultant_approval"}]</x:v>
      </x:c>
      <x:c r="W211" s="6" t="str">
        <x:v>["В содержательном ответе отражены следующие подтверждённые пункты: Используется клиент 1С:Предприятия для OS X с официального портала. Тип ключа определяет порядок лицензирования и необходимость драйвера; применимость инструкции к целевому релизу подтверждена консультантом.","Приведена релевантная ссылка на FAQ; смысл ответа согласуется с источником, нет неподтверждённых действий и лишнего уточнения."]</x:v>
      </x:c>
      <x:c r="X211" s="6" t="str">
        <x:v>approved</x:v>
      </x:c>
      <x:c r="Y211" s="6" t="str">
        <x:v>Карточка и применимость источников согласованы консультантом; утверждение подтверждено пользователем 25.10.2026.</x:v>
      </x:c>
      <x:c r="Z211" s="6" t="str">
        <x:v>G-6d12113693d6af</x:v>
      </x:c>
      <x:c r="AA211" s="6" t="str">
        <x:v>eval</x:v>
      </x:c>
      <x:c r="AB211" s="6" t="str">
        <x:v>official_faq_entry</x:v>
      </x:c>
    </x:row>
    <x:row r="212" ht="115" customHeight="1">
      <x:c r="A212" s="6" t="str">
        <x:v>FAQ-poly8-005</x:v>
      </x:c>
      <x:c r="B212" s="6" t="str">
        <x:v>official_faq_entry:poly8-005</x:v>
      </x:c>
      <x:c r="C212" s="6" t="str">
        <x:v>{"history":[],"user_message":"Можно ли в программе отражать фактическое время выполнения операций и проводить сравнение с их плановым временем выполнения?"}</x:v>
      </x:c>
      <x:c r="D212" s="6" t="str">
        <x:v>{"product":"1С:УНФ 8. Полиграфия 2","version":"3.0.14.140","retrieval_state":"available","handoff_consent":false,"source_faq_id":"poly8-005","group_id":"faq_poly8-005","source_applicability":"confirmed_by_consultant","source_product":"1С:Полиграфия 8","approval_basis":"user_confirmed_consultant_approval"}</x:v>
      </x:c>
      <x:c r="E212" s="6" t="str">
        <x:v>1С:УНФ 8. Полиграфия 2</x:v>
      </x:c>
      <x:c r="F212" s="6" t="str">
        <x:v>3.0.14.140</x:v>
      </x:c>
      <x:c r="G212" s="6" t="str">
        <x:v>not_reported</x:v>
      </x:c>
      <x:c r="H212" s="6" t="str">
        <x:v>default</x:v>
      </x:c>
      <x:c r="I212" s="6" t="str">
        <x:v>Применимость источников и эталона к 1С:УНФ 8. Полиграфия 2, релиз 3.0.14.140, подтверждена консультантом со слов пользователя.</x:v>
      </x:c>
      <x:c r="J212" s="13" t="str">
        <x:v>0</x:v>
      </x:c>
      <x:c r="K212" s="13" t="str">
        <x:v>5</x:v>
      </x:c>
      <x:c r="L212" s="7" t="b">
        <x:v>0</x:v>
      </x:c>
      <x:c r="M212" s="6" t="str">
        <x:v>not_applicable</x:v>
      </x:c>
      <x:c r="N212" s="6" t="str">
        <x:v>[]</x:v>
      </x:c>
      <x:c r="O212" s="7" t="b">
        <x:v>1</x:v>
      </x:c>
      <x:c r="P212" s="6" t="str">
        <x:v>K2</x:v>
      </x:c>
      <x:c r="Q212" s="6" t="str">
        <x:v>K2: история пуста, вопрос соответствует статье FAQ poly8-005; в утверждённом источнике есть достаточный применимый ответ для 3.0.14.140. Бот отвечает сразу с источником.</x:v>
      </x:c>
      <x:c r="R212" s="6" t="str">
        <x:v>["faq","poly8","documented_answer"]</x:v>
      </x:c>
      <x:c r="S212" s="6" t="str">
        <x:v>answer</x:v>
      </x:c>
      <x:c r="T212" s="6" t="str">
        <x:v>["Факт выполнения отражается в «Журнале оператора» и обработке отражения факта планирования.","Для списка операций выбирается рабочий центр в фильтре оборудования.","Указать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2"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2" s="6" t="str">
        <x:v>[{"source_file":"/Users/maria/chatbot_rag/knowledge base/faq_articles.jsonl","source_jsonl_line":49,"faq_id":"poly8-005","url":"https://1cpoly.ru/questions/faq-function-poligrafiy/","source_locator":"#field_0 &gt; accordion item 5","title":"Можно ли в программе отражать фактическое время выполнения операций и проводить сравнение с их плановым временем выполнения?","source_answer":"Да, такая возможность есть. Для этого используется документ «Журнал оператора», в котором сотрудник (исполнитель или начальник определенного участка) отражает состояние оборудования по обработке определенного заказа.\n\nДля отражения факта выполнения запланированных операций на рабочих центрах используется обработка «Отражение факта планирования полиграфических заказов».\n\nЧтобы сформировать список запланированных для выполнения на рабочем центре операции, необходимо в поле «Фильтр по оборудованию» выбрать рабочий центр. Для разделения доступа каждому пользователю можно настроить список доступных для выбора рабочих центров.\n\nВ форме выводится список запланированных заказов и операций со следующими данными:\n\nЗаказ клиенте – ссылка на документ расчета;\n\nПродукция – наименование продукции заказа\n\nОперация заказа – запланированная к выполнению операция;\n\nТираж всего заказа;\n\nИсполнитель – поле для выбора исполнителя операции из справочника «Сотрудники»;\n\nНомер спуска;\n\nТираж операции по плану – запланированный тираж операции;\n\nТираж операции по факту – поле для отметки фактически выполненного объема работ;\n\nОжидается (дата, время), В очереди (дата, время), В работе (дата, время, Отработан (дата, время) – поля отметки даты и времени изменения состояния операции заказа;\n\nСостояние – текущее состояние операции\n\nСтатус – текущий статус заказа.\n\nОдна операция может быть автоматически разбита на несколько, если при планировании оказалось, что длительность операции и график рабочего центра не позволяют выполнить ее в течение одной смены. Пользователь может копированием разбить операцию на несколько, установив для каждой свой тираж, в документе «План производства полиграфии».\n\nВ процессе выполнения операции состояние оборудования может принимать одно из следующих значений:\n\nОжидается – присваивается автоматически при постановке операции в план.\n\nВ очереди – присваивается автоматически при завершении предшествующей операции.\n\nВ работе – устанавливается сотрудником при начале выполнения операции.\n\nОтработан – устанавливается сотрудником при окончании выполнения операции.\n\nЕсли фактический тираж операции отличается от планового, то корректируются данные в поле «Тираж операции по факту». Операции, по которым плановый тираж превышает фактический, автоматически попадают в следующий документ «План производства полиграфии» при его заполнении.\n\nПри отметке об окончании работ по операции (выборе состояния «Отработан») заказ автоматически меняет статус заказа на соответствующий оборудованию следующей операции из списка запланированных по заказу операций.\n\nВ дальнейшем полученные в обработке данные используются в отчетности по выполнению заказов.\n\nО фильтрах обработки Журнал оператора (оперативное планирование).\n\nФункционал обработки и ее практическое применение в первую очередь предназначен для работников производственных подразделений, для которых в первую очередь важна опция отображения операций своего участка и регистрации выполненной работы.\n\nЧто влияет на отображение информации в Журнале оператора и использование фильтров быстрого отбора :\n\n1. Пользователю назначается определенная «Роль пользователя» с набором настроек. По всем закладкам.\n\n2. Далее, использование фильтра «Статусы»\nФильтр срабатывает в том случае если, заказ и выполняемая операция на оборудовании (см. справочник Оборудование) имеют одинаковый статус.\n\n3. Далее, Использование фильтра «Оборудование»\nФильтр работает в соответствии с технологической последовательностью выполнения заказа. Фильтр срабатывает, когда идет выполнение операции на выбранном оборудовании, то есть, например, выполнение заказа имеет 3 последовательные операции (препресс, пресс, постпресс), пока не выполнена операция препресса, при выборе оборудования пресса данного заказа ничего не отобразится.\nСтатус «Расчета заказа» - используется как начальная идентификация заказа + мы рекомендуем именно в этом статусе проводить документы (то есть напротив данного статуса в справочнике статусов должна стоять галочка \"Расчетный статус\". Именно такой статус должен быть свободным, т.е. не выбран ни в одном оборудовании. )\nВсе статусы, не являющиеся свободными, не должны быть расчетными!\nНа примере демо базы посмотрим все операции по Расчету заказа №11.Допечатная подготовка. Операции препресса. В данном случае здесь 2 операции Верстка и Фотовывод на соответственно оборудовании Компьютер Apple Macintosh и Компьютер Intel.\nФильтр по оборудованию сработает (если не установлена «V» Отображать выполненные операции) на Компьютер Intel.","content_sha256":"bbbe1807731e80bc275e0cc03c4aa72d6d6551f4e958398e100ce9585c79cbe3","saved_at":"2026-10-24T22:59:41.544702+03:00","image_refs":[{"url":"https://1cpoly.ru/i/newcont/faq-operator-log-1.png","local_file":"/Users/maria/Documents/ChatGPT/chatbot/output/faq_1cpoly_prepared_2026-10-25/assets/f924605dd9221ab2c108.png"},{"url":"https://1cpoly.ru/i/newcont/faq-operator-log-2.png","local_file":"/Users/maria/Documents/ChatGPT/chatbot/output/faq_1cpoly_prepared_2026-10-25/assets/5c79886e93591f33b156.png"},{"url":"https://1cpoly.ru/i/newcont/faq-operator-log-3.jpg","local_file":"/Users/maria/Documents/ChatGPT/chatbot/output/faq_1cpoly_prepared_2026-10-25/assets/f0b38cafcbdca6cad311.jpg"},{"url":"https://1cpoly.ru/i/newcont/faq-operator-log-4.jpg","local_file":"/Users/maria/Documents/ChatGPT/chatbot/output/faq_1cpoly_prepared_2026-10-25/assets/2022c725a7b8415bc72d.jpg"},{"url":"https://1cpoly.ru/i/newcont/faq-operator-log-5.jpg","local_file":"/Users/maria/Documents/ChatGPT/chatbot/output/faq_1cpoly_prepared_2026-10-25/assets/485dc4e4b854fe689da8.jpg"},{"url":"https://1cpoly.ru/i/newcont/faq-operator-log-6.jpg","local_file":"/Users/maria/Documents/ChatGPT/chatbot/output/faq_1cpoly_prepared_2026-10-25/assets/d608bc13541eb9e8188a.jpg"},{"url":"https://1cpoly.ru/i/newcont/faq-operator-log-7.jpg","local_file":"/Users/maria/Documents/ChatGPT/chatbot/output/faq_1cpoly_prepared_2026-10-25/assets/fbbdd67c16761c399adf.jpg"},{"url":"https://1cpoly.ru/i/newcont/faq-operator-log-8.jpg","local_file":"/Users/maria/Documents/ChatGPT/chatbot/output/faq_1cpoly_prepared_2026-10-25/assets/bf23c30b6c7939f6715e.jpg"}],"applicability_check":"confirmed_by_consultant","required_facts":["Факт выполнения отражается в «Журнале оператора» и обработке отражения факта планирования.","Для списка операций выбирается рабочий центр в фильтре оборудования."],"approval_basis":"user_confirmed_consultant_approval"}]</x:v>
      </x:c>
      <x:c r="W212" s="6" t="str">
        <x:v>["В содержательном ответе отражены следующие подтверждённые пункты: Факт выполнения отражается в «Журнале оператора» и обработке отражения факта планирования. Для списка операций выбирается рабочий центр в фильтре оборудования.","Приведена релевантная ссылка на FAQ; смысл ответа согласуется с источником, нет неподтверждённых действий и лишнего уточнения."]</x:v>
      </x:c>
      <x:c r="X212" s="6" t="str">
        <x:v>approved</x:v>
      </x:c>
      <x:c r="Y212" s="6" t="str">
        <x:v>Карточка и применимость источников согласованы консультантом; утверждение подтверждено пользователем 25.10.2026.</x:v>
      </x:c>
      <x:c r="Z212" s="6" t="str">
        <x:v>G-e334e962e1e7c8</x:v>
      </x:c>
      <x:c r="AA212" s="6" t="str">
        <x:v>eval</x:v>
      </x:c>
      <x:c r="AB212" s="6" t="str">
        <x:v>official_faq_entry</x:v>
      </x:c>
    </x:row>
    <x:row r="213" ht="115" customHeight="1">
      <x:c r="A213" s="6" t="str">
        <x:v>FAQ-poly8-009</x:v>
      </x:c>
      <x:c r="B213" s="6" t="str">
        <x:v>official_faq_entry:poly8-009</x:v>
      </x:c>
      <x:c r="C213" s="6" t="str">
        <x:v>{"history":[],"user_message":"Ведется ли учет в программе выработки/наработки по полиграфическому оборудованию?"}</x:v>
      </x:c>
      <x:c r="D213" s="6" t="str">
        <x:v>{"product":"1С:УНФ 8. Полиграфия 2","version":"3.0.14.140","retrieval_state":"available","handoff_consent":false,"source_faq_id":"poly8-009","group_id":"faq_poly8-009","source_applicability":"confirmed_by_consultant","source_product":"1С:Полиграфия 8","approval_basis":"user_confirmed_consultant_approval"}</x:v>
      </x:c>
      <x:c r="E213" s="6" t="str">
        <x:v>1С:УНФ 8. Полиграфия 2</x:v>
      </x:c>
      <x:c r="F213" s="6" t="str">
        <x:v>3.0.14.140</x:v>
      </x:c>
      <x:c r="G213" s="6" t="str">
        <x:v>not_reported</x:v>
      </x:c>
      <x:c r="H213" s="6" t="str">
        <x:v>default</x:v>
      </x:c>
      <x:c r="I213" s="6" t="str">
        <x:v>Применимость источников и эталона к 1С:УНФ 8. Полиграфия 2, релиз 3.0.14.140, подтверждена консультантом со слов пользователя.</x:v>
      </x:c>
      <x:c r="J213" s="13" t="str">
        <x:v>0</x:v>
      </x:c>
      <x:c r="K213" s="13" t="str">
        <x:v>5</x:v>
      </x:c>
      <x:c r="L213" s="7" t="b">
        <x:v>0</x:v>
      </x:c>
      <x:c r="M213" s="6" t="str">
        <x:v>not_applicable</x:v>
      </x:c>
      <x:c r="N213" s="6" t="str">
        <x:v>[]</x:v>
      </x:c>
      <x:c r="O213" s="7" t="b">
        <x:v>1</x:v>
      </x:c>
      <x:c r="P213" s="6" t="str">
        <x:v>K2</x:v>
      </x:c>
      <x:c r="Q213" s="6" t="str">
        <x:v>K2: история пуста, вопрос соответствует статье FAQ poly8-009; в утверждённом источнике есть достаточный применимый ответ для 3.0.14.140. Бот отвечает сразу с источником.</x:v>
      </x:c>
      <x:c r="R213" s="6" t="str">
        <x:v>["faq","poly8","documented_answer"]</x:v>
      </x:c>
      <x:c r="S213" s="6" t="str">
        <x:v>answer</x:v>
      </x:c>
      <x:c r="T213" s="6" t="str">
        <x:v>["Используется «Отчёт по выработке оборудования по заказам».","Анализ опирается на справочник «Параметры выработки ОС».","Указать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3"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3" s="6" t="str">
        <x:v>[{"source_file":"/Users/maria/chatbot_rag/knowledge base/faq_articles.jsonl","source_jsonl_line":53,"faq_id":"poly8-009","url":"https://1cpoly.ru/questions/faq-function-poligrafiy/","source_locator":"#field_0 &gt; accordion item 9","title":"Ведется ли учет в программе выработки/наработки по полиграфическому оборудованию?","source_answer":"Для данной операции в системе реализован отчет «Отчет по выработке\nоборудования по заказам». Информация в отчете анализируется на основании\nустановленных параметров выработки ОС, которые отражаются в специальном\nсправочнике «Параметры выработки ОС» с тремя предопределенными\nпараметрами Подробнее...","content_sha256":"4c8c06988be7da3f94090038b7b42f58a172f472e6ef87d0c9c989adaed0ce86","saved_at":"2026-10-24T22:59:41.544702+03:00","image_refs":[],"applicability_check":"confirmed_by_consultant","required_facts":["Используется «Отчёт по выработке оборудования по заказам».","Анализ опирается на справочник «Параметры выработки ОС»."],"approval_basis":"user_confirmed_consultant_approval"}]</x:v>
      </x:c>
      <x:c r="W213" s="6" t="str">
        <x:v>["В содержательном ответе отражены следующие подтверждённые пункты: Используется «Отчёт по выработке оборудования по заказам». Анализ опирается на справочник «Параметры выработки ОС».","Приведена релевантная ссылка на FAQ; смысл ответа согласуется с источником, нет неподтверждённых действий и лишнего уточнения."]</x:v>
      </x:c>
      <x:c r="X213" s="6" t="str">
        <x:v>approved</x:v>
      </x:c>
      <x:c r="Y213" s="6" t="str">
        <x:v>Карточка и применимость источников согласованы консультантом; утверждение подтверждено пользователем 25.10.2026.</x:v>
      </x:c>
      <x:c r="Z213" s="6" t="str">
        <x:v>G-04fc804afd11b5</x:v>
      </x:c>
      <x:c r="AA213" s="6" t="str">
        <x:v>eval</x:v>
      </x:c>
      <x:c r="AB213" s="6" t="str">
        <x:v>official_faq_entry</x:v>
      </x:c>
    </x:row>
    <x:row r="214" ht="115" customHeight="1">
      <x:c r="A214" s="6" t="str">
        <x:v>FAQ-poly8-012</x:v>
      </x:c>
      <x:c r="B214" s="6" t="str">
        <x:v>official_faq_entry:poly8-012</x:v>
      </x:c>
      <x:c r="C214" s="6" t="str">
        <x:v>{"history":[],"user_message":"Необходим инструмент для оценки работы каждого нашего менеджера по продажам."}</x:v>
      </x:c>
      <x:c r="D214" s="6" t="str">
        <x:v>{"product":"1С:УНФ 8. Полиграфия 2","version":"3.0.14.140","retrieval_state":"available","handoff_consent":false,"source_faq_id":"poly8-012","group_id":"faq_poly8-012","source_applicability":"confirmed_by_consultant","source_product":"1С:Полиграфия 8","approval_basis":"user_confirmed_consultant_approval"}</x:v>
      </x:c>
      <x:c r="E214" s="6" t="str">
        <x:v>1С:УНФ 8. Полиграфия 2</x:v>
      </x:c>
      <x:c r="F214" s="6" t="str">
        <x:v>3.0.14.140</x:v>
      </x:c>
      <x:c r="G214" s="6" t="str">
        <x:v>not_reported</x:v>
      </x:c>
      <x:c r="H214" s="6" t="str">
        <x:v>default</x:v>
      </x:c>
      <x:c r="I214" s="6" t="str">
        <x:v>Применимость источников и эталона к 1С:УНФ 8. Полиграфия 2, релиз 3.0.14.140, подтверждена консультантом со слов пользователя.</x:v>
      </x:c>
      <x:c r="J214" s="13" t="str">
        <x:v>0</x:v>
      </x:c>
      <x:c r="K214" s="13" t="str">
        <x:v>5</x:v>
      </x:c>
      <x:c r="L214" s="7" t="b">
        <x:v>0</x:v>
      </x:c>
      <x:c r="M214" s="6" t="str">
        <x:v>not_applicable</x:v>
      </x:c>
      <x:c r="N214" s="6" t="str">
        <x:v>[]</x:v>
      </x:c>
      <x:c r="O214" s="7" t="b">
        <x:v>1</x:v>
      </x:c>
      <x:c r="P214" s="6" t="str">
        <x:v>K2</x:v>
      </x:c>
      <x:c r="Q214" s="6" t="str">
        <x:v>K2: история пуста, вопрос соответствует статье FAQ poly8-012; в утверждённом источнике есть достаточный применимый ответ для 3.0.14.140. Бот отвечает сразу с источником.</x:v>
      </x:c>
      <x:c r="R214" s="6" t="str">
        <x:v>["faq","poly8","documented_answer"]</x:v>
      </x:c>
      <x:c r="S214" s="6" t="str">
        <x:v>answer</x:v>
      </x:c>
      <x:c r="T214" s="6" t="str">
        <x:v>["Отчёт «Показатели работы менеджеров» предназначен для оценки менеджеров продаж.","Он используется для анализа взаимоотношений менеджеров с клиентами.","Указать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4"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4" s="6" t="str">
        <x:v>[{"source_file":"/Users/maria/chatbot_rag/knowledge base/faq_articles.jsonl","source_jsonl_line":56,"faq_id":"poly8-012","url":"https://1cpoly.ru/questions/faq-function-poligrafiy/","source_locator":"#field_0 &gt; accordion item 12","title":"Необходим инструмент для оценки работы каждого нашего менеджера по продажам.","source_answer":"В программе предусмотрен отчет «Показатели работы менеджеров» -\nпредназначенный для оценки работы менеджеров продаж и анализа\nвзаимоотношений менеджеров с клиентами. Подробнее...","content_sha256":"e8e656553cfd4c3199c7ef63bb24e733b70c5247bc0be193378ef0a300464d82","saved_at":"2026-10-24T22:59:41.544702+03:00","image_refs":[],"applicability_check":"confirmed_by_consultant","required_facts":["Отчёт «Показатели работы менеджеров» предназначен для оценки менеджеров продаж.","Он используется для анализа взаимоотношений менеджеров с клиентами."],"approval_basis":"user_confirmed_consultant_approval"}]</x:v>
      </x:c>
      <x:c r="W214" s="6" t="str">
        <x:v>["В содержательном ответе отражены следующие подтверждённые пункты: Отчёт «Показатели работы менеджеров» предназначен для оценки менеджеров продаж. Он используется для анализа взаимоотношений менеджеров с клиентами.","Приведена релевантная ссылка на FAQ; смысл ответа согласуется с источником, нет неподтверждённых действий и лишнего уточнения."]</x:v>
      </x:c>
      <x:c r="X214" s="6" t="str">
        <x:v>approved</x:v>
      </x:c>
      <x:c r="Y214" s="6" t="str">
        <x:v>Карточка и применимость источников согласованы консультантом; утверждение подтверждено пользователем 25.10.2026.</x:v>
      </x:c>
      <x:c r="Z214" s="6" t="str">
        <x:v>G-c666dc01b917c5</x:v>
      </x:c>
      <x:c r="AA214" s="6" t="str">
        <x:v>eval</x:v>
      </x:c>
      <x:c r="AB214" s="6" t="str">
        <x:v>official_faq_entry</x:v>
      </x:c>
    </x:row>
    <x:row r="215" ht="115" customHeight="1">
      <x:c r="A215" s="6" t="str">
        <x:v>FAQ-poly8-013</x:v>
      </x:c>
      <x:c r="B215" s="6" t="str">
        <x:v>official_faq_entry:poly8-013</x:v>
      </x:c>
      <x:c r="C215" s="6" t="str">
        <x:v>{"history":[],"user_message":"Мы хотим разделять клиентов на категории в зависимости от важности для нас каждого клиента. Возможно это в программе?"}</x:v>
      </x:c>
      <x:c r="D215" s="6" t="str">
        <x:v>{"product":"1С:УНФ 8. Полиграфия 2","version":"3.0.14.140","retrieval_state":"available","handoff_consent":false,"source_faq_id":"poly8-013","group_id":"faq_poly8-013","source_applicability":"confirmed_by_consultant","source_product":"1С:Полиграфия 8","approval_basis":"user_confirmed_consultant_approval"}</x:v>
      </x:c>
      <x:c r="E215" s="6" t="str">
        <x:v>1С:УНФ 8. Полиграфия 2</x:v>
      </x:c>
      <x:c r="F215" s="6" t="str">
        <x:v>3.0.14.140</x:v>
      </x:c>
      <x:c r="G215" s="6" t="str">
        <x:v>not_reported</x:v>
      </x:c>
      <x:c r="H215" s="6" t="str">
        <x:v>default</x:v>
      </x:c>
      <x:c r="I215" s="6" t="str">
        <x:v>Применимость источников и эталона к 1С:УНФ 8. Полиграфия 2, релиз 3.0.14.140, подтверждена консультантом со слов пользователя.</x:v>
      </x:c>
      <x:c r="J215" s="13" t="str">
        <x:v>0</x:v>
      </x:c>
      <x:c r="K215" s="13" t="str">
        <x:v>5</x:v>
      </x:c>
      <x:c r="L215" s="7" t="b">
        <x:v>0</x:v>
      </x:c>
      <x:c r="M215" s="6" t="str">
        <x:v>not_applicable</x:v>
      </x:c>
      <x:c r="N215" s="6" t="str">
        <x:v>[]</x:v>
      </x:c>
      <x:c r="O215" s="7" t="b">
        <x:v>1</x:v>
      </x:c>
      <x:c r="P215" s="6" t="str">
        <x:v>K2</x:v>
      </x:c>
      <x:c r="Q215" s="6" t="str">
        <x:v>K2: история пуста, вопрос соответствует статье FAQ poly8-013; в утверждённом источнике есть достаточный применимый ответ для 3.0.14.140. Бот отвечает сразу с источником.</x:v>
      </x:c>
      <x:c r="R215" s="6" t="str">
        <x:v>["faq","poly8","documented_answer"]</x:v>
      </x:c>
      <x:c r="S215" s="6" t="str">
        <x:v>answer</x:v>
      </x:c>
      <x:c r="T215" s="6" t="str">
        <x:v>["FAQ указывает на CRM и ABC/XYZ-анализ контрагентов.","ABC-анализ отображает важность покупателя на заданную дату по классификации.","Указать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5"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5" s="6" t="str">
        <x:v>[{"source_file":"/Users/maria/chatbot_rag/knowledge base/faq_articles.jsonl","source_jsonl_line":57,"faq_id":"poly8-013","url":"https://1cpoly.ru/questions/faq-function-poligrafiy/","source_locator":"#field_0 &gt; accordion item 13","title":"Мы хотим разделять клиентов на категории в зависимости от важности для нас каждого клиента. Возможно это в программе?","source_answer":"В программе реализован функционал CRM, где есть возможность построения XYZ и ABC-анализа контрагентов:\nОтчет\n«ABC-анализ» - предназначен для отображения важности покупателя на\nзаданную пользователем дату, на основании данных АВС – классификации\nпокупателей Подробнее...","content_sha256":"1aa152ab6a3aa4b69c1465b0cec5dbd1b992509dd988c7f07090642c8524b5d6","saved_at":"2026-10-24T22:59:41.544702+03:00","image_refs":[],"applicability_check":"confirmed_by_consultant","required_facts":["FAQ указывает на CRM и ABC/XYZ-анализ контрагентов.","ABC-анализ отображает важность покупателя на заданную дату по классификации."],"approval_basis":"user_confirmed_consultant_approval"}]</x:v>
      </x:c>
      <x:c r="W215" s="6" t="str">
        <x:v>["В содержательном ответе отражены следующие подтверждённые пункты: FAQ указывает на CRM и ABC/XYZ-анализ контрагентов. ABC-анализ отображает важность покупателя на заданную дату по классификации.","Приведена релевантная ссылка на FAQ; смысл ответа согласуется с источником, нет неподтверждённых действий и лишнего уточнения."]</x:v>
      </x:c>
      <x:c r="X215" s="6" t="str">
        <x:v>approved</x:v>
      </x:c>
      <x:c r="Y215" s="6" t="str">
        <x:v>Карточка и применимость источников согласованы консультантом; утверждение подтверждено пользователем 25.10.2026.</x:v>
      </x:c>
      <x:c r="Z215" s="6" t="str">
        <x:v>G-f0e4159402570f</x:v>
      </x:c>
      <x:c r="AA215" s="6" t="str">
        <x:v>eval</x:v>
      </x:c>
      <x:c r="AB215" s="6" t="str">
        <x:v>official_faq_entry</x:v>
      </x:c>
    </x:row>
    <x:row r="216" ht="115" customHeight="1">
      <x:c r="A216" s="6" t="str">
        <x:v>FAQ-poly8-015</x:v>
      </x:c>
      <x:c r="B216" s="6" t="str">
        <x:v>official_faq_entry:poly8-015</x:v>
      </x:c>
      <x:c r="C216" s="6" t="str">
        <x:v>{"history":[],"user_message":"Мы часто работаем с давальческим сырьем. Как в программе реализован учет и отражение на складе давальческого сырья?"}</x:v>
      </x:c>
      <x:c r="D216" s="6" t="str">
        <x:v>{"product":"1С:УНФ 8. Полиграфия 2","version":"3.0.14.140","retrieval_state":"available","handoff_consent":false,"source_faq_id":"poly8-015","group_id":"faq_poly8-015","source_applicability":"confirmed_by_consultant","source_product":"1С:Полиграфия 8","approval_basis":"user_confirmed_consultant_approval"}</x:v>
      </x:c>
      <x:c r="E216" s="6" t="str">
        <x:v>1С:УНФ 8. Полиграфия 2</x:v>
      </x:c>
      <x:c r="F216" s="6" t="str">
        <x:v>3.0.14.140</x:v>
      </x:c>
      <x:c r="G216" s="6" t="str">
        <x:v>not_reported</x:v>
      </x:c>
      <x:c r="H216" s="6" t="str">
        <x:v>default</x:v>
      </x:c>
      <x:c r="I216" s="6" t="str">
        <x:v>Применимость источников и эталона к 1С:УНФ 8. Полиграфия 2, релиз 3.0.14.140, подтверждена консультантом со слов пользователя.</x:v>
      </x:c>
      <x:c r="J216" s="13" t="str">
        <x:v>0</x:v>
      </x:c>
      <x:c r="K216" s="13" t="str">
        <x:v>5</x:v>
      </x:c>
      <x:c r="L216" s="7" t="b">
        <x:v>0</x:v>
      </x:c>
      <x:c r="M216" s="6" t="str">
        <x:v>not_applicable</x:v>
      </x:c>
      <x:c r="N216" s="6" t="str">
        <x:v>[]</x:v>
      </x:c>
      <x:c r="O216" s="7" t="b">
        <x:v>1</x:v>
      </x:c>
      <x:c r="P216" s="6" t="str">
        <x:v>K2</x:v>
      </x:c>
      <x:c r="Q216" s="6" t="str">
        <x:v>K2: история пуста, вопрос соответствует статье FAQ poly8-015; в утверждённом источнике есть достаточный применимый ответ для 3.0.14.140. Бот отвечает сразу с источником.</x:v>
      </x:c>
      <x:c r="R216" s="6" t="str">
        <x:v>["faq","poly8","documented_answer"]</x:v>
      </x:c>
      <x:c r="S216" s="6" t="str">
        <x:v>answer</x:v>
      </x:c>
      <x:c r="T216" s="6" t="str">
        <x:v>["Операции с давальческим сырьём отражаются специализированными документами.","FAQ перечисляет получение/реализацию услуг по переработке, акт производственных услуг, поступление из переработки, передачу и возврат товаров.","Указать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6"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6" s="6" t="str">
        <x:v>[{"source_file":"/Users/maria/chatbot_rag/knowledge base/faq_articles.jsonl","source_jsonl_line":59,"faq_id":"poly8-015","url":"https://1cpoly.ru/questions/faq-function-poligrafiy/","source_locator":"#field_0 &gt; accordion item 15","title":"Мы часто работаем с давальческим сырьем. Как в программе реализован учет и отражение на складе давальческого сырья?","source_answer":"Для отражения в системе операций по работе с давальческим сырьем и оказании различных производственных услуг существует ряд специализированных документов:\n\nПолучение услуг по переработке\n\nРеализация услуг по переработке\n\nАкт об оказании производственных услуг\n\nПоступление товаров из переработки\n\nПередача товаров\n\nВозврат переданных товаров\n\nПодробнее...","content_sha256":"35349a43be76a23d73b5c6f0a7cc689f7daa2bd838cd44b31c1b4fb4a6f889a3","saved_at":"2026-10-24T22:59:41.544702+03:00","image_refs":[],"applicability_check":"confirmed_by_consultant","required_facts":["Операции с давальческим сырьём отражаются специализированными документами.","FAQ перечисляет получение/реализацию услуг по переработке, акт производственных услуг, поступление из переработки, передачу и возврат товаров."],"approval_basis":"user_confirmed_consultant_approval"}]</x:v>
      </x:c>
      <x:c r="W216" s="6" t="str">
        <x:v>["В содержательном ответе отражены следующие подтверждённые пункты: Операции с давальческим сырьём отражаются специализированными документами. FAQ перечисляет получение/реализацию услуг по переработке, акт производственных услуг, поступление из переработки, передачу и возврат товаров.","Приведена релевантная ссылка на FAQ; смысл ответа согласуется с источником, нет неподтверждённых действий и лишнего уточнения."]</x:v>
      </x:c>
      <x:c r="X216" s="6" t="str">
        <x:v>approved</x:v>
      </x:c>
      <x:c r="Y216" s="6" t="str">
        <x:v>Карточка и применимость источников согласованы консультантом; утверждение подтверждено пользователем 25.10.2026.</x:v>
      </x:c>
      <x:c r="Z216" s="6" t="str">
        <x:v>G-d3439934f0b09b</x:v>
      </x:c>
      <x:c r="AA216" s="6" t="str">
        <x:v>eval</x:v>
      </x:c>
      <x:c r="AB216" s="6" t="str">
        <x:v>official_faq_entry</x:v>
      </x:c>
    </x:row>
    <x:row r="217" ht="115" customHeight="1">
      <x:c r="A217" s="6" t="str">
        <x:v>FAQ-poly8-018</x:v>
      </x:c>
      <x:c r="B217" s="6" t="str">
        <x:v>official_faq_entry:poly8-018</x:v>
      </x:c>
      <x:c r="C217" s="6" t="str">
        <x:v>{"history":[],"user_message":"Можно ли в программе при расчете материалов, помимо бумаги, красок и пленки, рассчитывать и прочие материалы?"}</x:v>
      </x:c>
      <x:c r="D217" s="6" t="str">
        <x:v>{"product":"1С:УНФ 8. Полиграфия 2","version":"3.0.14.140","retrieval_state":"available","handoff_consent":false,"source_faq_id":"poly8-018","group_id":"faq_poly8-018","source_applicability":"confirmed_by_consultant","source_product":"1С:Полиграфия 8","approval_basis":"user_confirmed_consultant_approval"}</x:v>
      </x:c>
      <x:c r="E217" s="6" t="str">
        <x:v>1С:УНФ 8. Полиграфия 2</x:v>
      </x:c>
      <x:c r="F217" s="6" t="str">
        <x:v>3.0.14.140</x:v>
      </x:c>
      <x:c r="G217" s="6" t="str">
        <x:v>not_reported</x:v>
      </x:c>
      <x:c r="H217" s="6" t="str">
        <x:v>default</x:v>
      </x:c>
      <x:c r="I217" s="6" t="str">
        <x:v>Применимость источников и эталона к 1С:УНФ 8. Полиграфия 2, релиз 3.0.14.140, подтверждена консультантом со слов пользователя.</x:v>
      </x:c>
      <x:c r="J217" s="13" t="str">
        <x:v>0</x:v>
      </x:c>
      <x:c r="K217" s="13" t="str">
        <x:v>5</x:v>
      </x:c>
      <x:c r="L217" s="7" t="b">
        <x:v>0</x:v>
      </x:c>
      <x:c r="M217" s="6" t="str">
        <x:v>not_applicable</x:v>
      </x:c>
      <x:c r="N217" s="6" t="str">
        <x:v>[]</x:v>
      </x:c>
      <x:c r="O217" s="7" t="b">
        <x:v>1</x:v>
      </x:c>
      <x:c r="P217" s="6" t="str">
        <x:v>K2</x:v>
      </x:c>
      <x:c r="Q217" s="6" t="str">
        <x:v>K2: история пуста, вопрос соответствует статье FAQ poly8-018; в утверждённом источнике есть достаточный применимый ответ для 3.0.14.140. Бот отвечает сразу с источником.</x:v>
      </x:c>
      <x:c r="R217" s="6" t="str">
        <x:v>["faq","poly8","documented_answer"]</x:v>
      </x:c>
      <x:c r="S217" s="6" t="str">
        <x:v>answer</x:v>
      </x:c>
      <x:c r="T217" s="6" t="str">
        <x:v>["Расчёт прочих материалов возможен после нормирования.","Нормирование связывается с типом продукции или отдельной операцией через «Нормирование операций по материалам».","Указать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7"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7" s="6" t="str">
        <x:v>[{"source_file":"/Users/maria/chatbot_rag/knowledge base/faq_articles.jsonl","source_jsonl_line":62,"faq_id":"poly8-018","url":"https://1cpoly.ru/questions/faq-function-poligrafiy/","source_locator":"#field_0 &gt; accordion item 18","title":"Можно ли в программе при расчете материалов, помимо бумаги, красок и пленки, рассчитывать и прочие материалы?","source_answer":"Такой расчет возможен при предварительном нормировании материалов.\nНормирование может производится как в привязке к определенному типу\nпродукции, например, при расчете листовки с ламинацией рассчитывается и\nпленка для ламинации, так и в привязке к отдельной операции с помощью\nдокумента «Нормирование операций по материалам». Подробнее...","content_sha256":"97f999c8a471cfd90e86980193f797099c1d1f189a5ffa362aea2d1646e63b06","saved_at":"2026-10-24T22:59:41.544702+03:00","image_refs":[],"applicability_check":"confirmed_by_consultant","required_facts":["Расчёт прочих материалов возможен после нормирования.","Нормирование связывается с типом продукции или отдельной операцией через «Нормирование операций по материалам»."],"approval_basis":"user_confirmed_consultant_approval"}]</x:v>
      </x:c>
      <x:c r="W217" s="6" t="str">
        <x:v>["В содержательном ответе отражены следующие подтверждённые пункты: Расчёт прочих материалов возможен после нормирования. Нормирование связывается с типом продукции или отдельной операцией через «Нормирование операций по материалам».","Приведена релевантная ссылка на FAQ; смысл ответа согласуется с источником, нет неподтверждённых действий и лишнего уточнения."]</x:v>
      </x:c>
      <x:c r="X217" s="6" t="str">
        <x:v>approved</x:v>
      </x:c>
      <x:c r="Y217" s="6" t="str">
        <x:v>Карточка и применимость источников согласованы консультантом; утверждение подтверждено пользователем 25.10.2026.</x:v>
      </x:c>
      <x:c r="Z217" s="6" t="str">
        <x:v>G-142ae759590edf</x:v>
      </x:c>
      <x:c r="AA217" s="6" t="str">
        <x:v>eval</x:v>
      </x:c>
      <x:c r="AB217" s="6" t="str">
        <x:v>official_faq_entry</x:v>
      </x:c>
    </x:row>
    <x:row r="218" ht="115" customHeight="1">
      <x:c r="A218" s="6" t="str">
        <x:v>FAQ-poly8-019</x:v>
      </x:c>
      <x:c r="B218" s="6" t="str">
        <x:v>official_faq_entry:poly8-019</x:v>
      </x:c>
      <x:c r="C218" s="6" t="str">
        <x:v>{"history":[],"user_message":"Можно ли под заказ клиента, который сформирован на несколько позиций продукции сделать одно резервирование материалов?"}</x:v>
      </x:c>
      <x:c r="D218" s="6" t="str">
        <x:v>{"product":"1С:УНФ 8. Полиграфия 2","version":"3.0.14.140","retrieval_state":"available","handoff_consent":false,"source_faq_id":"poly8-019","group_id":"faq_poly8-019","source_applicability":"confirmed_by_consultant","source_product":"1С:Полиграфия 8","approval_basis":"user_confirmed_consultant_approval"}</x:v>
      </x:c>
      <x:c r="E218" s="6" t="str">
        <x:v>1С:УНФ 8. Полиграфия 2</x:v>
      </x:c>
      <x:c r="F218" s="6" t="str">
        <x:v>3.0.14.140</x:v>
      </x:c>
      <x:c r="G218" s="6" t="str">
        <x:v>not_reported</x:v>
      </x:c>
      <x:c r="H218" s="6" t="str">
        <x:v>default</x:v>
      </x:c>
      <x:c r="I218" s="6" t="str">
        <x:v>Применимость источников и эталона к 1С:УНФ 8. Полиграфия 2, релиз 3.0.14.140, подтверждена консультантом со слов пользователя.</x:v>
      </x:c>
      <x:c r="J218" s="13" t="str">
        <x:v>0</x:v>
      </x:c>
      <x:c r="K218" s="13" t="str">
        <x:v>5</x:v>
      </x:c>
      <x:c r="L218" s="7" t="b">
        <x:v>0</x:v>
      </x:c>
      <x:c r="M218" s="6" t="str">
        <x:v>not_applicable</x:v>
      </x:c>
      <x:c r="N218" s="6" t="str">
        <x:v>[]</x:v>
      </x:c>
      <x:c r="O218" s="7" t="b">
        <x:v>1</x:v>
      </x:c>
      <x:c r="P218" s="6" t="str">
        <x:v>K2</x:v>
      </x:c>
      <x:c r="Q218" s="6" t="str">
        <x:v>K2: история пуста, вопрос соответствует статье FAQ poly8-019; в утверждённом источнике есть достаточный применимый ответ для 3.0.14.140. Бот отвечает сразу с источником.</x:v>
      </x:c>
      <x:c r="R218" s="6" t="str">
        <x:v>["faq","poly8","documented_answer"]</x:v>
      </x:c>
      <x:c r="S218" s="6" t="str">
        <x:v>answer</x:v>
      </x:c>
      <x:c r="T218" s="6" t="str">
        <x:v>["Документ «Полиграфический заказ покупателя» объединяет несколько калькуляций.","Материалы резервируются по заказу покупателя в целом.","Указать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8"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8" s="6" t="str">
        <x:v>[{"source_file":"/Users/maria/chatbot_rag/knowledge base/faq_articles.jsonl","source_jsonl_line":63,"faq_id":"poly8-019","url":"https://1cpoly.ru/questions/faq-function-poligrafiy/","source_locator":"#field_0 &gt; accordion item 19","title":"Можно ли под заказ клиента, который сформирован на несколько позиций продукции сделать одно резервирование материалов?","source_answer":"Да, в документе «Полиграфический заказ покупателя» предусмотрена\nвозможность объединения нескольких калькуляций, которые делались под\nкаждую продукцию отдельно, и общего резервирования материалов по заказу\nпокупателя в целом. Подробнее...","content_sha256":"c64e29f32418325d63221a46456adf186cbf1533383d4da3f2872b7585d4ef88","saved_at":"2026-10-24T22:59:41.544702+03:00","image_refs":[],"applicability_check":"confirmed_by_consultant","required_facts":["Документ «Полиграфический заказ покупателя» объединяет несколько калькуляций.","Материалы резервируются по заказу покупателя в целом."],"approval_basis":"user_confirmed_consultant_approval"}]</x:v>
      </x:c>
      <x:c r="W218" s="6" t="str">
        <x:v>["В содержательном ответе отражены следующие подтверждённые пункты: Документ «Полиграфический заказ покупателя» объединяет несколько калькуляций. Материалы резервируются по заказу покупателя в целом.","Приведена релевантная ссылка на FAQ; смысл ответа согласуется с источником, нет неподтверждённых действий и лишнего уточнения."]</x:v>
      </x:c>
      <x:c r="X218" s="6" t="str">
        <x:v>approved</x:v>
      </x:c>
      <x:c r="Y218" s="6" t="str">
        <x:v>Карточка и применимость источников согласованы консультантом; утверждение подтверждено пользователем 25.10.2026.</x:v>
      </x:c>
      <x:c r="Z218" s="6" t="str">
        <x:v>G-23a1f5c0694007</x:v>
      </x:c>
      <x:c r="AA218" s="6" t="str">
        <x:v>eval</x:v>
      </x:c>
      <x:c r="AB218" s="6" t="str">
        <x:v>official_faq_entry</x:v>
      </x:c>
    </x:row>
    <x:row r="219" ht="115" customHeight="1">
      <x:c r="A219" s="6" t="str">
        <x:v>FAQ-poly8-021</x:v>
      </x:c>
      <x:c r="B219" s="6" t="str">
        <x:v>official_faq_entry:poly8-021</x:v>
      </x:c>
      <x:c r="C219" s="6" t="str">
        <x:v>{"history":[],"user_message":"У нас очень часто бывает, что, например, заказ красочностью 6+0 печатается следующим образом: 4+0 печатается на одной печатной машине, а потом 2+0 печатается на другой печатной машине. Возможно ли это учитывать в вашей программе?"}</x:v>
      </x:c>
      <x:c r="D219" s="6" t="str">
        <x:v>{"product":"1С:УНФ 8. Полиграфия 2","version":"3.0.14.140","retrieval_state":"available","handoff_consent":false,"source_faq_id":"poly8-021","group_id":"faq_poly8-021","source_applicability":"confirmed_by_consultant","source_product":"1С:Полиграфия 8","approval_basis":"user_confirmed_consultant_approval"}</x:v>
      </x:c>
      <x:c r="E219" s="6" t="str">
        <x:v>1С:УНФ 8. Полиграфия 2</x:v>
      </x:c>
      <x:c r="F219" s="6" t="str">
        <x:v>3.0.14.140</x:v>
      </x:c>
      <x:c r="G219" s="6" t="str">
        <x:v>not_reported</x:v>
      </x:c>
      <x:c r="H219" s="6" t="str">
        <x:v>default</x:v>
      </x:c>
      <x:c r="I219" s="6" t="str">
        <x:v>Применимость источников и эталона к 1С:УНФ 8. Полиграфия 2, релиз 3.0.14.140, подтверждена консультантом со слов пользователя.</x:v>
      </x:c>
      <x:c r="J219" s="13" t="str">
        <x:v>0</x:v>
      </x:c>
      <x:c r="K219" s="13" t="str">
        <x:v>5</x:v>
      </x:c>
      <x:c r="L219" s="7" t="b">
        <x:v>0</x:v>
      </x:c>
      <x:c r="M219" s="6" t="str">
        <x:v>not_applicable</x:v>
      </x:c>
      <x:c r="N219" s="6" t="str">
        <x:v>[]</x:v>
      </x:c>
      <x:c r="O219" s="7" t="b">
        <x:v>1</x:v>
      </x:c>
      <x:c r="P219" s="6" t="str">
        <x:v>K2</x:v>
      </x:c>
      <x:c r="Q219" s="6" t="str">
        <x:v>K2: история пуста, вопрос соответствует статье FAQ poly8-021; в утверждённом источнике есть достаточный применимый ответ для 3.0.14.140. Бот отвечает сразу с источником.</x:v>
      </x:c>
      <x:c r="R219" s="6" t="str">
        <x:v>["faq","poly8","documented_answer"]</x:v>
      </x:c>
      <x:c r="S219" s="6" t="str">
        <x:v>answer</x:v>
      </x:c>
      <x:c r="T219" s="6" t="str">
        <x:v>["Печать на нескольких машинах оформляется через «Расчёт сложного заказа».","Операции пресса представлены отдельными составляющими; для каждой задаются нужные операции.","Указать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9"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9" s="6" t="str">
        <x:v>[{"source_file":"/Users/maria/chatbot_rag/knowledge base/faq_articles.jsonl","source_jsonl_line":65,"faq_id":"poly8-021","url":"https://1cpoly.ru/questions/faq-function-poligrafiy/","source_locator":"#field_0 &gt; accordion item 21","title":"У нас очень часто бывает, что, например, заказ красочностью 6+0 печатается следующим образом: 4+0 печатается на одной печатной машине, а потом 2+0 печатается на другой печатной машине. Возможно ли это учитывать в вашей программе?","source_answer":"Чтобы оформить заказ, выполнение которого потребует работы двух и\nболее печатных машин, можно воспользоваться документом «Расчет сложного\nзаказа», в котором будут рассчитаны 2 операции пресса, и которые будут\nпредставлены в виде двух составляющих данного заказа.\n\nДля каждой составляющей сложного заказа можно указать те виды\nопераций, которые будут в ней рассчитываться. В данном примере это\nтолько операции печати, но в другом случае для каждой составляющей\nзаказа можно также вводить препрессовые и постпрессовые операции.\n\nДалее поочередно рассчитываются каждые составляющие для печати на каждом оборудовании с разной красочностью","content_sha256":"6cd7084644408fd302811c22d4b7cbe6b858970a7937fdbedcdcd616c160c73f","saved_at":"2026-10-24T22:59:41.544702+03:00","image_refs":[],"applicability_check":"confirmed_by_consultant","required_facts":["Печать на нескольких машинах оформляется через «Расчёт сложного заказа».","Операции пресса представлены отдельными составляющими; для каждой задаются нужные операции."],"approval_basis":"user_confirmed_consultant_approval"}]</x:v>
      </x:c>
      <x:c r="W219" s="6" t="str">
        <x:v>["В содержательном ответе отражены следующие подтверждённые пункты: Печать на нескольких машинах оформляется через «Расчёт сложного заказа». Операции пресса представлены отдельными составляющими; для каждой задаются нужные операции.","Приведена релевантная ссылка на FAQ; смысл ответа согласуется с источником, нет неподтверждённых действий и лишнего уточнения."]</x:v>
      </x:c>
      <x:c r="X219" s="6" t="str">
        <x:v>approved</x:v>
      </x:c>
      <x:c r="Y219" s="6" t="str">
        <x:v>Карточка и применимость источников согласованы консультантом; утверждение подтверждено пользователем 25.10.2026.</x:v>
      </x:c>
      <x:c r="Z219" s="6" t="str">
        <x:v>G-88aca0840acb6a</x:v>
      </x:c>
      <x:c r="AA219" s="6" t="str">
        <x:v>eval</x:v>
      </x:c>
      <x:c r="AB219" s="6" t="str">
        <x:v>official_faq_entry</x:v>
      </x:c>
    </x:row>
    <x:row r="220" ht="115" customHeight="1">
      <x:c r="A220" s="6" t="str">
        <x:v>FAQ-poly8-022</x:v>
      </x:c>
      <x:c r="B220" s="6" t="str">
        <x:v>official_faq_entry:poly8-022</x:v>
      </x:c>
      <x:c r="C220" s="6" t="str">
        <x:v>{"history":[],"user_message":"Возможно ли в программе учитывать различные непредвиденные обстоятельства? Например, заказ оформлен менеджером в печать на определенном оборудовании, но в процессе печати выясняется, что целесообразней его печатать на другой машине."}</x:v>
      </x:c>
      <x:c r="D220" s="6" t="str">
        <x:v>{"product":"1С:УНФ 8. Полиграфия 2","version":"3.0.14.140","retrieval_state":"available","handoff_consent":false,"source_faq_id":"poly8-022","group_id":"faq_poly8-022","source_applicability":"confirmed_by_consultant","source_product":"1С:Полиграфия 8","approval_basis":"user_confirmed_consultant_approval"}</x:v>
      </x:c>
      <x:c r="E220" s="6" t="str">
        <x:v>1С:УНФ 8. Полиграфия 2</x:v>
      </x:c>
      <x:c r="F220" s="6" t="str">
        <x:v>3.0.14.140</x:v>
      </x:c>
      <x:c r="G220" s="6" t="str">
        <x:v>not_reported</x:v>
      </x:c>
      <x:c r="H220" s="6" t="str">
        <x:v>default</x:v>
      </x:c>
      <x:c r="I220" s="6" t="str">
        <x:v>Применимость источников и эталона к 1С:УНФ 8. Полиграфия 2, релиз 3.0.14.140, подтверждена консультантом со слов пользователя.</x:v>
      </x:c>
      <x:c r="J220" s="13" t="str">
        <x:v>0</x:v>
      </x:c>
      <x:c r="K220" s="13" t="str">
        <x:v>5</x:v>
      </x:c>
      <x:c r="L220" s="7" t="b">
        <x:v>0</x:v>
      </x:c>
      <x:c r="M220" s="6" t="str">
        <x:v>not_applicable</x:v>
      </x:c>
      <x:c r="N220" s="6" t="str">
        <x:v>[]</x:v>
      </x:c>
      <x:c r="O220" s="7" t="b">
        <x:v>1</x:v>
      </x:c>
      <x:c r="P220" s="6" t="str">
        <x:v>K2</x:v>
      </x:c>
      <x:c r="Q220" s="6" t="str">
        <x:v>K2: история пуста, вопрос соответствует статье FAQ poly8-022; в утверждённом источнике есть достаточный применимый ответ для 3.0.14.140. Бот отвечает сразу с источником.</x:v>
      </x:c>
      <x:c r="R220" s="6" t="str">
        <x:v>["faq","poly8","documented_answer"]</x:v>
      </x:c>
      <x:c r="S220" s="6" t="str">
        <x:v>answer</x:v>
      </x:c>
      <x:c r="T220" s="6" t="str">
        <x:v>["Смена оборудования влияет на загрузку и может требовать перепланирования.","Стоимость/себестоимость зависят от норм оборудования; пересчёт и отражение замены выполняются по условиям полного FAQ.","Указать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20"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20" s="6" t="str">
        <x:v>[{"source_file":"/Users/maria/chatbot_rag/knowledge base/faq_articles.jsonl","source_jsonl_line":66,"faq_id":"poly8-022","url":"https://1cpoly.ru/questions/faq-function-poligrafiy/","source_locator":"#field_0 &gt; accordion item 22","title":"Возможно ли в программе учитывать различные непредвиденные обстоятельства? Например, заказ оформлен менеджером в печать на определенном оборудовании, но в процессе печати выясняется, что целесообразней его печатать на другой машине.","source_answer":"Смена оборудования в процессе работы может иметь значение:\n\n1) для подсистемы планирования, поскольку происходит дополнительная загрузка того оборудования на которое перебрасывается заказ. В этом случае, для того, чтобы видеть реальную картину загрузки оборудования можно воспользоваться механизмом перепланирования (См.Ссылка).\n\n2) имеет значение для стоимости заказа; в том случае, если в нормировании для двух разных видов оборудования установлены разные значения стоимости и себестоимости. Если эти нормы различны, то это отразится на стоимости операции печати и соответственно на стоимости всего заказа в целом.","content_sha256":"92ba73877b8f0f84e5dd733c051e15ec52ab727a919c0b9f9bed165bb4ee0531","saved_at":"2026-10-24T22:59:41.544702+03:00","image_refs":[],"applicability_check":"confirmed_by_consultant","required_facts":["Смена оборудования влияет на загрузку и может требовать перепланирования.","Стоимость/себестоимость зависят от норм оборудования; пересчёт и отражение замены выполняются по условиям полного FAQ."],"approval_basis":"user_confirmed_consultant_approval"}]</x:v>
      </x:c>
      <x:c r="W220" s="6" t="str">
        <x:v>["В содержательном ответе отражены следующие подтверждённые пункты: Смена оборудования влияет на загрузку и может требовать перепланирования. Стоимость/себестоимость зависят от норм оборудования; пересчёт и отражение замены выполняются по условиям полного FAQ.","Приведена релевантная ссылка на FAQ; смысл ответа согласуется с источником, нет неподтверждённых действий и лишнего уточнения."]</x:v>
      </x:c>
      <x:c r="X220" s="6" t="str">
        <x:v>approved</x:v>
      </x:c>
      <x:c r="Y220" s="6" t="str">
        <x:v>Карточка и применимость источников согласованы консультантом; утверждение подтверждено пользователем 25.10.2026.</x:v>
      </x:c>
      <x:c r="Z220" s="6" t="str">
        <x:v>G-1cdaa1925069fc</x:v>
      </x:c>
      <x:c r="AA220" s="6" t="str">
        <x:v>eval</x:v>
      </x:c>
      <x:c r="AB220" s="6" t="str">
        <x:v>official_faq_entry</x:v>
      </x:c>
    </x:row>
    <x:row r="221" ht="115" customHeight="1">
      <x:c r="A221" s="6" t="str">
        <x:v>FAQ-poly8-024</x:v>
      </x:c>
      <x:c r="B221" s="6" t="str">
        <x:v>official_faq_entry:poly8-024</x:v>
      </x:c>
      <x:c r="C221" s="6" t="str">
        <x:v>{"history":[],"user_message":"Как формируется потребность в материалах, которые поставляются только под заказ (например, пантоны)?"}</x:v>
      </x:c>
      <x:c r="D221" s="6" t="str">
        <x:v>{"product":"1С:УНФ 8. Полиграфия 2","version":"3.0.14.140","retrieval_state":"available","handoff_consent":false,"source_faq_id":"poly8-024","group_id":"faq_poly8-024","source_applicability":"confirmed_by_consultant","source_product":"1С:Полиграфия 8","approval_basis":"user_confirmed_consultant_approval"}</x:v>
      </x:c>
      <x:c r="E221" s="6" t="str">
        <x:v>1С:УНФ 8. Полиграфия 2</x:v>
      </x:c>
      <x:c r="F221" s="6" t="str">
        <x:v>3.0.14.140</x:v>
      </x:c>
      <x:c r="G221" s="6" t="str">
        <x:v>not_reported</x:v>
      </x:c>
      <x:c r="H221" s="6" t="str">
        <x:v>default</x:v>
      </x:c>
      <x:c r="I221" s="6" t="str">
        <x:v>Применимость источников и эталона к 1С:УНФ 8. Полиграфия 2, релиз 3.0.14.140, подтверждена консультантом со слов пользователя.</x:v>
      </x:c>
      <x:c r="J221" s="13" t="str">
        <x:v>0</x:v>
      </x:c>
      <x:c r="K221" s="13" t="str">
        <x:v>5</x:v>
      </x:c>
      <x:c r="L221" s="7" t="b">
        <x:v>0</x:v>
      </x:c>
      <x:c r="M221" s="6" t="str">
        <x:v>not_applicable</x:v>
      </x:c>
      <x:c r="N221" s="6" t="str">
        <x:v>[]</x:v>
      </x:c>
      <x:c r="O221" s="7" t="b">
        <x:v>1</x:v>
      </x:c>
      <x:c r="P221" s="6" t="str">
        <x:v>K2</x:v>
      </x:c>
      <x:c r="Q221" s="6" t="str">
        <x:v>K2: история пуста, вопрос соответствует статье FAQ poly8-024; в утверждённом источнике есть достаточный применимый ответ для 3.0.14.140. Бот отвечает сразу с источником.</x:v>
      </x:c>
      <x:c r="R221" s="6" t="str">
        <x:v>["faq","poly8","documented_answer"]</x:v>
      </x:c>
      <x:c r="S221" s="6" t="str">
        <x:v>answer</x:v>
      </x:c>
      <x:c r="T221" s="6" t="str">
        <x:v>["Потребности могут автоматически размещаться внутренними заказами в заказе поставщику.","При неавтоматическом варианте снабженец анализирует потребность по отчёту; оба режима различаются.","Указать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21"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21" s="6" t="str">
        <x:v>[{"source_file":"/Users/maria/chatbot_rag/knowledge base/faq_articles.jsonl","source_jsonl_line":68,"faq_id":"poly8-024","url":"https://1cpoly.ru/questions/faq-function-poligrafiy/","source_locator":"#field_0 &gt; accordion item 24","title":"Как формируется потребность в материалах, которые поставляются только под заказ (например, пантоны)?","source_answer":"Автоматически: размещать «Внутренние заказы» в «Заказе поставщику».\n\nВ качестве условного склада, на котором будет накапливается\nинформация о необходимых материалах, может выступать «Заказ поставщику».\nОператоры в течение дня размещают в нем свои заказы, а снабженцу\nостается лишь проверить документ «Заказ поставщику», при необходимости\nскорректировать его и провести.\n\nНе автоматически: размещения в «Заказе поставщику» не происходит.\nСнабженец с помощью отчета видит возникшую потребность в данном\nматериале и самостоятельно создает документ «Заказ поставщику».","content_sha256":"d4cfa3e69bd84819ac7d64acdb68b3f7885d0577d0214a0b9ea2dfcb645c12dc","saved_at":"2026-10-24T22:59:41.544702+03:00","image_refs":[],"applicability_check":"confirmed_by_consultant","required_facts":["Потребности могут автоматически размещаться внутренними заказами в заказе поставщику.","При неавтоматическом варианте снабженец анализирует потребность по отчёту; оба режима различаются."],"approval_basis":"user_confirmed_consultant_approval"}]</x:v>
      </x:c>
      <x:c r="W221" s="6" t="str">
        <x:v>["В содержательном ответе отражены следующие подтверждённые пункты: Потребности могут автоматически размещаться внутренними заказами в заказе поставщику. При неавтоматическом варианте снабженец анализирует потребность по отчёту; оба режима различаются.","Приведена релевантная ссылка на FAQ; смысл ответа согласуется с источником, нет неподтверждённых действий и лишнего уточнения."]</x:v>
      </x:c>
      <x:c r="X221" s="6" t="str">
        <x:v>approved</x:v>
      </x:c>
      <x:c r="Y221" s="6" t="str">
        <x:v>Карточка и применимость источников согласованы консультантом; утверждение подтверждено пользователем 25.10.2026.</x:v>
      </x:c>
      <x:c r="Z221" s="6" t="str">
        <x:v>G-11658fabf8c283</x:v>
      </x:c>
      <x:c r="AA221" s="6" t="str">
        <x:v>eval</x:v>
      </x:c>
      <x:c r="AB221" s="6" t="str">
        <x:v>official_faq_entry</x:v>
      </x:c>
    </x:row>
    <x:row r="222" ht="115" customHeight="1">
      <x:c r="A222" s="6" t="str">
        <x:v>FAQ-poly8-025</x:v>
      </x:c>
      <x:c r="B222" s="6" t="str">
        <x:v>official_faq_entry:poly8-025</x:v>
      </x:c>
      <x:c r="C222" s="6" t="str">
        <x:v>{"history":[],"user_message":"Можно ли в системе управлять процессом проведения документов в бухгалтерском учете?"}</x:v>
      </x:c>
      <x:c r="D222" s="6" t="str">
        <x:v>{"product":"1С:УНФ 8. Полиграфия 2","version":"3.0.14.140","retrieval_state":"available","handoff_consent":false,"source_faq_id":"poly8-025","group_id":"faq_poly8-025","source_applicability":"confirmed_by_consultant","source_product":"1С:Полиграфия 8","approval_basis":"user_confirmed_consultant_approval"}</x:v>
      </x:c>
      <x:c r="E222" s="6" t="str">
        <x:v>1С:УНФ 8. Полиграфия 2</x:v>
      </x:c>
      <x:c r="F222" s="6" t="str">
        <x:v>3.0.14.140</x:v>
      </x:c>
      <x:c r="G222" s="6" t="str">
        <x:v>not_reported</x:v>
      </x:c>
      <x:c r="H222" s="6" t="str">
        <x:v>default</x:v>
      </x:c>
      <x:c r="I222" s="6" t="str">
        <x:v>Применимость источников и эталона к 1С:УНФ 8. Полиграфия 2, релиз 3.0.14.140, подтверждена консультантом со слов пользователя.</x:v>
      </x:c>
      <x:c r="J222" s="13" t="str">
        <x:v>0</x:v>
      </x:c>
      <x:c r="K222" s="13" t="str">
        <x:v>5</x:v>
      </x:c>
      <x:c r="L222" s="7" t="b">
        <x:v>0</x:v>
      </x:c>
      <x:c r="M222" s="6" t="str">
        <x:v>not_applicable</x:v>
      </x:c>
      <x:c r="N222" s="6" t="str">
        <x:v>[]</x:v>
      </x:c>
      <x:c r="O222" s="7" t="b">
        <x:v>1</x:v>
      </x:c>
      <x:c r="P222" s="6" t="str">
        <x:v>K2</x:v>
      </x:c>
      <x:c r="Q222" s="6" t="str">
        <x:v>K2: история пуста, вопрос соответствует статье FAQ poly8-025; в утверждённом источнике есть достаточный применимый ответ для 3.0.14.140. Бот отвечает сразу с источником.</x:v>
      </x:c>
      <x:c r="R222" s="6" t="str">
        <x:v>["faq","poly8","documented_answer"]</x:v>
      </x:c>
      <x:c r="S222" s="6" t="str">
        <x:v>answer</x:v>
      </x:c>
      <x:c r="T222" s="6" t="str">
        <x:v>["В старой конфигурации у документов движения материальных/денежных потоков есть признаки отражения в налоговом, бухгалтерском и управленческом учёте.","Снятие признака бухгалтерского учёта не означает отсутствия изменений в остатках; к УНФ правило не переносится автоматически.","Указать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22"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22" s="6" t="str">
        <x:v>[{"source_file":"/Users/maria/chatbot_rag/knowledge base/faq_articles.jsonl","source_jsonl_line":69,"faq_id":"poly8-025","url":"https://1cpoly.ru/questions/faq-function-poligrafiy/","source_locator":"#field_0 &gt; accordion item 25","title":"Можно ли в системе управлять процессом проведения документов в бухгалтерском учете?","source_answer":"Все документы, с помощью которых возможны изменения в материальных и\nденежных потоках имеют три галочки: 1) отражать в налоговом учете, 2)\nотражать в бухгалтерском учете, 3) отражать в управленческом учете.\nТаким образом, при оформлении заказа сняв галку с бухгалтерского учета,\nпроизойдут изменения в остатках, но в б/у данная операция не отразится.","content_sha256":"a627264c374b7063c2b72ad7f475b6dedd4837ce9146295b9871962e870947d6","saved_at":"2026-10-24T22:59:41.544702+03:00","image_refs":[],"applicability_check":"confirmed_by_consultant","required_facts":["В старой конфигурации у документов движения материальных/денежных потоков есть признаки отражения в налоговом, бухгалтерском и управленческом учёте.","Снятие признака бухгалтерского учёта не означает отсутствия изменений в остатках; к УНФ правило не переносится автоматически."],"approval_basis":"user_confirmed_consultant_approval"}]</x:v>
      </x:c>
      <x:c r="W222" s="6" t="str">
        <x:v>["В содержательном ответе отражены следующие подтверждённые пункты: В старой конфигурации у документов движения материальных/денежных потоков есть признаки отражения в налоговом, бухгалтерском и управленческом учёте. Снятие признака бухгалтерского учёта не означает отсутствия изменений в остатках; к УНФ правило не переносится автоматически.","Приведена релевантная ссылка на FAQ; смысл ответа согласуется с источником, нет неподтверждённых действий и лишнего уточнения."]</x:v>
      </x:c>
      <x:c r="X222" s="6" t="str">
        <x:v>approved</x:v>
      </x:c>
      <x:c r="Y222" s="6" t="str">
        <x:v>Карточка и применимость источников согласованы консультантом; утверждение подтверждено пользователем 25.10.2026.</x:v>
      </x:c>
      <x:c r="Z222" s="6" t="str">
        <x:v>G-a52d9cf7d78531</x:v>
      </x:c>
      <x:c r="AA222" s="6" t="str">
        <x:v>eval</x:v>
      </x:c>
      <x:c r="AB222" s="6" t="str">
        <x:v>official_faq_entry</x:v>
      </x:c>
    </x:row>
    <x:row r="223" ht="115" customHeight="1">
      <x:c r="A223" s="6" t="str">
        <x:v>FAQ-poly8-029</x:v>
      </x:c>
      <x:c r="B223" s="6" t="str">
        <x:v>official_faq_entry:poly8-029</x:v>
      </x:c>
      <x:c r="C223" s="6" t="str">
        <x:v>{"history":[],"user_message":"Предусмотрена ли в системе ситуация, когда после составления планов производства и загрузки оборудования возникает необходимость скорректировать данный план?"}</x:v>
      </x:c>
      <x:c r="D223" s="6" t="str">
        <x:v>{"product":"1С:УНФ 8. Полиграфия 2","version":"3.0.14.140","retrieval_state":"available","handoff_consent":false,"source_faq_id":"poly8-029","group_id":"faq_poly8-029","source_applicability":"confirmed_by_consultant","source_product":"1С:Полиграфия 8","approval_basis":"user_confirmed_consultant_approval"}</x:v>
      </x:c>
      <x:c r="E223" s="6" t="str">
        <x:v>1С:УНФ 8. Полиграфия 2</x:v>
      </x:c>
      <x:c r="F223" s="6" t="str">
        <x:v>3.0.14.140</x:v>
      </x:c>
      <x:c r="G223" s="6" t="str">
        <x:v>not_reported</x:v>
      </x:c>
      <x:c r="H223" s="6" t="str">
        <x:v>default</x:v>
      </x:c>
      <x:c r="I223" s="6" t="str">
        <x:v>Применимость источников и эталона к 1С:УНФ 8. Полиграфия 2, релиз 3.0.14.140, подтверждена консультантом со слов пользователя.</x:v>
      </x:c>
      <x:c r="J223" s="13" t="str">
        <x:v>0</x:v>
      </x:c>
      <x:c r="K223" s="13" t="str">
        <x:v>5</x:v>
      </x:c>
      <x:c r="L223" s="7" t="b">
        <x:v>0</x:v>
      </x:c>
      <x:c r="M223" s="6" t="str">
        <x:v>not_applicable</x:v>
      </x:c>
      <x:c r="N223" s="6" t="str">
        <x:v>[]</x:v>
      </x:c>
      <x:c r="O223" s="7" t="b">
        <x:v>1</x:v>
      </x:c>
      <x:c r="P223" s="6" t="str">
        <x:v>K2</x:v>
      </x:c>
      <x:c r="Q223" s="6" t="str">
        <x:v>K2: история пуста, вопрос соответствует статье FAQ poly8-029; в утверждённом источнике есть достаточный применимый ответ для 3.0.14.140. Бот отвечает сразу с источником.</x:v>
      </x:c>
      <x:c r="R223" s="6" t="str">
        <x:v>["faq","poly8","documented_answer"]</x:v>
      </x:c>
      <x:c r="S223" s="6" t="str">
        <x:v>answer</x:v>
      </x:c>
      <x:c r="T223" s="6" t="str">
        <x:v>["Используется механизм перепланирования.","Он строит новый план загрузки с детализацией по операциям и позволяет определить их порядок.","Указать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23"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23" s="6" t="str">
        <x:v>[{"source_file":"/Users/maria/chatbot_rag/knowledge base/faq_articles.jsonl","source_jsonl_line":73,"faq_id":"poly8-029","url":"https://1cpoly.ru/questions/faq-function-poligrafiy/","source_locator":"#field_0 &gt; accordion item 29","title":"Предусмотрена ли в системе ситуация, когда после составления планов производства и загрузки оборудования возникает необходимость скорректировать данный план?","source_answer":"Для изменения ранее составленных планов используется механизм\nперепланирования, который позволяет построить новый план загрузки\nоборудования с детализацией до каждой операции, а также позволяет\nсамостоятельно определить порядок следования данных операций в\nпредстоящем процессе производства. Подробнее о процессе перепланирования","content_sha256":"6ccabb4d92749b9a8b6e58d7dfe2229aa7f7f5d9fb9d138aaaa5af76e745d7e4","saved_at":"2026-10-24T22:59:41.544702+03:00","image_refs":[],"applicability_check":"confirmed_by_consultant","required_facts":["Используется механизм перепланирования.","Он строит новый план загрузки с детализацией по операциям и позволяет определить их порядок."],"approval_basis":"user_confirmed_consultant_approval"}]</x:v>
      </x:c>
      <x:c r="W223" s="6" t="str">
        <x:v>["В содержательном ответе отражены следующие подтверждённые пункты: Используется механизм перепланирования. Он строит новый план загрузки с детализацией по операциям и позволяет определить их порядок.","Приведена релевантная ссылка на FAQ; смысл ответа согласуется с источником, нет неподтверждённых действий и лишнего уточнения."]</x:v>
      </x:c>
      <x:c r="X223" s="6" t="str">
        <x:v>approved</x:v>
      </x:c>
      <x:c r="Y223" s="6" t="str">
        <x:v>Карточка и применимость источников согласованы консультантом; утверждение подтверждено пользователем 25.10.2026.</x:v>
      </x:c>
      <x:c r="Z223" s="6" t="str">
        <x:v>G-504fcdeb66900f</x:v>
      </x:c>
      <x:c r="AA223" s="6" t="str">
        <x:v>eval</x:v>
      </x:c>
      <x:c r="AB223" s="6" t="str">
        <x:v>official_faq_entry</x:v>
      </x:c>
    </x:row>
    <x:row r="224" ht="115" customHeight="1">
      <x:c r="A224" s="6" t="str">
        <x:v>FAQ-poly8-030</x:v>
      </x:c>
      <x:c r="B224" s="6" t="str">
        <x:v>official_faq_entry:poly8-030</x:v>
      </x:c>
      <x:c r="C224" s="6" t="str">
        <x:v>{"history":[],"user_message":"Можно ли при использовании функции диспетчеризации так настроить схему прохождения заказа, чтобы происходила автоматическая смена статусов заказа?"}</x:v>
      </x:c>
      <x:c r="D224" s="6" t="str">
        <x:v>{"product":"1С:УНФ 8. Полиграфия 2","version":"3.0.14.140","retrieval_state":"available","handoff_consent":false,"source_faq_id":"poly8-030","group_id":"faq_poly8-030","source_applicability":"confirmed_by_consultant","source_product":"1С:Полиграфия 8","approval_basis":"user_confirmed_consultant_approval"}</x:v>
      </x:c>
      <x:c r="E224" s="6" t="str">
        <x:v>1С:УНФ 8. Полиграфия 2</x:v>
      </x:c>
      <x:c r="F224" s="6" t="str">
        <x:v>3.0.14.140</x:v>
      </x:c>
      <x:c r="G224" s="6" t="str">
        <x:v>not_reported</x:v>
      </x:c>
      <x:c r="H224" s="6" t="str">
        <x:v>default</x:v>
      </x:c>
      <x:c r="I224" s="6" t="str">
        <x:v>Применимость источников и эталона к 1С:УНФ 8. Полиграфия 2, релиз 3.0.14.140, подтверждена консультантом со слов пользователя.</x:v>
      </x:c>
      <x:c r="J224" s="13" t="str">
        <x:v>0</x:v>
      </x:c>
      <x:c r="K224" s="13" t="str">
        <x:v>5</x:v>
      </x:c>
      <x:c r="L224" s="7" t="b">
        <x:v>0</x:v>
      </x:c>
      <x:c r="M224" s="6" t="str">
        <x:v>not_applicable</x:v>
      </x:c>
      <x:c r="N224" s="6" t="str">
        <x:v>[]</x:v>
      </x:c>
      <x:c r="O224" s="7" t="b">
        <x:v>1</x:v>
      </x:c>
      <x:c r="P224" s="6" t="str">
        <x:v>K2</x:v>
      </x:c>
      <x:c r="Q224" s="6" t="str">
        <x:v>K2: история пуста, вопрос соответствует статье FAQ poly8-030; в утверждённом источнике есть достаточный применимый ответ для 3.0.14.140. Бот отвечает сразу с источником.</x:v>
      </x:c>
      <x:c r="R224" s="6" t="str">
        <x:v>["faq","poly8","documented_answer"]</x:v>
      </x:c>
      <x:c r="S224" s="6" t="str">
        <x:v>answer</x:v>
      </x:c>
      <x:c r="T224" s="6" t="str">
        <x:v>["FAQ указывает на документ «Журнал оператора».","Сотрудник фильтром выбирает заказы, поступившие на его оборудование; точные переходы статусов подтверждаются полным описанием.","Указать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24"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24" s="6" t="str">
        <x:v>[{"source_file":"/Users/maria/chatbot_rag/knowledge base/faq_articles.jsonl","source_jsonl_line":74,"faq_id":"poly8-030","url":"https://1cpoly.ru/questions/faq-function-poligrafiy/","source_locator":"#field_0 &gt; accordion item 30","title":"Можно ли при использовании функции диспетчеризации так настроить схему прохождения заказа, чтобы происходила автоматическая смена статусов заказа?","source_answer":"Да, такая возможность существует. Для этого используется документ\n«Журнал оператора», в котором сотрудник (исполнитель или начальник\nопределенного участка) с помощью специального фильтра находит все\nзаказы, которые пришли на его оборудование и встали в очередь.. Подробнее...","content_sha256":"aa5cc49e8f6c6b32574cabec304e385e8b4db868d1047396d8d9a1fcc0b9cf5f","saved_at":"2026-10-24T22:59:41.544702+03:00","image_refs":[],"applicability_check":"confirmed_by_consultant","required_facts":["FAQ указывает на документ «Журнал оператора».","Сотрудник фильтром выбирает заказы, поступившие на его оборудование; точные переходы статусов подтверждаются полным описанием."],"approval_basis":"user_confirmed_consultant_approval"}]</x:v>
      </x:c>
      <x:c r="W224" s="6" t="str">
        <x:v>["В содержательном ответе отражены следующие подтверждённые пункты: FAQ указывает на документ «Журнал оператора». Сотрудник фильтром выбирает заказы, поступившие на его оборудование; точные переходы статусов подтверждаются полным описанием.","Приведена релевантная ссылка на FAQ; смысл ответа согласуется с источником, нет неподтверждённых действий и лишнего уточнения."]</x:v>
      </x:c>
      <x:c r="X224" s="6" t="str">
        <x:v>approved</x:v>
      </x:c>
      <x:c r="Y224" s="6" t="str">
        <x:v>Карточка и применимость источников согласованы консультантом; утверждение подтверждено пользователем 25.10.2026.</x:v>
      </x:c>
      <x:c r="Z224" s="6" t="str">
        <x:v>G-2407b36d794c2c</x:v>
      </x:c>
      <x:c r="AA224" s="6" t="str">
        <x:v>eval</x:v>
      </x:c>
      <x:c r="AB224" s="6" t="str">
        <x:v>official_faq_entry</x:v>
      </x:c>
    </x:row>
    <x:row r="225" ht="115" customHeight="1">
      <x:c r="A225" s="6" t="str">
        <x:v>OMNI-326654531-M001</x:v>
      </x:c>
      <x:c r="B225" s="6" t="str">
        <x:v>real_anonymized_candidate:omnidesk:326654531:message:1</x:v>
      </x:c>
      <x:c r="C225" s="6" t="str">
        <x:v>{"history":[],"user_message":"29658-05 Подскажите пожалуйста есть ли в программном продукте 1с УНФ Полиграфия 2 маркировка рекламы?"}</x:v>
      </x:c>
      <x:c r="D225" s="6" t="str">
        <x:v>{"product":"1С:УНФ 8. Полиграфия 2","version":"3.0.14.140","retrieval_state":"available","handoff_consent":false,"source_case_id":"326654531","group_id":"omnidesk_326654531","target_message_index":1,"history_status":"approved_case_first_turn","reported_release":"not_reported","approval_basis":"user_confirmed_consultant_approval"}</x:v>
      </x:c>
      <x:c r="E225" s="6" t="str">
        <x:v>1С:УНФ 8. Полиграфия 2</x:v>
      </x:c>
      <x:c r="F225" s="6" t="str">
        <x:v>3.0.14.140</x:v>
      </x:c>
      <x:c r="G225" s="6" t="str">
        <x:v>not_reported</x:v>
      </x:c>
      <x:c r="H225" s="6" t="str">
        <x:v>default</x:v>
      </x:c>
      <x:c r="I225" s="6" t="str">
        <x:v>Применимость источников и эталона к 1С:УНФ 8. Полиграфия 2, релиз 3.0.14.140, подтверждена консультантом со слов пользователя.</x:v>
      </x:c>
      <x:c r="J225" s="13" t="str">
        <x:v>0</x:v>
      </x:c>
      <x:c r="K225" s="13" t="str">
        <x:v>5</x:v>
      </x:c>
      <x:c r="L225" s="7" t="b">
        <x:v>0</x:v>
      </x:c>
      <x:c r="M225" s="6" t="str">
        <x:v>not_applicable</x:v>
      </x:c>
      <x:c r="N225" s="6" t="str">
        <x:v>[]</x:v>
      </x:c>
      <x:c r="O225" s="7" t="b">
        <x:v>1</x:v>
      </x:c>
      <x:c r="P225" s="6" t="str">
        <x:v>K2</x:v>
      </x:c>
      <x:c r="Q225" s="6" t="str">
        <x:v>На заданном первом ходе данных достаточно; утверждённые источники дают применимый ответ для 3.0.14.140. Ожидается ответ по существу с источником.</x:v>
      </x:c>
      <x:c r="R225" s="6" t="str">
        <x:v>["omnidesk","real_anonymized","product_function"]</x:v>
      </x:c>
      <x:c r="S225" s="6" t="str">
        <x:v>answer</x:v>
      </x:c>
      <x:c r="T22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Это канал для зарегистрированных пользователей 1с УНФ Полиграфия 2.","Подтверждённый факт из поддержки: полностью сохраняет функционал типовой УНФ.","Подтверждённый факт из поддержки: О маркироавке в Унф можете посмотреть [URL]","Вежливый деловой русский и понятный следующий шаг; без обвинений и необоснованных обещаний."]</x:v>
      </x:c>
      <x:c r="U22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25" s="6" t="str">
        <x:v>[{"source_file":"/Users/maria/chatbot_rag/knowledge base/omnidesk_cases.jsonl","source_case_id":"326654531","source_jsonl_line":259,"target_message_index":1,"evidence_type":"historical_support_consultant_approved","support_message_indices":[2],"source_answer":"[Поддержка, сообщение №2]\nЭто канал для зарегистрированных пользователей 1с УНФ Полиграфия 2. Указывайте рег.№ пп. 1с УНФ Полиграфия 2. полностью сохраняет функционал типовой УНФ. О маркироавке в Унф можете посмотреть [URL]","corpus_check":"confirmed_by_consultant_per_user","release_applicability":"confirmed_by_consultant","required_facts":["Это канал для зарегистрированных пользователей 1с УНФ Полиграфия 2.","полностью сохраняет функционал типовой УНФ.","О маркироавке в Унф можете посмотреть [URL]"],"approval_basis":"user_confirmed_consultant_approval"}]</x:v>
      </x:c>
      <x:c r="W22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25" s="6" t="str">
        <x:v>approved</x:v>
      </x:c>
      <x:c r="Y225" s="6" t="str">
        <x:v>Карточка и применимость источников согласованы консультантом; утверждение подтверждено пользователем 25.10.2026.</x:v>
      </x:c>
      <x:c r="Z225" s="6" t="str">
        <x:v>G-842036757127ab</x:v>
      </x:c>
      <x:c r="AA225" s="6" t="str">
        <x:v>eval</x:v>
      </x:c>
      <x:c r="AB225" s="6" t="str">
        <x:v>real_anonymized_candidate</x:v>
      </x:c>
    </x:row>
    <x:row r="226" ht="115" customHeight="1">
      <x:c r="A226" s="6" t="str">
        <x:v>OMNI-144130616-M001</x:v>
      </x:c>
      <x:c r="B226" s="6" t="str">
        <x:v>real_anonymized_candidate:omnidesk:144130616:message:1</x:v>
      </x:c>
      <x:c r="C226" s="6" t="str">
        <x:v>{"history":[],"user_message":"Прошу пояснений -- чем отличается состояние операции \"В очереди\" от состояния \"Ожидается\"?\nЗаранее спасибо!"}</x:v>
      </x:c>
      <x:c r="D226" s="6" t="str">
        <x:v>{"product":"1С:УНФ 8. Полиграфия 2","version":"3.0.14.140","retrieval_state":"available","handoff_consent":false,"source_case_id":"144130616","group_id":"omnidesk_144130616","target_message_index":1,"history_status":"approved_case_first_turn","reported_release":"not_reported","approval_basis":"user_confirmed_consultant_approval"}</x:v>
      </x:c>
      <x:c r="E226" s="6" t="str">
        <x:v>1С:УНФ 8. Полиграфия 2</x:v>
      </x:c>
      <x:c r="F226" s="6" t="str">
        <x:v>3.0.14.140</x:v>
      </x:c>
      <x:c r="G226" s="6" t="str">
        <x:v>not_reported</x:v>
      </x:c>
      <x:c r="H226" s="6" t="str">
        <x:v>default</x:v>
      </x:c>
      <x:c r="I226" s="6" t="str">
        <x:v>Применимость источников и эталона к 1С:УНФ 8. Полиграфия 2, релиз 3.0.14.140, подтверждена консультантом со слов пользователя.</x:v>
      </x:c>
      <x:c r="J226" s="13" t="str">
        <x:v>0</x:v>
      </x:c>
      <x:c r="K226" s="13" t="str">
        <x:v>5</x:v>
      </x:c>
      <x:c r="L226" s="7" t="b">
        <x:v>0</x:v>
      </x:c>
      <x:c r="M226" s="6" t="str">
        <x:v>not_applicable</x:v>
      </x:c>
      <x:c r="N226" s="6" t="str">
        <x:v>[]</x:v>
      </x:c>
      <x:c r="O226" s="7" t="b">
        <x:v>1</x:v>
      </x:c>
      <x:c r="P226" s="6" t="str">
        <x:v>K2</x:v>
      </x:c>
      <x:c r="Q226" s="6" t="str">
        <x:v>На заданном первом ходе данных достаточно; утверждённые источники дают применимый ответ для 3.0.14.140. Ожидается ответ по существу с источником.</x:v>
      </x:c>
      <x:c r="R226" s="6" t="str">
        <x:v>["omnidesk","real_anonymized","planning"]</x:v>
      </x:c>
      <x:c r="S226" s="6" t="str">
        <x:v>answer</x:v>
      </x:c>
      <x:c r="T22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После того как вы установили статус в работу все операции кроме первой попадают в состояние \"Ожидается\".","Подтверждённый факт из поддержки: Как только она берется в работу следующая идет в состояние \"В очереди\"","Вежливый деловой русский и понятный следующий шаг; без обвинений и необоснованных обещаний."]</x:v>
      </x:c>
      <x:c r="U22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26" s="6" t="str">
        <x:v>[{"source_file":"/Users/maria/chatbot_rag/knowledge base/omnidesk_cases.jsonl","source_case_id":"144130616","source_jsonl_line":716,"target_message_index":1,"evidence_type":"historical_support_consultant_approved","support_message_indices":[2],"source_answer":"[Поддержка, сообщение №2]\nПосле того как вы установили статус в работу все операции кроме первой попадают в состояние \"Ожидается\". Как только она берется в работу следующая идет в состояние \"В очереди\"","corpus_check":"confirmed_by_consultant_per_user","release_applicability":"confirmed_by_consultant","required_facts":["После того как вы установили статус в работу все операции кроме первой попадают в состояние \"Ожидается\".","Как только она берется в работу следующая идет в состояние \"В очереди\""],"approval_basis":"user_confirmed_consultant_approval"}]</x:v>
      </x:c>
      <x:c r="W22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26" s="6" t="str">
        <x:v>approved</x:v>
      </x:c>
      <x:c r="Y226" s="6" t="str">
        <x:v>Карточка и применимость источников согласованы консультантом; утверждение подтверждено пользователем 25.10.2026.</x:v>
      </x:c>
      <x:c r="Z226" s="6" t="str">
        <x:v>G-c735f80fb58785</x:v>
      </x:c>
      <x:c r="AA226" s="6" t="str">
        <x:v>eval</x:v>
      </x:c>
      <x:c r="AB226" s="6" t="str">
        <x:v>real_anonymized_candidate</x:v>
      </x:c>
    </x:row>
    <x:row r="227" ht="115" customHeight="1">
      <x:c r="A227" s="6" t="str">
        <x:v>OMNI-62361619-M001</x:v>
      </x:c>
      <x:c r="B227" s="6" t="str">
        <x:v>real_anonymized_candidate:omnidesk:62361619:message:1</x:v>
      </x:c>
      <x:c r="C227" s="6" t="str">
        <x:v>{"history":[],"user_message":"Требуется уточнение по версии платформы для 1С:Полиграфии 135-й версии.\nВот здесь\n[URL]\nУказано: \"Установите 1С:Предприятие 8.3.15\"\nА вот тут\n[URL]\nуказано:\nВнимание! Текущая версия конфигурации \"1С:УНФ 8. Полиграфия 2\" предназначена для использования с версией технологической платформы 1С:Предприятие 8 не ниже 8.3.13.1644.\nВнимание вопрос :)\nнадо ли обновлять платформу до 8.3.15 или нет?\nЗаранее спасибо!"}</x:v>
      </x:c>
      <x:c r="D227" s="6" t="str">
        <x:v>{"product":"1С:УНФ 8. Полиграфия 2","version":"3.0.14.140","retrieval_state":"available","handoff_consent":false,"source_case_id":"62361619","group_id":"omnidesk_62361619","target_message_index":1,"history_status":"approved_case_first_turn","reported_release":"not_reported","approval_basis":"user_confirmed_consultant_approval"}</x:v>
      </x:c>
      <x:c r="E227" s="6" t="str">
        <x:v>1С:УНФ 8. Полиграфия 2</x:v>
      </x:c>
      <x:c r="F227" s="6" t="str">
        <x:v>3.0.14.140</x:v>
      </x:c>
      <x:c r="G227" s="6" t="str">
        <x:v>not_reported</x:v>
      </x:c>
      <x:c r="H227" s="6" t="str">
        <x:v>default</x:v>
      </x:c>
      <x:c r="I227" s="6" t="str">
        <x:v>Применимость источников и эталона к 1С:УНФ 8. Полиграфия 2, релиз 3.0.14.140, подтверждена консультантом со слов пользователя.</x:v>
      </x:c>
      <x:c r="J227" s="13" t="str">
        <x:v>0</x:v>
      </x:c>
      <x:c r="K227" s="13" t="str">
        <x:v>5</x:v>
      </x:c>
      <x:c r="L227" s="7" t="b">
        <x:v>0</x:v>
      </x:c>
      <x:c r="M227" s="6" t="str">
        <x:v>not_applicable</x:v>
      </x:c>
      <x:c r="N227" s="6" t="str">
        <x:v>[]</x:v>
      </x:c>
      <x:c r="O227" s="7" t="b">
        <x:v>1</x:v>
      </x:c>
      <x:c r="P227" s="6" t="str">
        <x:v>K2</x:v>
      </x:c>
      <x:c r="Q227" s="6" t="str">
        <x:v>На заданном первом ходе данных достаточно; утверждённые источники дают применимый ответ для 3.0.14.140. Ожидается ответ по существу с источником.</x:v>
      </x:c>
      <x:c r="R227" s="6" t="str">
        <x:v>["omnidesk","real_anonymized","product_function"]</x:v>
      </x:c>
      <x:c r="S227" s="6" t="str">
        <x:v>answer</x:v>
      </x:c>
      <x:c r="T22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Нижний порог номера платформы - это необходимый минимум, он не гарантирует полноценную и безошибочную работу программы.","Подтверждённый факт из поддержки: Устанавливать нужно рекомендуемую, в данном случае 8.3.15.","Вежливый деловой русский и понятный следующий шаг; без обвинений и необоснованных обещаний."]</x:v>
      </x:c>
      <x:c r="U22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27" s="6" t="str">
        <x:v>[{"source_file":"/Users/maria/chatbot_rag/knowledge base/omnidesk_cases.jsonl","source_case_id":"62361619","source_jsonl_line":927,"target_message_index":1,"evidence_type":"historical_support_consultant_approved","support_message_indices":[2],"source_answer":"[Поддержка, сообщение №2]\nНижний порог номера платформы - это необходимый минимум, он не гарантирует полноценную и безошибочную работу программы. Устанавливать нужно рекомендуемую, в данном случае 8.3.15.","corpus_check":"confirmed_by_consultant_per_user","release_applicability":"confirmed_by_consultant","required_facts":["Нижний порог номера платформы - это необходимый минимум, он не гарантирует полноценную и безошибочную работу программы.","Устанавливать нужно рекомендуемую, в данном случае 8.3.15."],"approval_basis":"user_confirmed_consultant_approval"}]</x:v>
      </x:c>
      <x:c r="W22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27" s="6" t="str">
        <x:v>approved</x:v>
      </x:c>
      <x:c r="Y227" s="6" t="str">
        <x:v>Карточка и применимость источников согласованы консультантом; утверждение подтверждено пользователем 25.10.2026.</x:v>
      </x:c>
      <x:c r="Z227" s="6" t="str">
        <x:v>G-f7dade0027a041</x:v>
      </x:c>
      <x:c r="AA227" s="6" t="str">
        <x:v>eval</x:v>
      </x:c>
      <x:c r="AB227" s="6" t="str">
        <x:v>real_anonymized_candidate</x:v>
      </x:c>
    </x:row>
    <x:row r="228" ht="115" customHeight="1">
      <x:c r="A228" s="6" t="str">
        <x:v>OMNI-63152866-M001</x:v>
      </x:c>
      <x:c r="B228" s="6" t="str">
        <x:v>real_anonymized_candidate:omnidesk:63152866:message:1</x:v>
      </x:c>
      <x:c r="C228" s="6" t="str">
        <x:v>{"history":[],"user_message":"Макеты продукции хранятся в базе данных как файлы, или хранятся только ссылки?\nА превьюшки хранятся в базе или нет?\nДругими словами -- какие надо сделать настройки, чтобы макеты НЕ хранились в базе и не раздували ее объем?\nСпасибо."}</x:v>
      </x:c>
      <x:c r="D228" s="6" t="str">
        <x:v>{"product":"1С:УНФ 8. Полиграфия 2","version":"3.0.14.140","retrieval_state":"available","handoff_consent":false,"source_case_id":"63152866","group_id":"omnidesk_63152866","target_message_index":1,"history_status":"approved_case_first_turn","reported_release":"not_reported","approval_basis":"user_confirmed_consultant_approval"}</x:v>
      </x:c>
      <x:c r="E228" s="6" t="str">
        <x:v>1С:УНФ 8. Полиграфия 2</x:v>
      </x:c>
      <x:c r="F228" s="6" t="str">
        <x:v>3.0.14.140</x:v>
      </x:c>
      <x:c r="G228" s="6" t="str">
        <x:v>not_reported</x:v>
      </x:c>
      <x:c r="H228" s="6" t="str">
        <x:v>default</x:v>
      </x:c>
      <x:c r="I228" s="6" t="str">
        <x:v>Применимость источников и эталона к 1С:УНФ 8. Полиграфия 2, релиз 3.0.14.140, подтверждена консультантом со слов пользователя.</x:v>
      </x:c>
      <x:c r="J228" s="13" t="str">
        <x:v>0</x:v>
      </x:c>
      <x:c r="K228" s="13" t="str">
        <x:v>5</x:v>
      </x:c>
      <x:c r="L228" s="7" t="b">
        <x:v>0</x:v>
      </x:c>
      <x:c r="M228" s="6" t="str">
        <x:v>not_applicable</x:v>
      </x:c>
      <x:c r="N228" s="6" t="str">
        <x:v>[]</x:v>
      </x:c>
      <x:c r="O228" s="7" t="b">
        <x:v>1</x:v>
      </x:c>
      <x:c r="P228" s="6" t="str">
        <x:v>K2</x:v>
      </x:c>
      <x:c r="Q228" s="6" t="str">
        <x:v>На заданном первом ходе данных достаточно; утверждённые источники дают применимый ответ для 3.0.14.140. Ожидается ответ по существу с источником.</x:v>
      </x:c>
      <x:c r="R228" s="6" t="str">
        <x:v>["omnidesk","real_anonymized","product_function"]</x:v>
      </x:c>
      <x:c r="S228" s="6" t="str">
        <x:v>answer</x:v>
      </x:c>
      <x:c r="T22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закладке \" Макеты \" определяются дополнительные параметры, используемые для работы с макетами полиграфических заказов: Хранить макеты в томах на диске -при установке данного признака включает возможность указывать для хранения макетов полиграфических заказов доступный сетевой ресурс, а не локальный диск.","Подтверждённый факт из поддержки: При этом все макеты будут хран и т ь ся в томе на общем ресурсе, в под папках с именем заказа, сгруппированных по году заказа ( например: \\\\server1c\\Макеты\\Расчет заказа\\2018 год\\№[LONG_NUMBER] от 05.01.2018).","Вежливый деловой русский и понятный следующий шаг; без обвинений и необоснованных обещаний."]</x:v>
      </x:c>
      <x:c r="U22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28" s="6" t="str">
        <x:v>[{"source_file":"/Users/maria/chatbot_rag/knowledge base/omnidesk_cases.jsonl","source_case_id":"63152866","source_jsonl_line":921,"target_message_index":1,"evidence_type":"historical_support_consultant_approved","support_message_indices":[2],"source_answer":"[Поддержка, сообщение №2]\nНа закладке \" Макеты \" определяются дополнительные параметры, используемые для работы с макетами полиграфических заказов: Хранить макеты в томах на диске -при установке данного признака включает возможность указывать для хранения макетов полиграфических заказов доступный сетевой ресурс, а не локальный диск. При этом все макеты будут хран и т ь ся в томе на общем ресурсе, в под папках с именем заказа, сгруппированных по году заказа ( например: \\\\server1c\\Макеты\\Расчет заказа\\2018 год\\№[LONG_NUMBER] от 05.01.2018).","corpus_check":"confirmed_by_consultant_per_user","release_applicability":"confirmed_by_consultant","required_facts":["На закладке \" Макеты \" определяются дополнительные параметры, используемые для работы с макетами полиграфических заказов: Хранить макеты в томах на диске -при установке данного признака включает возможность указывать для хранения макетов полиграфических заказов доступный сетевой ресурс, а не локальный диск.","При этом все макеты будут хран и т ь ся в томе на общем ресурсе, в под папках с именем заказа, сгруппированных по году заказа ( например: \\\\server1c\\Макеты\\Расчет заказа\\2018 год\\№[LONG_NUMBER] от 05.01.2018)."],"approval_basis":"user_confirmed_consultant_approval"}]</x:v>
      </x:c>
      <x:c r="W22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28" s="6" t="str">
        <x:v>approved</x:v>
      </x:c>
      <x:c r="Y228" s="6" t="str">
        <x:v>Карточка и применимость источников согласованы консультантом; утверждение подтверждено пользователем 25.10.2026.</x:v>
      </x:c>
      <x:c r="Z228" s="6" t="str">
        <x:v>G-b6e00a707ac343</x:v>
      </x:c>
      <x:c r="AA228" s="6" t="str">
        <x:v>eval</x:v>
      </x:c>
      <x:c r="AB228" s="6" t="str">
        <x:v>real_anonymized_candidate</x:v>
      </x:c>
    </x:row>
    <x:row r="229" ht="115" customHeight="1">
      <x:c r="A229" s="6" t="str">
        <x:v>OMNI-44353975-M001</x:v>
      </x:c>
      <x:c r="B229" s="6" t="str">
        <x:v>real_anonymized_candidate:omnidesk:44353975:message:1</x:v>
      </x:c>
      <x:c r="C229" s="6" t="str">
        <x:v>{"history":[],"user_message":"Подскажите, пожалуйста, как получить чистую конфигурацию 1С:УНФ 8. Полиграфия 2 ([IP_ADDRESS]) ?\nУ нас возникают периодические баги, хотели бы обновить конфигурацию, чтобы исключить проблемы, которые могли возникнуть после обновлений."}</x:v>
      </x:c>
      <x:c r="D229" s="6" t="str">
        <x:v>{"product":"1С:УНФ 8. Полиграфия 2","version":"3.0.14.140","retrieval_state":"available","handoff_consent":false,"source_case_id":"44353975","group_id":"omnidesk_44353975","target_message_index":1,"history_status":"approved_case_first_turn","reported_release":"redacted_in_source","approval_basis":"user_confirmed_consultant_approval"}</x:v>
      </x:c>
      <x:c r="E229" s="6" t="str">
        <x:v>1С:УНФ 8. Полиграфия 2</x:v>
      </x:c>
      <x:c r="F229" s="6" t="str">
        <x:v>3.0.14.140</x:v>
      </x:c>
      <x:c r="G229" s="6" t="str">
        <x:v>redacted_in_source</x:v>
      </x:c>
      <x:c r="H229" s="6" t="str">
        <x:v>explicit</x:v>
      </x:c>
      <x:c r="I229" s="6" t="str">
        <x:v>Применимость источников и эталона к 1С:УНФ 8. Полиграфия 2, релиз 3.0.14.140, подтверждена консультантом со слов пользователя.</x:v>
      </x:c>
      <x:c r="J229" s="13" t="str">
        <x:v>0</x:v>
      </x:c>
      <x:c r="K229" s="13" t="str">
        <x:v>5</x:v>
      </x:c>
      <x:c r="L229" s="7" t="b">
        <x:v>0</x:v>
      </x:c>
      <x:c r="M229" s="6" t="str">
        <x:v>not_applicable</x:v>
      </x:c>
      <x:c r="N229" s="6" t="str">
        <x:v>[]</x:v>
      </x:c>
      <x:c r="O229" s="7" t="b">
        <x:v>1</x:v>
      </x:c>
      <x:c r="P229" s="6" t="str">
        <x:v>K2</x:v>
      </x:c>
      <x:c r="Q229" s="6" t="str">
        <x:v>На заданном первом ходе данных достаточно; утверждённые источники дают применимый ответ для 3.0.14.140. Ожидается ответ по существу с источником.</x:v>
      </x:c>
      <x:c r="R229" s="6" t="str">
        <x:v>["omnidesk","real_anonymized","update"]</x:v>
      </x:c>
      <x:c r="S229" s="6" t="str">
        <x:v>answer</x:v>
      </x:c>
      <x:c r="T22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Из него можете создать/запустить Демо или пустую чистую.","Вежливый деловой русский и понятный следующий шаг; без обвинений и необоснованных обещаний."]</x:v>
      </x:c>
      <x:c r="U22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29" s="6" t="str">
        <x:v>[{"source_file":"/Users/maria/chatbot_rag/knowledge base/omnidesk_cases.jsonl","source_case_id":"44353975","source_jsonl_line":1015,"target_message_index":1,"evidence_type":"historical_support_consultant_approved","support_message_indices":[2],"source_answer":"[Поддержка, сообщение №2]\nЭто дистрибутив. Из него можете создать/запустить Демо или пустую чистую. [URL]","corpus_check":"confirmed_by_consultant_per_user","release_applicability":"confirmed_by_consultant","required_facts":["Из него можете создать/запустить Демо или пустую чистую."],"approval_basis":"user_confirmed_consultant_approval"}]</x:v>
      </x:c>
      <x:c r="W22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29" s="6" t="str">
        <x:v>approved</x:v>
      </x:c>
      <x:c r="Y229" s="6" t="str">
        <x:v>Карточка и применимость источников согласованы консультантом; утверждение подтверждено пользователем 25.10.2026.</x:v>
      </x:c>
      <x:c r="Z229" s="6" t="str">
        <x:v>G-504737e76c5ac9</x:v>
      </x:c>
      <x:c r="AA229" s="6" t="str">
        <x:v>eval</x:v>
      </x:c>
      <x:c r="AB229" s="6" t="str">
        <x:v>real_anonymized_candidate</x:v>
      </x:c>
    </x:row>
    <x:row r="230" ht="115" customHeight="1">
      <x:c r="A230" s="6" t="str">
        <x:v>OMNI-51700540-M001</x:v>
      </x:c>
      <x:c r="B230" s="6" t="str">
        <x:v>real_anonymized_candidate:omnidesk:51700540:message:1</x:v>
      </x:c>
      <x:c r="C230" s="6" t="str">
        <x:v>{"history":[],"user_message":"Настраиваем 1С-ЭДО по инструкции [URL] , ссылка на которую находится на вашем сайте [URL] . У нас в Полиграфии в меню «Сервис» нет раздела «Электронные документы» («Обмен электронными документами») – «Текущие дела ЭДО», п одскажите, где он находится ?"}</x:v>
      </x:c>
      <x:c r="D230" s="6" t="str">
        <x:v>{"product":"1С:УНФ 8. Полиграфия 2","version":"3.0.14.140","retrieval_state":"available","handoff_consent":false,"source_case_id":"51700540","group_id":"omnidesk_51700540","target_message_index":1,"history_status":"approved_case_first_turn","reported_release":"not_reported","approval_basis":"user_confirmed_consultant_approval"}</x:v>
      </x:c>
      <x:c r="E230" s="6" t="str">
        <x:v>1С:УНФ 8. Полиграфия 2</x:v>
      </x:c>
      <x:c r="F230" s="6" t="str">
        <x:v>3.0.14.140</x:v>
      </x:c>
      <x:c r="G230" s="6" t="str">
        <x:v>not_reported</x:v>
      </x:c>
      <x:c r="H230" s="6" t="str">
        <x:v>default</x:v>
      </x:c>
      <x:c r="I230" s="6" t="str">
        <x:v>Применимость источников и эталона к 1С:УНФ 8. Полиграфия 2, релиз 3.0.14.140, подтверждена консультантом со слов пользователя.</x:v>
      </x:c>
      <x:c r="J230" s="13" t="str">
        <x:v>0</x:v>
      </x:c>
      <x:c r="K230" s="13" t="str">
        <x:v>5</x:v>
      </x:c>
      <x:c r="L230" s="7" t="b">
        <x:v>0</x:v>
      </x:c>
      <x:c r="M230" s="6" t="str">
        <x:v>not_applicable</x:v>
      </x:c>
      <x:c r="N230" s="6" t="str">
        <x:v>[]</x:v>
      </x:c>
      <x:c r="O230" s="7" t="b">
        <x:v>1</x:v>
      </x:c>
      <x:c r="P230" s="6" t="str">
        <x:v>K2</x:v>
      </x:c>
      <x:c r="Q230" s="6" t="str">
        <x:v>На заданном первом ходе данных достаточно; утверждённые источники дают применимый ответ для 3.0.14.140. Ожидается ответ по существу с источником.</x:v>
      </x:c>
      <x:c r="R230" s="6" t="str">
        <x:v>["omnidesk","real_anonymized","integration"]</x:v>
      </x:c>
      <x:c r="S230" s="6" t="str">
        <x:v>answer</x:v>
      </x:c>
      <x:c r="T23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Александр, обратите внимание на конфигурации которые там указаны.","Подтверждённый факт из поддержки: У вас конфигурация П8 на базе УПП 1.3, а в списке на сайте другие.","Вежливый деловой русский и понятный следующий шаг; без обвинений и необоснованных обещаний."]</x:v>
      </x:c>
      <x:c r="U23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0" s="6" t="str">
        <x:v>[{"source_file":"/Users/maria/chatbot_rag/knowledge base/omnidesk_cases.jsonl","source_case_id":"51700540","source_jsonl_line":996,"target_message_index":1,"evidence_type":"historical_support_consultant_approved","support_message_indices":[2],"source_answer":"[Поддержка, сообщение №2]\nАлександр, обратите внимание на конфигурации которые там указаны. У вас конфигурация П8 на базе УПП 1.3, а в списке на сайте другие.","corpus_check":"confirmed_by_consultant_per_user","release_applicability":"confirmed_by_consultant","required_facts":["Александр, обратите внимание на конфигурации которые там указаны.","У вас конфигурация П8 на базе УПП 1.3, а в списке на сайте другие."],"approval_basis":"user_confirmed_consultant_approval"}]</x:v>
      </x:c>
      <x:c r="W23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0" s="6" t="str">
        <x:v>approved</x:v>
      </x:c>
      <x:c r="Y230" s="6" t="str">
        <x:v>Карточка и применимость источников согласованы консультантом; утверждение подтверждено пользователем 25.10.2026.</x:v>
      </x:c>
      <x:c r="Z230" s="6" t="str">
        <x:v>G-31f6aa7280b396</x:v>
      </x:c>
      <x:c r="AA230" s="6" t="str">
        <x:v>eval</x:v>
      </x:c>
      <x:c r="AB230" s="6" t="str">
        <x:v>real_anonymized_candidate</x:v>
      </x:c>
    </x:row>
    <x:row r="231" ht="115" customHeight="1">
      <x:c r="A231" s="6" t="str">
        <x:v>OMNI-32292535-M002</x:v>
      </x:c>
      <x:c r="B231" s="6" t="str">
        <x:v>real_anonymized_candidate:omnidesk:32292535:message:2</x:v>
      </x:c>
      <x:c r="C231" s="6" t="str">
        <x:v>{"history":[],"user_message":"подскажите как работает данная опция? Я предполагала что у пользователя в журнале заказов будут отображаться только заказы с отмеченными статусами. Но, видимо, это работает как-то иначе?"}</x:v>
      </x:c>
      <x:c r="D231" s="6" t="str">
        <x:v>{"product":"1С:УНФ 8. Полиграфия 2","version":"3.0.14.140","retrieval_state":"available","handoff_consent":false,"source_case_id":"32292535","group_id":"omnidesk_32292535","target_message_index":2,"history_status":"approved_case_first_turn","reported_release":"not_reported","approval_basis":"user_confirmed_consultant_approval"}</x:v>
      </x:c>
      <x:c r="E231" s="6" t="str">
        <x:v>1С:УНФ 8. Полиграфия 2</x:v>
      </x:c>
      <x:c r="F231" s="6" t="str">
        <x:v>3.0.14.140</x:v>
      </x:c>
      <x:c r="G231" s="6" t="str">
        <x:v>not_reported</x:v>
      </x:c>
      <x:c r="H231" s="6" t="str">
        <x:v>default</x:v>
      </x:c>
      <x:c r="I231" s="6" t="str">
        <x:v>Применимость источников и эталона к 1С:УНФ 8. Полиграфия 2, релиз 3.0.14.140, подтверждена консультантом со слов пользователя.</x:v>
      </x:c>
      <x:c r="J231" s="13" t="str">
        <x:v>0</x:v>
      </x:c>
      <x:c r="K231" s="13" t="str">
        <x:v>5</x:v>
      </x:c>
      <x:c r="L231" s="7" t="b">
        <x:v>0</x:v>
      </x:c>
      <x:c r="M231" s="6" t="str">
        <x:v>not_applicable</x:v>
      </x:c>
      <x:c r="N231" s="6" t="str">
        <x:v>[]</x:v>
      </x:c>
      <x:c r="O231" s="7" t="b">
        <x:v>1</x:v>
      </x:c>
      <x:c r="P231" s="6" t="str">
        <x:v>K2</x:v>
      </x:c>
      <x:c r="Q231" s="6" t="str">
        <x:v>На заданном первом ходе данных достаточно; утверждённые источники дают применимый ответ для 3.0.14.140. Ожидается ответ по существу с источником.</x:v>
      </x:c>
      <x:c r="R231" s="6" t="str">
        <x:v>["omnidesk","real_anonymized","access_rights"]</x:v>
      </x:c>
      <x:c r="S231" s="6" t="str">
        <x:v>answer</x:v>
      </x:c>
      <x:c r="T23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 умолчанию, в журнале отображаются все заказы, изменить можно фильтрами и сохранить настройки.","Подтверждённый факт из поддержки: Если стоит ограничение , (что у вас выделено желтым), то будут отображаться только те статусы которые есть в списке.","Подтверждённый факт из поддержки: А установка \"V\" в полях списка это истина ложь на редактирование изменение пересчет.","Вежливый деловой русский и понятный следующий шаг; без обвинений и необоснованных обещаний."]</x:v>
      </x:c>
      <x:c r="U23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1" s="6" t="str">
        <x:v>[{"source_file":"/Users/maria/chatbot_rag/knowledge base/omnidesk_cases.jsonl","source_case_id":"32292535","source_jsonl_line":1079,"target_message_index":2,"evidence_type":"historical_support_consultant_approved","support_message_indices":[1],"source_answer":"[Поддержка, сообщение №1]\nПо умолчанию, в журнале отображаются все заказы, изменить можно фильтрами и сохранить настройки. Если стоит ограничение , (что у вас выделено желтым), то будут отображаться только те статусы которые есть в списке. А установка \"V\" в полях списка это истина ложь на редактирование изменение пересчет.","corpus_check":"confirmed_by_consultant_per_user","release_applicability":"confirmed_by_consultant","required_facts":["По умолчанию, в журнале отображаются все заказы, изменить можно фильтрами и сохранить настройки.","Если стоит ограничение , (что у вас выделено желтым), то будут отображаться только те статусы которые есть в списке.","А установка \"V\" в полях списка это истина ложь на редактирование изменение пересчет."],"approval_basis":"user_confirmed_consultant_approval"}]</x:v>
      </x:c>
      <x:c r="W23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1" s="6" t="str">
        <x:v>approved</x:v>
      </x:c>
      <x:c r="Y231" s="6" t="str">
        <x:v>Карточка и применимость источников согласованы консультантом; утверждение подтверждено пользователем 25.10.2026.</x:v>
      </x:c>
      <x:c r="Z231" s="6" t="str">
        <x:v>G-594fe8f1b3c03e</x:v>
      </x:c>
      <x:c r="AA231" s="6" t="str">
        <x:v>eval</x:v>
      </x:c>
      <x:c r="AB231" s="6" t="str">
        <x:v>real_anonymized_candidate</x:v>
      </x:c>
    </x:row>
    <x:row r="232" ht="115" customHeight="1">
      <x:c r="A232" s="6" t="str">
        <x:v>OMNI-151988350-M001</x:v>
      </x:c>
      <x:c r="B232" s="6" t="str">
        <x:v>real_anonymized_candidate:omnidesk:151988350:message:1</x:v>
      </x:c>
      <x:c r="C232" s="6" t="str">
        <x:v>{"history":[],"user_message":"Для чего предназначена обработка \"Заказы в очередь\"?\nЭто не совсем понятно, к сожалению.\nСтатусы заказов никак не учитываются, поэтому выводятся все операции, включая операции по заказам которые реально давно уже отгружены.\nС другой стороны это конечно неплохо, потому что только так и можно отследить такие заказы.\nЭто вызвано тем, что в Журнале Оператора не отображаются заказы, которые уже выполнены, поэтому отловить неправильно оформленные заказы в Журнале Оператора не получается (об этом я написал в предыдущем обращении).\nВ общем, пока что непонятно."}</x:v>
      </x:c>
      <x:c r="D232" s="6" t="str">
        <x:v>{"product":"1С:УНФ 8. Полиграфия 2","version":"3.0.14.140","retrieval_state":"available","handoff_consent":false,"source_case_id":"151988350","group_id":"omnidesk_151988350","target_message_index":1,"history_status":"approved_case_first_turn","reported_release":"not_reported","approval_basis":"user_confirmed_consultant_approval"}</x:v>
      </x:c>
      <x:c r="E232" s="6" t="str">
        <x:v>1С:УНФ 8. Полиграфия 2</x:v>
      </x:c>
      <x:c r="F232" s="6" t="str">
        <x:v>3.0.14.140</x:v>
      </x:c>
      <x:c r="G232" s="6" t="str">
        <x:v>not_reported</x:v>
      </x:c>
      <x:c r="H232" s="6" t="str">
        <x:v>default</x:v>
      </x:c>
      <x:c r="I232" s="6" t="str">
        <x:v>Применимость источников и эталона к 1С:УНФ 8. Полиграфия 2, релиз 3.0.14.140, подтверждена консультантом со слов пользователя.</x:v>
      </x:c>
      <x:c r="J232" s="13" t="str">
        <x:v>0</x:v>
      </x:c>
      <x:c r="K232" s="13" t="str">
        <x:v>5</x:v>
      </x:c>
      <x:c r="L232" s="7" t="b">
        <x:v>0</x:v>
      </x:c>
      <x:c r="M232" s="6" t="str">
        <x:v>not_applicable</x:v>
      </x:c>
      <x:c r="N232" s="6" t="str">
        <x:v>[]</x:v>
      </x:c>
      <x:c r="O232" s="7" t="b">
        <x:v>1</x:v>
      </x:c>
      <x:c r="P232" s="6" t="str">
        <x:v>K2</x:v>
      </x:c>
      <x:c r="Q232" s="6" t="str">
        <x:v>На заданном первом ходе данных достаточно; утверждённые источники дают применимый ответ для 3.0.14.140. Ожидается ответ по существу с источником.</x:v>
      </x:c>
      <x:c r="R232" s="6" t="str">
        <x:v>["omnidesk","real_anonymized","planning"]</x:v>
      </x:c>
      <x:c r="S232" s="6" t="str">
        <x:v>answer</x:v>
      </x:c>
      <x:c r="T23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Здесь подробно описано Обработка «Заказы в очередь» предназначена для получения информации как о суммарной занятости машин, так и детальной информации по выбранному рабочему центру в разрезе расчётов заказа.","Подтверждённый факт из поддержки: В детальной информации отображаются расчёты заказов, которые на текущую дату находятся в работе (есть в журнале оператора) с неотработанной операцией по выбранному рабочему центру.","Подтверждённый факт из поддержки: Анализ времени загрузки проводится для оборудования с установленным признаком «Участвует в обработке «Заказы в очередь»».","Вежливый деловой русский и понятный следующий шаг; без обвинений и необоснованных обещаний."]</x:v>
      </x:c>
      <x:c r="U23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2" s="6" t="str">
        <x:v>[{"source_file":"/Users/maria/chatbot_rag/knowledge base/omnidesk_cases.jsonl","source_case_id":"151988350","source_jsonl_line":665,"target_message_index":1,"evidence_type":"historical_support_consultant_approved","support_message_indices":[2],"source_answer":"[Поддержка, сообщение №2]\nЗдесь подробно описано Обработка «Заказы в очередь» предназначена для получения информации как о суммарной занятости машин, так и детальной информации по выбранному рабочему центру в разрезе расчётов заказа. В детальной информации отображаются расчёты заказов, которые на текущую дату находятся в работе (есть в журнале оператора) с неотработанной операцией по выбранному рабочему центру. Анализ времени загрузки проводится для оборудования с установленным признаком «Участвует в обработке «Заказы в очередь»».","corpus_check":"confirmed_by_consultant_per_user","release_applicability":"confirmed_by_consultant","required_facts":["Здесь подробно описано Обработка «Заказы в очередь» предназначена для получения информации как о суммарной занятости машин, так и детальной информации по выбранному рабочему центру в разрезе расчётов заказа.","В детальной информации отображаются расчёты заказов, которые на текущую дату находятся в работе (есть в журнале оператора) с неотработанной операцией по выбранному рабочему центру.","Анализ времени загрузки проводится для оборудования с установленным признаком «Участвует в обработке «Заказы в очередь»»."],"approval_basis":"user_confirmed_consultant_approval"}]</x:v>
      </x:c>
      <x:c r="W23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2" s="6" t="str">
        <x:v>approved</x:v>
      </x:c>
      <x:c r="Y232" s="6" t="str">
        <x:v>Карточка и применимость источников согласованы консультантом; утверждение подтверждено пользователем 25.10.2026.</x:v>
      </x:c>
      <x:c r="Z232" s="6" t="str">
        <x:v>G-4d9212127b61e9</x:v>
      </x:c>
      <x:c r="AA232" s="6" t="str">
        <x:v>eval</x:v>
      </x:c>
      <x:c r="AB232" s="6" t="str">
        <x:v>real_anonymized_candidate</x:v>
      </x:c>
    </x:row>
    <x:row r="233" ht="115" customHeight="1">
      <x:c r="A233" s="6" t="str">
        <x:v>OMNI-112041446-M001</x:v>
      </x:c>
      <x:c r="B233" s="6" t="str">
        <x:v>real_anonymized_candidate:omnidesk:112041446:message:1</x:v>
      </x:c>
      <x:c r="C233" s="6" t="str">
        <x:v>{"history":[],"user_message":"Сквозная нумерация шаблонов расчета составляющих -- как сделать?\nНам надо СРОЧНО сделать в 1С:Полиграфии сквозную нумерацию, без обнуления каждый год. Особенно это важно для нумерации шаблонов расчета, потому что у нас уже пошли дубликаты, это неприемлемо :(\nТо же касается и номеров заказов и всего остального.\nУ нас уже на каждый номер по несколько заказов, это ужасно :(((\nПомогите пожалуйста привести нумерацию в порядок.\nСпасибо."}</x:v>
      </x:c>
      <x:c r="D233" s="6" t="str">
        <x:v>{"product":"1С:УНФ 8. Полиграфия 2","version":"3.0.14.140","retrieval_state":"available","handoff_consent":false,"source_case_id":"112041446","group_id":"omnidesk_112041446","target_message_index":1,"history_status":"approved_case_first_turn","reported_release":"not_reported","approval_basis":"user_confirmed_consultant_approval"}</x:v>
      </x:c>
      <x:c r="E233" s="6" t="str">
        <x:v>1С:УНФ 8. Полиграфия 2</x:v>
      </x:c>
      <x:c r="F233" s="6" t="str">
        <x:v>3.0.14.140</x:v>
      </x:c>
      <x:c r="G233" s="6" t="str">
        <x:v>not_reported</x:v>
      </x:c>
      <x:c r="H233" s="6" t="str">
        <x:v>default</x:v>
      </x:c>
      <x:c r="I233" s="6" t="str">
        <x:v>Применимость источников и эталона к 1С:УНФ 8. Полиграфия 2, релиз 3.0.14.140, подтверждена консультантом со слов пользователя.</x:v>
      </x:c>
      <x:c r="J233" s="13" t="str">
        <x:v>0</x:v>
      </x:c>
      <x:c r="K233" s="13" t="str">
        <x:v>5</x:v>
      </x:c>
      <x:c r="L233" s="7" t="b">
        <x:v>0</x:v>
      </x:c>
      <x:c r="M233" s="6" t="str">
        <x:v>not_applicable</x:v>
      </x:c>
      <x:c r="N233" s="6" t="str">
        <x:v>[]</x:v>
      </x:c>
      <x:c r="O233" s="7" t="b">
        <x:v>1</x:v>
      </x:c>
      <x:c r="P233" s="6" t="str">
        <x:v>K2</x:v>
      </x:c>
      <x:c r="Q233" s="6" t="str">
        <x:v>На заданном первом ходе данных достаточно; утверждённые источники дают применимый ответ для 3.0.14.140. Ожидается ответ по существу с источником.</x:v>
      </x:c>
      <x:c r="R233" s="6" t="str">
        <x:v>["omnidesk","real_anonymized","product_function"]</x:v>
      </x:c>
      <x:c r="S233" s="6" t="str">
        <x:v>answer</x:v>
      </x:c>
      <x:c r="T23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Нумерация документов, типовой функционал 1с, и здесь также мы менять не можем программно.","Подтверждённый факт из поддержки: Можем предложить 2 варианта решения этого вопроса.","Подтверждённый факт из поддержки: Ежегодно принудительно устанавливать номер документа, например, год закончили №А[LONG_NUMBER].","Вежливый деловой русский и понятный следующий шаг; без обвинений и необоснованных обещаний."]</x:v>
      </x:c>
      <x:c r="U23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3" s="6" t="str">
        <x:v>[{"source_file":"/Users/maria/chatbot_rag/knowledge base/omnidesk_cases.jsonl","source_case_id":"112041446","source_jsonl_line":766,"target_message_index":1,"evidence_type":"historical_support_consultant_approved","support_message_indices":[2,4,5],"source_answer":"[Поддержка, сообщение №2]\nНумерация документов, типовой функционал 1с, и здесь также мы менять не можем программно. Можем предложить 2 варианта решения этого вопроса. 1. Ежегодно принудительно устанавливать номер документа, например, год закончили №А[LONG_NUMBER]. В новом году устанавливайте первый документ № А[LONG_NUMBER]. И так по каждому. \"Раходная накл\", \"Сч. фактура выд\" и т.д. В наборе типовых обработок на итс была рабочая универсальная ( во вложении). На текущий момент я с ее помощью протестировал перенумерацию, работает. Восстановил/ перенумеровал (по своему усмотрению) нумерацию Расчета заказа.\n\n[Поддержка, сообщение №5]\nОстались ли вопросы по этому обращению. Могу ли я закрыть его?","corpus_check":"confirmed_by_consultant_per_user","release_applicability":"confirmed_by_consultant","required_facts":["Нумерация документов, типовой функционал 1с, и здесь также мы менять не можем программно.","Можем предложить 2 варианта решения этого вопроса.","Ежегодно принудительно устанавливать номер документа, например, год закончили №А[LONG_NUMBER]."],"approval_basis":"user_confirmed_consultant_approval"}]</x:v>
      </x:c>
      <x:c r="W23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3" s="6" t="str">
        <x:v>approved</x:v>
      </x:c>
      <x:c r="Y233" s="6" t="str">
        <x:v>Карточка и применимость источников согласованы консультантом; утверждение подтверждено пользователем 25.10.2026.</x:v>
      </x:c>
      <x:c r="Z233" s="6" t="str">
        <x:v>G-7dfe0ae89e0a2b</x:v>
      </x:c>
      <x:c r="AA233" s="6" t="str">
        <x:v>eval</x:v>
      </x:c>
      <x:c r="AB233" s="6" t="str">
        <x:v>real_anonymized_candidate</x:v>
      </x:c>
    </x:row>
    <x:row r="234" ht="115" customHeight="1">
      <x:c r="A234" s="6" t="str">
        <x:v>OMNI-41162640-M003</x:v>
      </x:c>
      <x:c r="B234" s="6" t="str">
        <x:v>real_anonymized_candidate:omnidesk:41162640:message:3</x:v>
      </x:c>
      <x:c r="C234" s="6" t="str">
        <x:v>{"history":[],"user_message":"Спасибо!\nА если исключить данный каталог из проверки и при этом использовать функции 1С полиграфия \"работа с эл. почтой\" и \"работа с макетами\", будет ли это безопасно?\nИли база эл. почты и макеты хранятся в отдельном каталоге?"}</x:v>
      </x:c>
      <x:c r="D234" s="6" t="str">
        <x:v>{"product":"1С:УНФ 8. Полиграфия 2","version":"3.0.14.140","retrieval_state":"available","handoff_consent":false,"source_case_id":"41162640","group_id":"omnidesk_41162640","target_message_index":3,"history_status":"approved_case_first_turn","reported_release":"not_reported","approval_basis":"user_confirmed_consultant_approval"}</x:v>
      </x:c>
      <x:c r="E234" s="6" t="str">
        <x:v>1С:УНФ 8. Полиграфия 2</x:v>
      </x:c>
      <x:c r="F234" s="6" t="str">
        <x:v>3.0.14.140</x:v>
      </x:c>
      <x:c r="G234" s="6" t="str">
        <x:v>not_reported</x:v>
      </x:c>
      <x:c r="H234" s="6" t="str">
        <x:v>default</x:v>
      </x:c>
      <x:c r="I234" s="6" t="str">
        <x:v>Применимость источников и эталона к 1С:УНФ 8. Полиграфия 2, релиз 3.0.14.140, подтверждена консультантом со слов пользователя.</x:v>
      </x:c>
      <x:c r="J234" s="13" t="str">
        <x:v>0</x:v>
      </x:c>
      <x:c r="K234" s="13" t="str">
        <x:v>5</x:v>
      </x:c>
      <x:c r="L234" s="7" t="b">
        <x:v>0</x:v>
      </x:c>
      <x:c r="M234" s="6" t="str">
        <x:v>not_applicable</x:v>
      </x:c>
      <x:c r="N234" s="6" t="str">
        <x:v>[]</x:v>
      </x:c>
      <x:c r="O234" s="7" t="b">
        <x:v>1</x:v>
      </x:c>
      <x:c r="P234" s="6" t="str">
        <x:v>K2</x:v>
      </x:c>
      <x:c r="Q234" s="6" t="str">
        <x:v>На заданном первом ходе данных достаточно; утверждённые источники дают применимый ответ для 3.0.14.140. Ожидается ответ по существу с источником.</x:v>
      </x:c>
      <x:c r="R234" s="6" t="str">
        <x:v>["omnidesk","real_anonymized","product_function"]</x:v>
      </x:c>
      <x:c r="S234" s="6" t="str">
        <x:v>answer</x:v>
      </x:c>
      <x:c r="T23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Если файловый вариант, то каталог с ИБ и \\\\\\Program Files...\\1cv8 добавить в искючения Если серверный, то и на каталог СУБД ..:\\Microsoft SQL Server\\MSSQL12.MSSQLSERVER\\MSSQL\\DATA","Подтверждённый факт из поддержки: Электронная почта - есть в БД документы -Входящий электронный документ и Исходящий электронный документ.","Подтверждённый факт из поддержки: Для файлов предусмотрены варианты или в БД или в отдельном каталоге.","Вежливый деловой русский и понятный следующий шаг; без обвинений и необоснованных обещаний."]</x:v>
      </x:c>
      <x:c r="U23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4" s="6" t="str">
        <x:v>[{"source_file":"/Users/maria/chatbot_rag/knowledge base/omnidesk_cases.jsonl","source_case_id":"41162640","source_jsonl_line":1032,"target_message_index":3,"evidence_type":"historical_support_consultant_approved","support_message_indices":[2,4],"source_answer":"[Поддержка, сообщение №2]\nЕсли файловый вариант, то каталог с ИБ и \\\\\\Program Files...\\1cv8 добавить в искючения Если серверный, то и на каталог СУБД ..:\\Microsoft SQL Server\\MSSQL12.MSSQLSERVER\\MSSQL\\DATA\n\n[Поддержка, сообщение №4]\nЭлектронная почта - есть в БД документы -Входящий электронный документ и Исходящий электронный документ. Почта хранится в БД. Для файлов предусмотрены варианты или в БД или в отдельном каталоге. Рекомендации по работе с 1с есть на сайте касперского - [URL]","corpus_check":"confirmed_by_consultant_per_user","release_applicability":"confirmed_by_consultant","required_facts":["Если файловый вариант, то каталог с ИБ и \\\\\\Program Files...\\1cv8 добавить в искючения Если серверный, то и на каталог СУБД ..:\\Microsoft SQL Server\\MSSQL12.MSSQLSERVER\\MSSQL\\DATA","Электронная почта - есть в БД документы -Входящий электронный документ и Исходящий электронный документ.","Для файлов предусмотрены варианты или в БД или в отдельном каталоге."],"approval_basis":"user_confirmed_consultant_approval"}]</x:v>
      </x:c>
      <x:c r="W23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4" s="6" t="str">
        <x:v>approved</x:v>
      </x:c>
      <x:c r="Y234" s="6" t="str">
        <x:v>Карточка и применимость источников согласованы консультантом; утверждение подтверждено пользователем 25.10.2026.</x:v>
      </x:c>
      <x:c r="Z234" s="6" t="str">
        <x:v>G-0f7a4578e1a223</x:v>
      </x:c>
      <x:c r="AA234" s="6" t="str">
        <x:v>eval</x:v>
      </x:c>
      <x:c r="AB234" s="6" t="str">
        <x:v>real_anonymized_candidate</x:v>
      </x:c>
    </x:row>
    <x:row r="235" ht="115" customHeight="1">
      <x:c r="A235" s="6" t="str">
        <x:v>OMNI-23616529-M001</x:v>
      </x:c>
      <x:c r="B235" s="6" t="str">
        <x:v>real_anonymized_candidate:omnidesk:23616529:message:1</x:v>
      </x:c>
      <x:c r="C235" s="6" t="str">
        <x:v>{"history":[],"user_message":"хотела уточнить следующий момент: допускается ли в формулах выражения типа ?[ 5 &lt; ЧислПараметр &lt; 10, 30, 60] Тестировала неоднократно, у меня формула при наличии двойного неравенства срабатывает, но некорректно. Срабатывает только первое условие, и значение при любом показателе числового параметра равно \"30\"."}</x:v>
      </x:c>
      <x:c r="D235" s="6" t="str">
        <x:v>{"product":"1С:УНФ 8. Полиграфия 2","version":"3.0.14.140","retrieval_state":"available","handoff_consent":false,"source_case_id":"23616529","group_id":"omnidesk_23616529","target_message_index":1,"history_status":"approved_case_first_turn","reported_release":"not_reported","approval_basis":"user_confirmed_consultant_approval"}</x:v>
      </x:c>
      <x:c r="E235" s="6" t="str">
        <x:v>1С:УНФ 8. Полиграфия 2</x:v>
      </x:c>
      <x:c r="F235" s="6" t="str">
        <x:v>3.0.14.140</x:v>
      </x:c>
      <x:c r="G235" s="6" t="str">
        <x:v>not_reported</x:v>
      </x:c>
      <x:c r="H235" s="6" t="str">
        <x:v>default</x:v>
      </x:c>
      <x:c r="I235" s="6" t="str">
        <x:v>Применимость источников и эталона к 1С:УНФ 8. Полиграфия 2, релиз 3.0.14.140, подтверждена консультантом со слов пользователя.</x:v>
      </x:c>
      <x:c r="J235" s="13" t="str">
        <x:v>0</x:v>
      </x:c>
      <x:c r="K235" s="13" t="str">
        <x:v>5</x:v>
      </x:c>
      <x:c r="L235" s="7" t="b">
        <x:v>0</x:v>
      </x:c>
      <x:c r="M235" s="6" t="str">
        <x:v>not_applicable</x:v>
      </x:c>
      <x:c r="N235" s="6" t="str">
        <x:v>[]</x:v>
      </x:c>
      <x:c r="O235" s="7" t="b">
        <x:v>1</x:v>
      </x:c>
      <x:c r="P235" s="6" t="str">
        <x:v>K2</x:v>
      </x:c>
      <x:c r="Q235" s="6" t="str">
        <x:v>На заданном первом ходе данных достаточно; утверждённые источники дают применимый ответ для 3.0.14.140. Ожидается ответ по существу с источником.</x:v>
      </x:c>
      <x:c r="R235" s="6" t="str">
        <x:v>["omnidesk","real_anonymized","cost_calculation"]</x:v>
      </x:c>
      <x:c r="S235" s="6" t="str">
        <x:v>answer</x:v>
      </x:c>
      <x:c r="T23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Нет, подобная запись некорректна (двойное неравенство), необходимо использовать \"связывающие\" операторы.","Вежливый деловой русский и понятный следующий шаг; без обвинений и необоснованных обещаний."]</x:v>
      </x:c>
      <x:c r="U23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5" s="6" t="str">
        <x:v>[{"source_file":"/Users/maria/chatbot_rag/knowledge base/omnidesk_cases.jsonl","source_case_id":"23616529","source_jsonl_line":1115,"target_message_index":1,"evidence_type":"historical_support_consultant_approved","support_message_indices":[2],"source_answer":"[Поддержка, сообщение №2]\nНет, подобная запись некорректна (двойное неравенство), необходимо использовать \"связывающие\" операторы.","corpus_check":"confirmed_by_consultant_per_user","release_applicability":"confirmed_by_consultant","required_facts":["Нет, подобная запись некорректна (двойное неравенство), необходимо использовать \"связывающие\" операторы."],"approval_basis":"user_confirmed_consultant_approval"}]</x:v>
      </x:c>
      <x:c r="W23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5" s="6" t="str">
        <x:v>approved</x:v>
      </x:c>
      <x:c r="Y235" s="6" t="str">
        <x:v>Карточка и применимость источников согласованы консультантом; утверждение подтверждено пользователем 25.10.2026.</x:v>
      </x:c>
      <x:c r="Z235" s="6" t="str">
        <x:v>G-6ee3651eaccfd8</x:v>
      </x:c>
      <x:c r="AA235" s="6" t="str">
        <x:v>eval</x:v>
      </x:c>
      <x:c r="AB235" s="6" t="str">
        <x:v>real_anonymized_candidate</x:v>
      </x:c>
    </x:row>
    <x:row r="236" ht="115" customHeight="1">
      <x:c r="A236" s="6" t="str">
        <x:v>OMNI-5875731-M001</x:v>
      </x:c>
      <x:c r="B236" s="6" t="str">
        <x:v>real_anonymized_candidate:omnidesk:5875731:message:1</x:v>
      </x:c>
      <x:c r="C236" s="6" t="str">
        <x:v>{"history":[],"user_message":"Опубликованная через IIS конфигурация автоматически выбирает язык интерфейса, который установлен в системе по умолчанию (Windows 10 - Контрольная Панель - Язык). Требуется, чтобы опубликованная конфигурация принудительно выбирала русский язык интерфейса, независимо от языка, установленного в системе в качестве языка по умолчанию.\nТ.е. при заходе на [URL] система перебрасывает пользователя на /CONF/ru/ или /CONF/en_US/ (в зависимости от языка ввода системы).\nЕсли ввести ссылку вручную вместе с языком ([URL]), то система остаётся в русском интерфейсе (спасибо и на том).\nВопрос: автоматический выбор языка как-то ещё регулируется настройками в 1С или IIS, или на это влияет только язык, установленный в самой ОС по умолчанию?"}</x:v>
      </x:c>
      <x:c r="D236" s="6" t="str">
        <x:v>{"product":"1С:УНФ 8. Полиграфия 2","version":"3.0.14.140","retrieval_state":"available","handoff_consent":false,"source_case_id":"5875731","group_id":"omnidesk_5875731","target_message_index":1,"history_status":"approved_case_first_turn","reported_release":"not_reported","approval_basis":"user_confirmed_consultant_approval"}</x:v>
      </x:c>
      <x:c r="E236" s="6" t="str">
        <x:v>1С:УНФ 8. Полиграфия 2</x:v>
      </x:c>
      <x:c r="F236" s="6" t="str">
        <x:v>3.0.14.140</x:v>
      </x:c>
      <x:c r="G236" s="6" t="str">
        <x:v>not_reported</x:v>
      </x:c>
      <x:c r="H236" s="6" t="str">
        <x:v>default</x:v>
      </x:c>
      <x:c r="I236" s="6" t="str">
        <x:v>Применимость источников и эталона к 1С:УНФ 8. Полиграфия 2, релиз 3.0.14.140, подтверждена консультантом со слов пользователя.</x:v>
      </x:c>
      <x:c r="J236" s="13" t="str">
        <x:v>0</x:v>
      </x:c>
      <x:c r="K236" s="13" t="str">
        <x:v>5</x:v>
      </x:c>
      <x:c r="L236" s="7" t="b">
        <x:v>0</x:v>
      </x:c>
      <x:c r="M236" s="6" t="str">
        <x:v>not_applicable</x:v>
      </x:c>
      <x:c r="N236" s="6" t="str">
        <x:v>[]</x:v>
      </x:c>
      <x:c r="O236" s="7" t="b">
        <x:v>1</x:v>
      </x:c>
      <x:c r="P236" s="6" t="str">
        <x:v>K2</x:v>
      </x:c>
      <x:c r="Q236" s="6" t="str">
        <x:v>На заданном первом ходе данных достаточно; утверждённые источники дают применимый ответ для 3.0.14.140. Ожидается ответ по существу с источником.</x:v>
      </x:c>
      <x:c r="R236" s="6" t="str">
        <x:v>["omnidesk","real_anonymized","access_rights"]</x:v>
      </x:c>
      <x:c r="S236" s="6" t="str">
        <x:v>answer</x:v>
      </x:c>
      <x:c r="T23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При установке платформы выбирайте не системные установки, а явно указывайте Русский язык.","Вежливый деловой русский и понятный следующий шаг; без обвинений и необоснованных обещаний."]</x:v>
      </x:c>
      <x:c r="U23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6" s="6" t="str">
        <x:v>[{"source_file":"/Users/maria/chatbot_rag/knowledge base/omnidesk_cases.jsonl","source_case_id":"5875731","source_jsonl_line":1399,"target_message_index":1,"evidence_type":"historical_support_consultant_approved","support_message_indices":[2],"source_answer":"[Поддержка, сообщение №2]\nПри установке платформы выбирайте не системные установки, а явно указывайте Русский язык.","corpus_check":"confirmed_by_consultant_per_user","release_applicability":"confirmed_by_consultant","required_facts":["При установке платформы выбирайте не системные установки, а явно указывайте Русский язык."],"approval_basis":"user_confirmed_consultant_approval"}]</x:v>
      </x:c>
      <x:c r="W23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6" s="6" t="str">
        <x:v>approved</x:v>
      </x:c>
      <x:c r="Y236" s="6" t="str">
        <x:v>Карточка и применимость источников согласованы консультантом; утверждение подтверждено пользователем 25.10.2026.</x:v>
      </x:c>
      <x:c r="Z236" s="6" t="str">
        <x:v>G-d1ce26d4a255ae</x:v>
      </x:c>
      <x:c r="AA236" s="6" t="str">
        <x:v>eval</x:v>
      </x:c>
      <x:c r="AB236" s="6" t="str">
        <x:v>real_anonymized_candidate</x:v>
      </x:c>
    </x:row>
    <x:row r="237" ht="115" customHeight="1">
      <x:c r="A237" s="6" t="str">
        <x:v>OMNI-309227183-M001</x:v>
      </x:c>
      <x:c r="B237" s="6" t="str">
        <x:v>real_anonymized_candidate:omnidesk:309227183:message:1</x:v>
      </x:c>
      <x:c r="C237" s="6" t="str">
        <x:v>{"history":[],"user_message":"У нас установлена 1С полиграфия и есть ИТС проф. .\nРешили заняться сдельной оплатой труда. Подскажите, пожалуйста, где\nможно почитать про этот функционал?\nСпасибо"}</x:v>
      </x:c>
      <x:c r="D237" s="6" t="str">
        <x:v>{"product":"1С:УНФ 8. Полиграфия 2","version":"3.0.14.140","retrieval_state":"available","handoff_consent":false,"source_case_id":"309227183","group_id":"omnidesk_309227183","target_message_index":1,"history_status":"approved_case_first_turn","reported_release":"not_reported","approval_basis":"user_confirmed_consultant_approval"}</x:v>
      </x:c>
      <x:c r="E237" s="6" t="str">
        <x:v>1С:УНФ 8. Полиграфия 2</x:v>
      </x:c>
      <x:c r="F237" s="6" t="str">
        <x:v>3.0.14.140</x:v>
      </x:c>
      <x:c r="G237" s="6" t="str">
        <x:v>not_reported</x:v>
      </x:c>
      <x:c r="H237" s="6" t="str">
        <x:v>default</x:v>
      </x:c>
      <x:c r="I237" s="6" t="str">
        <x:v>Применимость источников и эталона к 1С:УНФ 8. Полиграфия 2, релиз 3.0.14.140, подтверждена консультантом со слов пользователя.</x:v>
      </x:c>
      <x:c r="J237" s="13" t="str">
        <x:v>0</x:v>
      </x:c>
      <x:c r="K237" s="13" t="str">
        <x:v>5</x:v>
      </x:c>
      <x:c r="L237" s="7" t="b">
        <x:v>0</x:v>
      </x:c>
      <x:c r="M237" s="6" t="str">
        <x:v>not_applicable</x:v>
      </x:c>
      <x:c r="N237" s="6" t="str">
        <x:v>[]</x:v>
      </x:c>
      <x:c r="O237" s="7" t="b">
        <x:v>1</x:v>
      </x:c>
      <x:c r="P237" s="6" t="str">
        <x:v>K2</x:v>
      </x:c>
      <x:c r="Q237" s="6" t="str">
        <x:v>На заданном первом ходе данных достаточно; утверждённые источники дают применимый ответ для 3.0.14.140. Ожидается ответ по существу с источником.</x:v>
      </x:c>
      <x:c r="R237" s="6" t="str">
        <x:v>["omnidesk","real_anonymized","product_function"]</x:v>
      </x:c>
      <x:c r="S237" s="6" t="str">
        <x:v>answer</x:v>
      </x:c>
      <x:c r="T23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У нас сохранен полностью типовой функционал УНФ.","Подтверждённый факт из поддержки: Для начисления сдельной оплаты труда необходимо учитывать выработку.","Подтверждённый факт из поддержки: Для этого используются документы «Сдельный наряд» и «Заказ-наряд».","Вежливый деловой русский и понятный следующий шаг; без обвинений и необоснованных обещаний."]</x:v>
      </x:c>
      <x:c r="U23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7" s="6" t="str">
        <x:v>[{"source_file":"/Users/maria/chatbot_rag/knowledge base/omnidesk_cases.jsonl","source_case_id":"309227183","source_jsonl_line":305,"target_message_index":1,"evidence_type":"historical_support_consultant_approved","support_message_indices":[2],"source_answer":"[Поддержка, сообщение №2]\n1. [URL] 2. [URL] 3. У нас сохранен полностью типовой функционал УНФ. Для начисления сдельной оплаты труда необходимо учитывать выработку. Для этого используются документы «Сдельный наряд» и «Заказ-наряд». По ним же производится начисление сдельной оплаты. Документ «Сдельный наряд» начисляет заработную плату по виду начисления «Сдельная оплата (тариф)». При этом размер тарифов определяется на вкладке «Операции» исходя из перечня технологических операций, выполненных сотрудником или сотрудниками и их стоимости. Кому начислить эти суммы определяется значением реквизита «Исполнитель». При этом, если исполнителей несколько, например бригада, то состав бригады указывается на вкладке «Состав бригады». Размер начисления каждому из сотрудников зависит от значения КТУ (коэффициент трудового участия) сотрудников. При равной степени участия у каждого из сотрудников КТУ равен 1. Всем сотрудникам бригады будет начислена одинаковая сумма. 4. а если использовать наши операции и заполнять сдельный наряд по Журнал оператора и Отражение факта(оперативное планирование), у нас немного по другому все считается. Исходя из настроек в справочнике Операции- вкладка Зарплата ( Закладка «Расчет заработной платы» Данная закладка отображается, если для операции на закладке «Доп. параметры» установлен признак учета сдельной заработной платы работников. В этом случае на закладка «Расчет заработной платы» можно указать различный вариант расчета зарплаты (обычный или расширенный). Если выбирается \"Обычный \" вариант расчета, то указывается технологическая операция, ее расценка и способ расчета заработной платы (либо по времени, либо по количеству операций). Если выбирается \"расширенный вариант\", то расценку операции нужно задавать в документе \"Нормирование заработной платы к операции\", в зависимости от выбранных параметров.","corpus_check":"confirmed_by_consultant_per_user","release_applicability":"confirmed_by_consultant","required_facts":["У нас сохранен полностью типовой функционал УНФ.","Для начисления сдельной оплаты труда необходимо учитывать выработку.","Для этого используются документы «Сдельный наряд» и «Заказ-наряд»."],"approval_basis":"user_confirmed_consultant_approval"}]</x:v>
      </x:c>
      <x:c r="W23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7" s="6" t="str">
        <x:v>approved</x:v>
      </x:c>
      <x:c r="Y237" s="6" t="str">
        <x:v>Карточка и применимость источников согласованы консультантом; утверждение подтверждено пользователем 25.10.2026.</x:v>
      </x:c>
      <x:c r="Z237" s="6" t="str">
        <x:v>G-3f97742c0a2774</x:v>
      </x:c>
      <x:c r="AA237" s="6" t="str">
        <x:v>eval</x:v>
      </x:c>
      <x:c r="AB237" s="6" t="str">
        <x:v>real_anonymized_candidate</x:v>
      </x:c>
    </x:row>
    <x:row r="238" ht="115" customHeight="1">
      <x:c r="A238" s="6" t="str">
        <x:v>OMNI-6759913-M001</x:v>
      </x:c>
      <x:c r="B238" s="6" t="str">
        <x:v>real_anonymized_candidate:omnidesk:6759913:message:1</x:v>
      </x:c>
      <x:c r="C238" s="6" t="str">
        <x:v>{"history":[],"user_message":"уважаемые партнёры ! У Клиента ЭКСТРА М\", [ИНН], есть программа 1С: Полиграфия ( на базе УПП ред. 1.3) , рег.номер [LONG_NUMBER], ИТС Проф. Имеет ли он возможность пользоваться сервисом 1С Контрагент ? Код партнёра 04579-45 Спасибо за сотрудничество! ____________________________________________________________________________________"}</x:v>
      </x:c>
      <x:c r="D238" s="6" t="str">
        <x:v>{"product":"1С:УНФ 8. Полиграфия 2","version":"3.0.14.140","retrieval_state":"available","handoff_consent":false,"source_case_id":"6759913","group_id":"omnidesk_6759913","target_message_index":1,"history_status":"approved_case_first_turn","reported_release":"not_reported","approval_basis":"user_confirmed_consultant_approval"}</x:v>
      </x:c>
      <x:c r="E238" s="6" t="str">
        <x:v>1С:УНФ 8. Полиграфия 2</x:v>
      </x:c>
      <x:c r="F238" s="6" t="str">
        <x:v>3.0.14.140</x:v>
      </x:c>
      <x:c r="G238" s="6" t="str">
        <x:v>not_reported</x:v>
      </x:c>
      <x:c r="H238" s="6" t="str">
        <x:v>default</x:v>
      </x:c>
      <x:c r="I238" s="6" t="str">
        <x:v>Применимость источников и эталона к 1С:УНФ 8. Полиграфия 2, релиз 3.0.14.140, подтверждена консультантом со слов пользователя.</x:v>
      </x:c>
      <x:c r="J238" s="13" t="str">
        <x:v>0</x:v>
      </x:c>
      <x:c r="K238" s="13" t="str">
        <x:v>5</x:v>
      </x:c>
      <x:c r="L238" s="7" t="b">
        <x:v>0</x:v>
      </x:c>
      <x:c r="M238" s="6" t="str">
        <x:v>not_applicable</x:v>
      </x:c>
      <x:c r="N238" s="6" t="str">
        <x:v>[]</x:v>
      </x:c>
      <x:c r="O238" s="7" t="b">
        <x:v>1</x:v>
      </x:c>
      <x:c r="P238" s="6" t="str">
        <x:v>K2</x:v>
      </x:c>
      <x:c r="Q238" s="6" t="str">
        <x:v>На заданном первом ходе данных достаточно; утверждённые источники дают применимый ответ для 3.0.14.140. Ожидается ответ по существу с источником.</x:v>
      </x:c>
      <x:c r="R238" s="6" t="str">
        <x:v>["omnidesk","real_anonymized","product_function"]</x:v>
      </x:c>
      <x:c r="S238" s="6" t="str">
        <x:v>answer</x:v>
      </x:c>
      <x:c r="T23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Вы сами указали на базе УПП 1.3, соответственно весь функционал УПП сохранен.","Подтверждённый факт из поддержки: Более подробно на портале 1с - сервисы - условия получения [URL]","Вежливый деловой русский и понятный следующий шаг; без обвинений и необоснованных обещаний."]</x:v>
      </x:c>
      <x:c r="U23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8" s="6" t="str">
        <x:v>[{"source_file":"/Users/maria/chatbot_rag/knowledge base/omnidesk_cases.jsonl","source_case_id":"6759913","source_jsonl_line":1355,"target_message_index":1,"evidence_type":"historical_support_consultant_approved","support_message_indices":[2],"source_answer":"[Поддержка, сообщение №2]\nВы сами указали на базе УПП 1.3, соответственно весь функционал УПП сохранен. Более подробно на портале 1с - сервисы - условия получения [URL]","corpus_check":"confirmed_by_consultant_per_user","release_applicability":"confirmed_by_consultant","required_facts":["Вы сами указали на базе УПП 1.3, соответственно весь функционал УПП сохранен.","Более подробно на портале 1с - сервисы - условия получения [URL]"],"approval_basis":"user_confirmed_consultant_approval"}]</x:v>
      </x:c>
      <x:c r="W23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8" s="6" t="str">
        <x:v>approved</x:v>
      </x:c>
      <x:c r="Y238" s="6" t="str">
        <x:v>Карточка и применимость источников согласованы консультантом; утверждение подтверждено пользователем 25.10.2026.</x:v>
      </x:c>
      <x:c r="Z238" s="6" t="str">
        <x:v>G-f5982cdb1ee25d</x:v>
      </x:c>
      <x:c r="AA238" s="6" t="str">
        <x:v>eval</x:v>
      </x:c>
      <x:c r="AB238" s="6" t="str">
        <x:v>real_anonymized_candidate</x:v>
      </x:c>
    </x:row>
    <x:row r="239" ht="115" customHeight="1">
      <x:c r="A239" s="6" t="str">
        <x:v>OMNI-173463644-M001</x:v>
      </x:c>
      <x:c r="B239" s="6" t="str">
        <x:v>real_anonymized_candidate:omnidesk:173463644:message:1</x:v>
      </x:c>
      <x:c r="C239" s="6" t="str">
        <x:v>{"history":[],"user_message":"При анализе модуля для ЕРП, возник вопрос как считается фактическая с/б в для отчета Расширенный анализ план/факт себестоимости. В отчете показывает плановую себестоимость в разрезе материалов и операций. И возник вопрос. Как будет отображена фактическая себестоимость в разрезе операций? Как будут связаны косвенные расходы, зарплата с операциями в вашем отчете? И будет ли она вообще показывает факт в этом отчете, так как в демо базе закрыты месяца, но в отчете факт так и не появился ни по материалам ни по операциям.."}</x:v>
      </x:c>
      <x:c r="D239" s="6" t="str">
        <x:v>{"product":"1С:УНФ 8. Полиграфия 2","version":"3.0.14.140","retrieval_state":"available","handoff_consent":false,"source_case_id":"173463644","group_id":"omnidesk_173463644","target_message_index":1,"history_status":"approved_case_first_turn","reported_release":"not_reported","approval_basis":"user_confirmed_consultant_approval"}</x:v>
      </x:c>
      <x:c r="E239" s="6" t="str">
        <x:v>1С:УНФ 8. Полиграфия 2</x:v>
      </x:c>
      <x:c r="F239" s="6" t="str">
        <x:v>3.0.14.140</x:v>
      </x:c>
      <x:c r="G239" s="6" t="str">
        <x:v>not_reported</x:v>
      </x:c>
      <x:c r="H239" s="6" t="str">
        <x:v>default</x:v>
      </x:c>
      <x:c r="I239" s="6" t="str">
        <x:v>Применимость источников и эталона к 1С:УНФ 8. Полиграфия 2, релиз 3.0.14.140, подтверждена консультантом со слов пользователя.</x:v>
      </x:c>
      <x:c r="J239" s="13" t="str">
        <x:v>0</x:v>
      </x:c>
      <x:c r="K239" s="13" t="str">
        <x:v>5</x:v>
      </x:c>
      <x:c r="L239" s="7" t="b">
        <x:v>0</x:v>
      </x:c>
      <x:c r="M239" s="6" t="str">
        <x:v>not_applicable</x:v>
      </x:c>
      <x:c r="N239" s="6" t="str">
        <x:v>[]</x:v>
      </x:c>
      <x:c r="O239" s="7" t="b">
        <x:v>1</x:v>
      </x:c>
      <x:c r="P239" s="6" t="str">
        <x:v>K2</x:v>
      </x:c>
      <x:c r="Q239" s="6" t="str">
        <x:v>На заданном первом ходе данных достаточно; утверждённые источники дают применимый ответ для 3.0.14.140. Ожидается ответ по существу с источником.</x:v>
      </x:c>
      <x:c r="R239" s="6" t="str">
        <x:v>["omnidesk","real_anonymized","cost_calculation","materials","support"]</x:v>
      </x:c>
      <x:c r="S239" s="6" t="str">
        <x:v>answer</x:v>
      </x:c>
      <x:c r="T23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После того как вы отразите факт выполнения операции, это попадет в отчет.","Подтверждённый факт из поддержки: Зарплату можно учитывать в операции.","Подтверждённый факт из поддержки: Для того чтобы появился факт, только закрытия месяца недостаточно, нужно еще отразить факт выполнения операции через Журнал оператора или обработку \"Отражение факта\"","Вежливый деловой русский и понятный следующий шаг; без обвинений и необоснованных обещаний."]</x:v>
      </x:c>
      <x:c r="U23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9" s="6" t="str">
        <x:v>[{"source_file":"/Users/maria/chatbot_rag/knowledge base/omnidesk_cases.jsonl","source_case_id":"173463644","source_jsonl_line":554,"target_message_index":1,"evidence_type":"historical_support_consultant_approved","support_message_indices":[2,4,5],"source_answer":"[Поддержка, сообщение №2]\nПосле того как вы отразите факт выполнения операции, это попадет в отчет. Зарплату можно учитывать в операции. Это отразится. Для того чтобы появился факт, только закрытия месяца недостаточно, нужно еще отразить факт выполнения операции через Журнал оператора или обработку \"Отражение факта\"\n\n[Поддержка, сообщение №5]\nФакт по операциям не собирается. А собирается на продукцию в разрезе статей затрат. Так как нигде операции кроме полиграфических документов не участвуют. Связь идет через «Статьи калькуляции» которые для операций указывается в реквизите Основная статья затрат на производство, у материалов-в реквизите «Плановая статья затрат на производство». У операции должен быть учет зарплаты и задан вид работ. Если эти данные заполнены, то в отчете в колонке себестоимость эти данные будут. И факт будет заполняться когда, Расчет заказа будет выполнен, на его основании будет сделано Производство без заказа, произведено закрытие месяца.","corpus_check":"confirmed_by_consultant_per_user","release_applicability":"confirmed_by_consultant","required_facts":["После того как вы отразите факт выполнения операции, это попадет в отчет.","Зарплату можно учитывать в операции.","Для того чтобы появился факт, только закрытия месяца недостаточно, нужно еще отразить факт выполнения операции через Журнал оператора или обработку \"Отражение факта\""],"approval_basis":"user_confirmed_consultant_approval"}]</x:v>
      </x:c>
      <x:c r="W23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9" s="6" t="str">
        <x:v>approved</x:v>
      </x:c>
      <x:c r="Y239" s="6" t="str">
        <x:v>Карточка и применимость источников согласованы консультантом; утверждение подтверждено пользователем 25.10.2026.</x:v>
      </x:c>
      <x:c r="Z239" s="6" t="str">
        <x:v>G-878e823600350f</x:v>
      </x:c>
      <x:c r="AA239" s="6" t="str">
        <x:v>eval</x:v>
      </x:c>
      <x:c r="AB239" s="6" t="str">
        <x:v>real_anonymized_candidate</x:v>
      </x:c>
    </x:row>
    <x:row r="240" ht="115" customHeight="1">
      <x:c r="A240" s="6" t="str">
        <x:v>OMNI-234168646-M001</x:v>
      </x:c>
      <x:c r="B240" s="6" t="str">
        <x:v>real_anonymized_candidate:omnidesk:234168646:message:1</x:v>
      </x:c>
      <x:c r="C240" s="6" t="str">
        <x:v>{"history":[],"user_message":"У нас слетели настройки, не работает 1С контрагент и не работают Обсуждения Что делать ?"}</x:v>
      </x:c>
      <x:c r="D240" s="6" t="str">
        <x:v>{"product":"1С:УНФ 8. Полиграфия 2","version":"3.0.14.140","retrieval_state":"available","handoff_consent":false,"source_case_id":"234168646","group_id":"omnidesk_234168646","target_message_index":1,"history_status":"approved_case_first_turn","reported_release":"not_reported","approval_basis":"user_confirmed_consultant_approval"}</x:v>
      </x:c>
      <x:c r="E240" s="6" t="str">
        <x:v>1С:УНФ 8. Полиграфия 2</x:v>
      </x:c>
      <x:c r="F240" s="6" t="str">
        <x:v>3.0.14.140</x:v>
      </x:c>
      <x:c r="G240" s="6" t="str">
        <x:v>not_reported</x:v>
      </x:c>
      <x:c r="H240" s="6" t="str">
        <x:v>default</x:v>
      </x:c>
      <x:c r="I240" s="6" t="str">
        <x:v>Применимость источников и эталона к 1С:УНФ 8. Полиграфия 2, релиз 3.0.14.140, подтверждена консультантом со слов пользователя.</x:v>
      </x:c>
      <x:c r="J240" s="13" t="str">
        <x:v>0</x:v>
      </x:c>
      <x:c r="K240" s="13" t="str">
        <x:v>5</x:v>
      </x:c>
      <x:c r="L240" s="7" t="b">
        <x:v>0</x:v>
      </x:c>
      <x:c r="M240" s="6" t="str">
        <x:v>not_applicable</x:v>
      </x:c>
      <x:c r="N240" s="6" t="str">
        <x:v>[]</x:v>
      </x:c>
      <x:c r="O240" s="7" t="b">
        <x:v>1</x:v>
      </x:c>
      <x:c r="P240" s="6" t="str">
        <x:v>K2</x:v>
      </x:c>
      <x:c r="Q240" s="6" t="str">
        <x:v>На заданном первом ходе данных достаточно; утверждённые источники дают применимый ответ для 3.0.14.140. Ожидается ответ по существу с источником.</x:v>
      </x:c>
      <x:c r="R240" s="6" t="str">
        <x:v>["omnidesk","real_anonymized","product_function"]</x:v>
      </x:c>
      <x:c r="S240" s="6" t="str">
        <x:v>answer</x:v>
      </x:c>
      <x:c r="T24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Сейчас пока некоторые сервисы «1С» не работают, например,активация лицензий, 1с контрагент.","Подтверждённый факт из поддержки: Обещают устранить в ближайшее время.","Подтверждённый факт из поддержки: Давайте посмотрим уже в понедельник.","Вежливый деловой русский и понятный следующий шаг; без обвинений и необоснованных обещаний."]</x:v>
      </x:c>
      <x:c r="U24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0" s="6" t="str">
        <x:v>[{"source_file":"/Users/maria/chatbot_rag/knowledge base/omnidesk_cases.jsonl","source_case_id":"234168646","source_jsonl_line":440,"target_message_index":1,"evidence_type":"historical_support_consultant_approved","support_message_indices":[2,3],"source_answer":"[Поддержка, сообщение №2]\nПока ничего. Сейчас пока некоторые сервисы «1С» не работают, например,активация лицензий, 1с контрагент. Обещают устранить в ближайшее время. Давайте посмотрим уже в понедельник. Если до этого времени поступит информация об устранении проблем, то сообщим дополнительно.\n\n[Поддержка, сообщение №3]\nРаботает.","corpus_check":"confirmed_by_consultant_per_user","release_applicability":"confirmed_by_consultant","required_facts":["Сейчас пока некоторые сервисы «1С» не работают, например,активация лицензий, 1с контрагент.","Обещают устранить в ближайшее время.","Давайте посмотрим уже в понедельник."],"approval_basis":"user_confirmed_consultant_approval"}]</x:v>
      </x:c>
      <x:c r="W24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0" s="6" t="str">
        <x:v>approved</x:v>
      </x:c>
      <x:c r="Y240" s="6" t="str">
        <x:v>Карточка и применимость источников согласованы консультантом; утверждение подтверждено пользователем 25.10.2026.</x:v>
      </x:c>
      <x:c r="Z240" s="6" t="str">
        <x:v>G-a619515e509424</x:v>
      </x:c>
      <x:c r="AA240" s="6" t="str">
        <x:v>eval</x:v>
      </x:c>
      <x:c r="AB240" s="6" t="str">
        <x:v>real_anonymized_candidate</x:v>
      </x:c>
    </x:row>
    <x:row r="241" ht="115" customHeight="1">
      <x:c r="A241" s="6" t="str">
        <x:v>OMNI-33097503-M001</x:v>
      </x:c>
      <x:c r="B241" s="6" t="str">
        <x:v>real_anonymized_candidate:omnidesk:33097503:message:1</x:v>
      </x:c>
      <x:c r="C241" s="6" t="str">
        <x:v>{"history":[],"user_message":"Рег номер ПП [LONG_NUMBER] Добрый день. Можете дать консультацию по вопросу : Вопрос касается расхода материала в операции пресса. Можно ли настроить округления расхода материала не до 1го метра , а до десятых метра? Так же в потерях и приладке устанавливаю значение 0.2 пог.м, а в расход материала попадает целый метр... Можно ли это как то настроить?"}</x:v>
      </x:c>
      <x:c r="D241" s="6" t="str">
        <x:v>{"product":"1С:УНФ 8. Полиграфия 2","version":"3.0.14.140","retrieval_state":"available","handoff_consent":false,"source_case_id":"33097503","group_id":"omnidesk_33097503","target_message_index":1,"history_status":"approved_case_first_turn","reported_release":"not_reported","approval_basis":"user_confirmed_consultant_approval"}</x:v>
      </x:c>
      <x:c r="E241" s="6" t="str">
        <x:v>1С:УНФ 8. Полиграфия 2</x:v>
      </x:c>
      <x:c r="F241" s="6" t="str">
        <x:v>3.0.14.140</x:v>
      </x:c>
      <x:c r="G241" s="6" t="str">
        <x:v>not_reported</x:v>
      </x:c>
      <x:c r="H241" s="6" t="str">
        <x:v>default</x:v>
      </x:c>
      <x:c r="I241" s="6" t="str">
        <x:v>Применимость источников и эталона к 1С:УНФ 8. Полиграфия 2, релиз 3.0.14.140, подтверждена консультантом со слов пользователя.</x:v>
      </x:c>
      <x:c r="J241" s="13" t="str">
        <x:v>0</x:v>
      </x:c>
      <x:c r="K241" s="13" t="str">
        <x:v>5</x:v>
      </x:c>
      <x:c r="L241" s="7" t="b">
        <x:v>0</x:v>
      </x:c>
      <x:c r="M241" s="6" t="str">
        <x:v>not_applicable</x:v>
      </x:c>
      <x:c r="N241" s="6" t="str">
        <x:v>[]</x:v>
      </x:c>
      <x:c r="O241" s="7" t="b">
        <x:v>1</x:v>
      </x:c>
      <x:c r="P241" s="6" t="str">
        <x:v>K2</x:v>
      </x:c>
      <x:c r="Q241" s="6" t="str">
        <x:v>На заданном первом ходе данных достаточно; утверждённые источники дают применимый ответ для 3.0.14.140. Ожидается ответ по существу с источником.</x:v>
      </x:c>
      <x:c r="R241" s="6" t="str">
        <x:v>["omnidesk","real_anonymized","materials","support"]</x:v>
      </x:c>
      <x:c r="S241" s="6" t="str">
        <x:v>answer</x:v>
      </x:c>
      <x:c r="T241"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24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1" s="6" t="str">
        <x:v>[{"source_file":"/Users/maria/chatbot_rag/knowledge base/omnidesk_cases.jsonl","source_case_id":"33097503","source_jsonl_line":1074,"target_message_index":1,"evidence_type":"historical_support_consultant_approved","support_message_indices":[2],"source_answer":"[Поддержка, сообщение №2]\nОзнакомьтесь с регламентом работы техподдержки [URL] На этот рег номер нет подписки ИТС","corpus_check":"confirmed_by_consultant_per_user","release_applicability":"confirmed_by_consultant","approval_basis":"user_confirmed_consultant_approval"}]</x:v>
      </x:c>
      <x:c r="W24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1" s="6" t="str">
        <x:v>approved</x:v>
      </x:c>
      <x:c r="Y241" s="6" t="str">
        <x:v>Карточка и применимость источников согласованы консультантом; утверждение подтверждено пользователем 25.10.2026.</x:v>
      </x:c>
      <x:c r="Z241" s="6" t="str">
        <x:v>G-ad4da593ec6497</x:v>
      </x:c>
      <x:c r="AA241" s="6" t="str">
        <x:v>eval</x:v>
      </x:c>
      <x:c r="AB241" s="6" t="str">
        <x:v>real_anonymized_candidate</x:v>
      </x:c>
    </x:row>
    <x:row r="242" ht="115" customHeight="1">
      <x:c r="A242" s="6" t="str">
        <x:v>OMNI-64946741-M001</x:v>
      </x:c>
      <x:c r="B242" s="6" t="str">
        <x:v>real_anonymized_candidate:omnidesk:64946741:message:1</x:v>
      </x:c>
      <x:c r="C242" s="6" t="str">
        <x:v>{"history":[],"user_message":"Доброе день! Сегодня при входе в 1С программа выдала сообщение Что это значит ? и что с эти делать?"}</x:v>
      </x:c>
      <x:c r="D242" s="6" t="str">
        <x:v>{"product":"1С:УНФ 8. Полиграфия 2","version":"3.0.14.140","retrieval_state":"available","handoff_consent":false,"source_case_id":"64946741","group_id":"omnidesk_64946741","target_message_index":1,"history_status":"approved_case_first_turn","reported_release":"not_reported","approval_basis":"user_confirmed_consultant_approval"}</x:v>
      </x:c>
      <x:c r="E242" s="6" t="str">
        <x:v>1С:УНФ 8. Полиграфия 2</x:v>
      </x:c>
      <x:c r="F242" s="6" t="str">
        <x:v>3.0.14.140</x:v>
      </x:c>
      <x:c r="G242" s="6" t="str">
        <x:v>not_reported</x:v>
      </x:c>
      <x:c r="H242" s="6" t="str">
        <x:v>default</x:v>
      </x:c>
      <x:c r="I242" s="6" t="str">
        <x:v>Применимость источников и эталона к 1С:УНФ 8. Полиграфия 2, релиз 3.0.14.140, подтверждена консультантом со слов пользователя.</x:v>
      </x:c>
      <x:c r="J242" s="13" t="str">
        <x:v>0</x:v>
      </x:c>
      <x:c r="K242" s="13" t="str">
        <x:v>5</x:v>
      </x:c>
      <x:c r="L242" s="7" t="b">
        <x:v>0</x:v>
      </x:c>
      <x:c r="M242" s="6" t="str">
        <x:v>not_applicable</x:v>
      </x:c>
      <x:c r="N242" s="6" t="str">
        <x:v>[]</x:v>
      </x:c>
      <x:c r="O242" s="7" t="b">
        <x:v>1</x:v>
      </x:c>
      <x:c r="P242" s="6" t="str">
        <x:v>K2</x:v>
      </x:c>
      <x:c r="Q242" s="6" t="str">
        <x:v>На заданном первом ходе данных достаточно; утверждённые источники дают применимый ответ для 3.0.14.140. Ожидается ответ по существу с источником.</x:v>
      </x:c>
      <x:c r="R242" s="6" t="str">
        <x:v>["omnidesk","real_anonymized","product_function"]</x:v>
      </x:c>
      <x:c r="S242" s="6" t="str">
        <x:v>answer</x:v>
      </x:c>
      <x:c r="T24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Установите значения настроек по умолчанию для платформы 8.3.15 согласно документации [URL]","Подтверждённый факт из поддержки: В дополнение к ответу выше и проблемам которые появились сегодня.","Подтверждённый факт из поддержки: Посмотрите в консоли сервера 1с сколько сеансов у вас открыто на всех базах.","Вежливый деловой русский и понятный следующий шаг; без обвинений и необоснованных обещаний."]</x:v>
      </x:c>
      <x:c r="U24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2" s="6" t="str">
        <x:v>[{"source_file":"/Users/maria/chatbot_rag/knowledge base/omnidesk_cases.jsonl","source_case_id":"64946741","source_jsonl_line":897,"target_message_index":1,"evidence_type":"historical_support_consultant_approved","support_message_indices":[2,3,4,6],"source_answer":"[Поддержка, сообщение №2]\nУстановите значения настроек по умолчанию для платформы 8.3.15 согласно документации [URL]\n\n[Поддержка, сообщение №3]\nВ дополнение к ответу выше и проблемам которые появились сегодня. 1. Недостаточно лицензий. Посмотрите в консоли сервера 1с сколько сеансов у вас открыто на всех базах. Могут быть зависшие сеансы удерживающие лицензии. Удалите их. Если у вас лицензии обслуживает HLM, то посмотрите в Hasp Monitor. Сделайте настройки как рекомендует 1с [URL] 2. И, как договаривались, после удаления помеченных объектов обязательно в MS SQL сделайте план обслуживания с переиндексацией. Это для решения вопросов по ЭДО.\n\n[Поддержка, сообщение №4]\nМогу ли я закрыть обращение. Всем в этой ситуации помогают эти настройки.","corpus_check":"confirmed_by_consultant_per_user","release_applicability":"confirmed_by_consultant","required_facts":["Установите значения настроек по умолчанию для платформы 8.3.15 согласно документации [URL]","В дополнение к ответу выше и проблемам которые появились сегодня.","Посмотрите в консоли сервера 1с сколько сеансов у вас открыто на всех базах."],"approval_basis":"user_confirmed_consultant_approval"}]</x:v>
      </x:c>
      <x:c r="W24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2" s="6" t="str">
        <x:v>approved</x:v>
      </x:c>
      <x:c r="Y242" s="6" t="str">
        <x:v>Карточка и применимость источников согласованы консультантом; утверждение подтверждено пользователем 25.10.2026.</x:v>
      </x:c>
      <x:c r="Z242" s="6" t="str">
        <x:v>G-a2864c3c95ca58</x:v>
      </x:c>
      <x:c r="AA242" s="6" t="str">
        <x:v>eval</x:v>
      </x:c>
      <x:c r="AB242" s="6" t="str">
        <x:v>real_anonymized_candidate</x:v>
      </x:c>
    </x:row>
    <x:row r="243" ht="115" customHeight="1">
      <x:c r="A243" s="6" t="str">
        <x:v>OMNI-51857247-M001</x:v>
      </x:c>
      <x:c r="B243" s="6" t="str">
        <x:v>real_anonymized_candidate:omnidesk:51857247:message:1</x:v>
      </x:c>
      <x:c r="C243" s="6" t="str">
        <x:v>{"history":[],"user_message":"После сессии с методистом каждый расчет заказа открывается не менее 5 секунд.\nЧто делать?"}</x:v>
      </x:c>
      <x:c r="D243" s="6" t="str">
        <x:v>{"product":"1С:УНФ 8. Полиграфия 2","version":"3.0.14.140","retrieval_state":"available","handoff_consent":false,"source_case_id":"51857247","group_id":"omnidesk_51857247","target_message_index":1,"history_status":"approved_case_first_turn","reported_release":"not_reported","approval_basis":"user_confirmed_consultant_approval"}</x:v>
      </x:c>
      <x:c r="E243" s="6" t="str">
        <x:v>1С:УНФ 8. Полиграфия 2</x:v>
      </x:c>
      <x:c r="F243" s="6" t="str">
        <x:v>3.0.14.140</x:v>
      </x:c>
      <x:c r="G243" s="6" t="str">
        <x:v>not_reported</x:v>
      </x:c>
      <x:c r="H243" s="6" t="str">
        <x:v>default</x:v>
      </x:c>
      <x:c r="I243" s="6" t="str">
        <x:v>Применимость источников и эталона к 1С:УНФ 8. Полиграфия 2, релиз 3.0.14.140, подтверждена консультантом со слов пользователя.</x:v>
      </x:c>
      <x:c r="J243" s="13" t="str">
        <x:v>0</x:v>
      </x:c>
      <x:c r="K243" s="13" t="str">
        <x:v>5</x:v>
      </x:c>
      <x:c r="L243" s="7" t="b">
        <x:v>0</x:v>
      </x:c>
      <x:c r="M243" s="6" t="str">
        <x:v>not_applicable</x:v>
      </x:c>
      <x:c r="N243" s="6" t="str">
        <x:v>[]</x:v>
      </x:c>
      <x:c r="O243" s="7" t="b">
        <x:v>1</x:v>
      </x:c>
      <x:c r="P243" s="6" t="str">
        <x:v>K2</x:v>
      </x:c>
      <x:c r="Q243" s="6" t="str">
        <x:v>На заданном первом ходе данных достаточно; утверждённые источники дают применимый ответ для 3.0.14.140. Ожидается ответ по существу с источником.</x:v>
      </x:c>
      <x:c r="R243" s="6" t="str">
        <x:v>["omnidesk","real_anonymized","product_function"]</x:v>
      </x:c>
      <x:c r="S243" s="6" t="str">
        <x:v>answer</x:v>
      </x:c>
      <x:c r="T24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MS SQL выполнить типовой план обслуживания БД.","Вежливый деловой русский и понятный следующий шаг; без обвинений и необоснованных обещаний."]</x:v>
      </x:c>
      <x:c r="U24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3" s="6" t="str">
        <x:v>[{"source_file":"/Users/maria/chatbot_rag/knowledge base/omnidesk_cases.jsonl","source_case_id":"51857247","source_jsonl_line":988,"target_message_index":1,"evidence_type":"historical_support_consultant_approved","support_message_indices":[2,3],"source_answer":"[Поддержка, сообщение №2]\nЭто после сбоя?\n\n[Поддержка, сообщение №3]\nВ MS SQL выполнить типовой план обслуживания БД.","corpus_check":"confirmed_by_consultant_per_user","release_applicability":"confirmed_by_consultant","required_facts":["В MS SQL выполнить типовой план обслуживания БД."],"approval_basis":"user_confirmed_consultant_approval"}]</x:v>
      </x:c>
      <x:c r="W24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3" s="6" t="str">
        <x:v>approved</x:v>
      </x:c>
      <x:c r="Y243" s="6" t="str">
        <x:v>Карточка и применимость источников согласованы консультантом; утверждение подтверждено пользователем 25.10.2026.</x:v>
      </x:c>
      <x:c r="Z243" s="6" t="str">
        <x:v>G-357fb0ca1c3d37</x:v>
      </x:c>
      <x:c r="AA243" s="6" t="str">
        <x:v>eval</x:v>
      </x:c>
      <x:c r="AB243" s="6" t="str">
        <x:v>real_anonymized_candidate</x:v>
      </x:c>
    </x:row>
    <x:row r="244" ht="115" customHeight="1">
      <x:c r="A244" s="6" t="str">
        <x:v>OMNI-382965358-M002</x:v>
      </x:c>
      <x:c r="B244" s="6" t="str">
        <x:v>real_anonymized_candidate:omnidesk:382965358:message:2</x:v>
      </x:c>
      <x:c r="C244" s="6" t="str">
        <x:v>{"history":[],"user_message":"Сегодня рассылка пришла с таким сообщением:\nПо обновлению 1С давайте немного подождем...в мире маркировки новые нововведения.\nПодробно тут [URL]\nВнедрить ТС ПИоТ обязаны все юридические лица и индивидуальные предприниматели, которые занимаются розничной продажей товаров с маркировкой, маркетплейсы тоже считаются.\nОфициальная дата старта ТС ПИоТ — 28 декабря 2025 года. С этого момента любая продажа должна проходить через этот модуль. Его отсутствие считается нарушением порядка применения ККТ и правил маркировки, что влечет за собой штрафы от 10 000 Р для ИП или от 30 000 ₽ для юрлиц (по статье 14.5 КоАП РФ) и санкции вплоть до остановки деятельности.\nЭксперты рекомендуют в декабре — как только появятся обновленные программы с поддержкой модуля ЕСМ — установить саму программу, а также обновить кассы и кассовую / учетную систему под новые требования.\nВ каком релизе это будет сделано?"}</x:v>
      </x:c>
      <x:c r="D244" s="6" t="str">
        <x:v>{"product":"1С:УНФ 8. Полиграфия 2","version":"3.0.14.140","retrieval_state":"available","handoff_consent":false,"source_case_id":"382965358","group_id":"omnidesk_382965358","target_message_index":2,"history_status":"approved_case_first_turn","reported_release":"not_reported","approval_basis":"user_confirmed_consultant_approval"}</x:v>
      </x:c>
      <x:c r="E244" s="6" t="str">
        <x:v>1С:УНФ 8. Полиграфия 2</x:v>
      </x:c>
      <x:c r="F244" s="6" t="str">
        <x:v>3.0.14.140</x:v>
      </x:c>
      <x:c r="G244" s="6" t="str">
        <x:v>not_reported</x:v>
      </x:c>
      <x:c r="H244" s="6" t="str">
        <x:v>default</x:v>
      </x:c>
      <x:c r="I244" s="6" t="str">
        <x:v>Применимость источников и эталона к 1С:УНФ 8. Полиграфия 2, релиз 3.0.14.140, подтверждена консультантом со слов пользователя.</x:v>
      </x:c>
      <x:c r="J244" s="13" t="str">
        <x:v>0</x:v>
      </x:c>
      <x:c r="K244" s="13" t="str">
        <x:v>5</x:v>
      </x:c>
      <x:c r="L244" s="7" t="b">
        <x:v>0</x:v>
      </x:c>
      <x:c r="M244" s="6" t="str">
        <x:v>not_applicable</x:v>
      </x:c>
      <x:c r="N244" s="6" t="str">
        <x:v>[]</x:v>
      </x:c>
      <x:c r="O244" s="7" t="b">
        <x:v>1</x:v>
      </x:c>
      <x:c r="P244" s="6" t="str">
        <x:v>K2</x:v>
      </x:c>
      <x:c r="Q244" s="6" t="str">
        <x:v>На заданном первом ходе данных достаточно; утверждённые источники дают применимый ответ для 3.0.14.140. Ожидается ответ по существу с источником.</x:v>
      </x:c>
      <x:c r="R244" s="6" t="str">
        <x:v>["omnidesk","real_anonymized","update","support"]</x:v>
      </x:c>
      <x:c r="S244" s="6" t="str">
        <x:v>answer</x:v>
      </x:c>
      <x:c r="T24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вашем скрине обозначено, что запланировано.","Подтверждённый факт из поддержки: Как только 1с реализует это в типовой конфигурации УНФ.3.0.","Подтверждённый факт из поддержки: Мы постараемся максимально быстро реализовать это в нашей конфигурации.","Вежливый деловой русский и понятный следующий шаг; без обвинений и необоснованных обещаний."]</x:v>
      </x:c>
      <x:c r="U24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4" s="6" t="str">
        <x:v>[{"source_file":"/Users/maria/chatbot_rag/knowledge base/omnidesk_cases.jsonl","source_case_id":"382965358","source_jsonl_line":93,"target_message_index":2,"evidence_type":"historical_support_consultant_approved","support_message_indices":[1],"source_answer":"[Поддержка, сообщение №1]\nЭто типовой функционал 1с. на вашем скрине обозначено, что запланировано. Как только 1с реализует это в типовой конфигурации УНФ.3.0. Мы постараемся максимально быстро реализовать это в нашей конфигурации.","corpus_check":"confirmed_by_consultant_per_user","release_applicability":"confirmed_by_consultant","required_facts":["на вашем скрине обозначено, что запланировано.","Как только 1с реализует это в типовой конфигурации УНФ.3.0.","Мы постараемся максимально быстро реализовать это в нашей конфигурации."],"approval_basis":"user_confirmed_consultant_approval"}]</x:v>
      </x:c>
      <x:c r="W24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4" s="6" t="str">
        <x:v>approved</x:v>
      </x:c>
      <x:c r="Y244" s="6" t="str">
        <x:v>Карточка и применимость источников согласованы консультантом; утверждение подтверждено пользователем 25.10.2026.</x:v>
      </x:c>
      <x:c r="Z244" s="6" t="str">
        <x:v>G-00d83dc240fe71</x:v>
      </x:c>
      <x:c r="AA244" s="6" t="str">
        <x:v>eval</x:v>
      </x:c>
      <x:c r="AB244" s="6" t="str">
        <x:v>real_anonymized_candidate</x:v>
      </x:c>
    </x:row>
    <x:row r="245" ht="115" customHeight="1">
      <x:c r="A245" s="6" t="str">
        <x:v>OMNI-160348195-M002</x:v>
      </x:c>
      <x:c r="B245" s="6" t="str">
        <x:v>real_anonymized_candidate:omnidesk:160348195:message:2</x:v>
      </x:c>
      <x:c r="C245" s="6" t="str">
        <x:v>{"history":[],"user_message":"Теперь даже администратор сам себе не может включить автоматическое обновление Журнала Оператора ((\nКнопка \"Настройки\" недоступна (((\nЧто случилось?"}</x:v>
      </x:c>
      <x:c r="D245" s="6" t="str">
        <x:v>{"product":"1С:УНФ 8. Полиграфия 2","version":"3.0.14.140","retrieval_state":"available","handoff_consent":false,"source_case_id":"160348195","group_id":"omnidesk_160348195","target_message_index":2,"history_status":"approved_case_first_turn","reported_release":"not_reported","approval_basis":"user_confirmed_consultant_approval"}</x:v>
      </x:c>
      <x:c r="E245" s="6" t="str">
        <x:v>1С:УНФ 8. Полиграфия 2</x:v>
      </x:c>
      <x:c r="F245" s="6" t="str">
        <x:v>3.0.14.140</x:v>
      </x:c>
      <x:c r="G245" s="6" t="str">
        <x:v>not_reported</x:v>
      </x:c>
      <x:c r="H245" s="6" t="str">
        <x:v>default</x:v>
      </x:c>
      <x:c r="I245" s="6" t="str">
        <x:v>Применимость источников и эталона к 1С:УНФ 8. Полиграфия 2, релиз 3.0.14.140, подтверждена консультантом со слов пользователя.</x:v>
      </x:c>
      <x:c r="J245" s="13" t="str">
        <x:v>0</x:v>
      </x:c>
      <x:c r="K245" s="13" t="str">
        <x:v>5</x:v>
      </x:c>
      <x:c r="L245" s="7" t="b">
        <x:v>0</x:v>
      </x:c>
      <x:c r="M245" s="6" t="str">
        <x:v>not_applicable</x:v>
      </x:c>
      <x:c r="N245" s="6" t="str">
        <x:v>[]</x:v>
      </x:c>
      <x:c r="O245" s="7" t="b">
        <x:v>1</x:v>
      </x:c>
      <x:c r="P245" s="6" t="str">
        <x:v>K2</x:v>
      </x:c>
      <x:c r="Q245" s="6" t="str">
        <x:v>На заданном первом ходе данных достаточно; утверждённые источники дают применимый ответ для 3.0.14.140. Ожидается ответ по существу с источником.</x:v>
      </x:c>
      <x:c r="R245" s="6" t="str">
        <x:v>["omnidesk","real_anonymized","update","access_rights"]</x:v>
      </x:c>
      <x:c r="S245" s="6" t="str">
        <x:v>answer</x:v>
      </x:c>
      <x:c r="T245"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24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5" s="6" t="str">
        <x:v>[{"source_file":"/Users/maria/chatbot_rag/knowledge base/omnidesk_cases.jsonl","source_case_id":"160348195","source_jsonl_line":619,"target_message_index":2,"evidence_type":"historical_support_consultant_approved","support_message_indices":[1,3],"source_answer":"[Поддержка, сообщение №1]\nРасширение и инструкция\n\n[Поддержка, сообщение №3]\nДанная ошибка зарегистрирована и направлена в Отдел разработки. О результате сообщу дополнительно. Релизы программ","corpus_check":"confirmed_by_consultant_per_user","release_applicability":"confirmed_by_consultant","approval_basis":"user_confirmed_consultant_approval"}]</x:v>
      </x:c>
      <x:c r="W24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5" s="6" t="str">
        <x:v>approved</x:v>
      </x:c>
      <x:c r="Y245" s="6" t="str">
        <x:v>Карточка и применимость источников согласованы консультантом; утверждение подтверждено пользователем 25.10.2026.</x:v>
      </x:c>
      <x:c r="Z245" s="6" t="str">
        <x:v>G-bc394226e6f5a6</x:v>
      </x:c>
      <x:c r="AA245" s="6" t="str">
        <x:v>eval</x:v>
      </x:c>
      <x:c r="AB245" s="6" t="str">
        <x:v>real_anonymized_candidate</x:v>
      </x:c>
    </x:row>
    <x:row r="246" ht="115" customHeight="1">
      <x:c r="A246" s="6" t="str">
        <x:v>OMNI-61330083-M003</x:v>
      </x:c>
      <x:c r="B246" s="6" t="str">
        <x:v>real_anonymized_candidate:omnidesk:61330083:message:3</x:v>
      </x:c>
      <x:c r="C246" s="6" t="str">
        <x:v>{"history":[],"user_message":"Как запретить пользователям изменять значения в Панели администрирования полиграфии?\nСейчас как-то получается так, что даже пользователь с доступом только к \"Производству\" спокойно залезает в панель администрирования полиграфии и может там делать что угодно :(\nОн же и сломать всю систему так может :(("}</x:v>
      </x:c>
      <x:c r="D246" s="6" t="str">
        <x:v>{"product":"1С:УНФ 8. Полиграфия 2","version":"3.0.14.140","retrieval_state":"available","handoff_consent":false,"source_case_id":"61330083","group_id":"omnidesk_61330083","target_message_index":3,"history_status":"approved_case_first_turn","reported_release":"not_reported","approval_basis":"user_confirmed_consultant_approval"}</x:v>
      </x:c>
      <x:c r="E246" s="6" t="str">
        <x:v>1С:УНФ 8. Полиграфия 2</x:v>
      </x:c>
      <x:c r="F246" s="6" t="str">
        <x:v>3.0.14.140</x:v>
      </x:c>
      <x:c r="G246" s="6" t="str">
        <x:v>not_reported</x:v>
      </x:c>
      <x:c r="H246" s="6" t="str">
        <x:v>default</x:v>
      </x:c>
      <x:c r="I246" s="6" t="str">
        <x:v>Применимость источников и эталона к 1С:УНФ 8. Полиграфия 2, релиз 3.0.14.140, подтверждена консультантом со слов пользователя.</x:v>
      </x:c>
      <x:c r="J246" s="13" t="str">
        <x:v>0</x:v>
      </x:c>
      <x:c r="K246" s="13" t="str">
        <x:v>5</x:v>
      </x:c>
      <x:c r="L246" s="7" t="b">
        <x:v>0</x:v>
      </x:c>
      <x:c r="M246" s="6" t="str">
        <x:v>not_applicable</x:v>
      </x:c>
      <x:c r="N246" s="6" t="str">
        <x:v>[]</x:v>
      </x:c>
      <x:c r="O246" s="7" t="b">
        <x:v>1</x:v>
      </x:c>
      <x:c r="P246" s="6" t="str">
        <x:v>K2</x:v>
      </x:c>
      <x:c r="Q246" s="6" t="str">
        <x:v>На заданном первом ходе данных достаточно; утверждённые источники дают применимый ответ для 3.0.14.140. Ожидается ответ по существу с источником.</x:v>
      </x:c>
      <x:c r="R246" s="6" t="str">
        <x:v>["omnidesk","real_anonymized","access_rights"]</x:v>
      </x:c>
      <x:c r="S246" s="6" t="str">
        <x:v>answer</x:v>
      </x:c>
      <x:c r="T24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Если Вы хотите скрыть определенные подсистемы, то можно воспользоваться Настройкой панелей разделов: В которой можно добавить или удалить необходимые разделы:","Вежливый деловой русский и понятный следующий шаг; без обвинений и необоснованных обещаний."]</x:v>
      </x:c>
      <x:c r="U24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6" s="6" t="str">
        <x:v>[{"source_file":"/Users/maria/chatbot_rag/knowledge base/omnidesk_cases.jsonl","source_case_id":"61330083","source_jsonl_line":926,"target_message_index":3,"evidence_type":"historical_support_consultant_approved","support_message_indices":[1,2],"source_answer":"[Поддержка, сообщение №1]\nУточните, пожалуйста, могу ли я закрыть данный запрос?\n\n[Поддержка, сообщение №2]\nЕсли Вы хотите скрыть определенные подсистемы, то можно воспользоваться Настройкой панелей разделов: В которой можно добавить или удалить необходимые разделы:","corpus_check":"confirmed_by_consultant_per_user","release_applicability":"confirmed_by_consultant","required_facts":["Если Вы хотите скрыть определенные подсистемы, то можно воспользоваться Настройкой панелей разделов: В которой можно добавить или удалить необходимые разделы:"],"approval_basis":"user_confirmed_consultant_approval"}]</x:v>
      </x:c>
      <x:c r="W24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6" s="6" t="str">
        <x:v>approved</x:v>
      </x:c>
      <x:c r="Y246" s="6" t="str">
        <x:v>Карточка и применимость источников согласованы консультантом; утверждение подтверждено пользователем 25.10.2026.</x:v>
      </x:c>
      <x:c r="Z246" s="6" t="str">
        <x:v>G-be793bb518fa26</x:v>
      </x:c>
      <x:c r="AA246" s="6" t="str">
        <x:v>eval</x:v>
      </x:c>
      <x:c r="AB246" s="6" t="str">
        <x:v>real_anonymized_candidate</x:v>
      </x:c>
    </x:row>
    <x:row r="247" ht="115" customHeight="1">
      <x:c r="A247" s="6" t="str">
        <x:v>OMNI-332238111-M001</x:v>
      </x:c>
      <x:c r="B247" s="6" t="str">
        <x:v>real_anonymized_candidate:omnidesk:332238111:message:1</x:v>
      </x:c>
      <x:c r="C247" s="6" t="str">
        <x:v>{"history":[],"user_message":"Есть ли в программе возможность добавить в счет надпись \"ВНИМАНИЕ! ИЗМЕНИЛИСЬ БАНКОВСКИЕ РЕКВИЗИТЫ!\" для одной и организаций?"}</x:v>
      </x:c>
      <x:c r="D247" s="6" t="str">
        <x:v>{"product":"1С:УНФ 8. Полиграфия 2","version":"3.0.14.140","retrieval_state":"available","handoff_consent":false,"source_case_id":"332238111","group_id":"omnidesk_332238111","target_message_index":1,"history_status":"approved_case_first_turn","reported_release":"not_reported","approval_basis":"user_confirmed_consultant_approval"}</x:v>
      </x:c>
      <x:c r="E247" s="6" t="str">
        <x:v>1С:УНФ 8. Полиграфия 2</x:v>
      </x:c>
      <x:c r="F247" s="6" t="str">
        <x:v>3.0.14.140</x:v>
      </x:c>
      <x:c r="G247" s="6" t="str">
        <x:v>not_reported</x:v>
      </x:c>
      <x:c r="H247" s="6" t="str">
        <x:v>default</x:v>
      </x:c>
      <x:c r="I247" s="6" t="str">
        <x:v>Применимость источников и эталона к 1С:УНФ 8. Полиграфия 2, релиз 3.0.14.140, подтверждена консультантом со слов пользователя.</x:v>
      </x:c>
      <x:c r="J247" s="13" t="str">
        <x:v>0</x:v>
      </x:c>
      <x:c r="K247" s="13" t="str">
        <x:v>5</x:v>
      </x:c>
      <x:c r="L247" s="7" t="b">
        <x:v>0</x:v>
      </x:c>
      <x:c r="M247" s="6" t="str">
        <x:v>not_applicable</x:v>
      </x:c>
      <x:c r="N247" s="6" t="str">
        <x:v>[]</x:v>
      </x:c>
      <x:c r="O247" s="7" t="b">
        <x:v>1</x:v>
      </x:c>
      <x:c r="P247" s="6" t="str">
        <x:v>K2</x:v>
      </x:c>
      <x:c r="Q247" s="6" t="str">
        <x:v>На заданном первом ходе данных достаточно; утверждённые источники дают применимый ответ для 3.0.14.140. Ожидается ответ по существу с источником.</x:v>
      </x:c>
      <x:c r="R247" s="6" t="str">
        <x:v>["omnidesk","real_anonymized","product_function"]</x:v>
      </x:c>
      <x:c r="S247" s="6" t="str">
        <x:v>answer</x:v>
      </x:c>
      <x:c r="T24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Вы можете непосредственно в бд изменять макеты самостоятельно.","Подтверждённый факт из поддержки: Для редактирования табличного документа или макета в печатной форме или табличном документе выполните команду Изменить макет меню Еще .","Подтверждённый факт из поддержки: Важно: при редактировании макетов печатных форм необходимо иметь в виду, что изменение имен областей, а также параметров макета может привести к потере работоспособности печатной формы.","Вежливый деловой русский и понятный следующий шаг; без обвинений и необоснованных обещаний."]</x:v>
      </x:c>
      <x:c r="U24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7" s="6" t="str">
        <x:v>[{"source_file":"/Users/maria/chatbot_rag/knowledge base/omnidesk_cases.jsonl","source_case_id":"332238111","source_jsonl_line":237,"target_message_index":1,"evidence_type":"historical_support_consultant_approved","support_message_indices":[2,3],"source_answer":"[Поддержка, сообщение №2]\nВы можете непосредственно в бд изменять макеты самостоятельно. Для редактирования табличного документа или макета в печатной форме или табличном документе выполните команду Изменить макет меню Еще . Важно: при редактировании макетов печатных форм необходимо иметь в виду, что изменение имен областей, а также параметров макета может привести к потере работоспособности печатной формы. Восстановление стандартной печатной формы выполняется в списке Макеты печатных форм . Редактирование Для редактирования можно использовать стандартные кнопки форматирования: можно изменить размер и тип шрифта, выравнивание. Остальные команды форматирования (например, цвет фона и шрифта, границы и т.п.) можно найти в меню Еще . Можно Объединить ячейки с помощью соответствующей команды меню Еще , а также разъединить выделенные ячейки с помощью повторного выполнения этой же команды. Можно Вставить примечание с помощью соответствующей команды меню Еще . По окончании редактирования нажмите Записать и закрыть . Создание или редактирование пользовательской печатной формы В списке макетов нажмите кнопку Создать или Копировать . С помощью кнопок панели навигации верхнего ряда можно: отменить или повторить действие; проверить вид макета на бумаге; задать колонтитулы макета печатной формы; сформировать образец печатной формы по макету; повторять выбранные строки в начале/конце страницы; переключиться на макет на другом языке. В нижнем ряду панели навигации также предусмотрены стандартные кнопки редактирования и форматирования, а также можно: очистить формат выделенной ячейки; открыть меню работы над ячейками (перейти к ячейке, объединить ячейки и т.д.) открыть меню работы над картинками. Окно редактирования печатной формы состоит из четырех частей: В левой верхней части строится макет печатной формы; В левой нижней части можно просмотреть или написать текст выбранной ячейки; В правой верхней части находится список доступных полей документа для использования в макете; Список доступных полей содержит следующие колонки: Поле - доступное поле элемента-владельца макета. Поле можно перетаскивать в макет. Можно вставить поля табличной части документа. Образец - показывает, как будет выглядеть поле при выводе на печать. В качестве образца для заполнения полей берется случайный элемент списка. Формат поля - предусмотрена настройка формата поля. Например, можно выбрать формат даты, отличный от стандартного. В правой нижней части находится список операторов и функций для создания выражений. Подробное описание операторов и функций можно найти в Инструкции по созданию макетов печатных форм ; С помощью кнопки Доступные поля панели навигации можно убрать правую часть для просмотра всего макета. Для сохранения новой печатной формы нажмите Записать и закрыть . Перевод макета на другой язык Приложение позволяет формировать печатные формы на других языках. Это может быть полезно, например, если необходимо предоставить какие-либо документы иностранному контрагенту: прайс-лист, счет на оплату и т.д. Для этого необходимо: выбрать дополнительные языки печатных форм. Ввести на дополнительном языке наименования, выводимые в печатной форме - элементы различных списков приложения. После специальных настроек можно использовать автоматический перевод. добавить перевод макета печатной формы на дополнительный язык. После добавления других языков при редактировании макета появляется кнопка выбора языка. Откройте на редактирование нужный макет, переключите на дополнительный язык и выполните перевод. В макете следует переводить только статический текст, например заголовки, подписи и т.д. Не нужно переводить имена областей и параметры. Параметры в печатной форме отображаются в угловых скобках, например, . Параметры могут находиться внутри шаблонов текста, в этом случае они отображаются в квадратных скобках, например, , в этом случае переводить следует только текст шаблона за скобками. Кнопка позволяет рядом расположить оригинал и переводимую печатную форму для удобства перевода и его проверки. После сохранения макета в колонке Доступные языки добавляется язык, на который был выполнен перевод. Переключение режимов редактирования и просмотра Для переключения режимов нажмите кнопку Редактирование . В режиме просмотра кнопки редактирования макета становится неактивными. Печать макета Выполните команду Печать меню Еще , для того чтобы распечатать макет. Для Предварительного просмотра макета перед печатью выполните соответствующую команду меню Еще . Для того чтобы изменить настройки печати, нажмите Еще - Параметры страницы . На итс можете посмотреть на примере БП. [URL] В унф все также. Или заказать печать счета через внешнюю обработку через нашего менеджера.\n\n[Поддержка, сообщение №3]\nПерепроверил на последней версии. Устаревшая информация. (Конкретно \"Счет на оплату\") Сейчас: Или каждый раз набирать этот текст в печатной форме. Или изменять обработку печати счета (Конфигуратор) или внешнюю печатную форму заказывать программисту и подключать.","corpus_check":"confirmed_by_consultant_per_user","release_applicability":"confirmed_by_consultant","required_facts":["Вы можете непосредственно в бд изменять макеты самостоятельно.","Для редактирования табличного документа или макета в печатной форме или табличном документе выполните команду Изменить макет меню Еще .","Важно: при редактировании макетов печатных форм необходимо иметь в виду, что изменение имен областей, а также параметров макета может привести к потере работоспособности печатной формы."],"approval_basis":"user_confirmed_consultant_approval"}]</x:v>
      </x:c>
      <x:c r="W24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7" s="6" t="str">
        <x:v>approved</x:v>
      </x:c>
      <x:c r="Y247" s="6" t="str">
        <x:v>Карточка и применимость источников согласованы консультантом; утверждение подтверждено пользователем 25.10.2026.</x:v>
      </x:c>
      <x:c r="Z247" s="6" t="str">
        <x:v>G-00fb2986b47c23</x:v>
      </x:c>
      <x:c r="AA247" s="6" t="str">
        <x:v>eval</x:v>
      </x:c>
      <x:c r="AB247" s="6" t="str">
        <x:v>real_anonymized_candidate</x:v>
      </x:c>
    </x:row>
    <x:row r="248" ht="115" customHeight="1">
      <x:c r="A248" s="6" t="str">
        <x:v>OMNI-72468609-M002</x:v>
      </x:c>
      <x:c r="B248" s="6" t="str">
        <x:v>real_anonymized_candidate:omnidesk:72468609:message:2</x:v>
      </x:c>
      <x:c r="C248" s="6" t="str">
        <x:v>{"history":[],"user_message":"1) Документ «Расчёт флексопечати». Блок добавления новой продукции. Если нажать «Добавить» и начать выбирать номенклатуру, то получаем вполне нормальную форму выбора номенклатуры. Если нажать долгожданную кнопку для удобного ввода информации (называется «Изменить масштаб таблицы для ввода продукции») и попробовать ввести номенклатуру – получаем абсолютно другую форму с которой выбирать совершенно неприемлемо. У вас 2 элемента (таблица формы и открываемая форма «Подбор номенклатуры») должны выполнять один и тот же функционал. 2) Автоматическое обновление. Это скорее просьба. Нет смысла перегружать форму лишними элементами. Пользователю достаточно знать, что этот функционал работает. Когда постоянно работаешь со списком расчётов этот элемент формы скорее отвлекает внимание. Либо как вариант введите флаг скрытия этого элемента. 3) Я понимаю, что уже по этому вопросу обращался, но код – это просто помойка. Отступы скачут. Нет единого соглашения касательно кода. Банально в модуле по окончании работ никто не удосуживается нажать «Ctrl-A» + « Alt - Shift - F » и выровнять хотя бы по блокам."}</x:v>
      </x:c>
      <x:c r="D248" s="6" t="str">
        <x:v>{"product":"1С:УНФ 8. Полиграфия 2","version":"3.0.14.140","retrieval_state":"available","handoff_consent":false,"source_case_id":"72468609","group_id":"omnidesk_72468609","target_message_index":2,"history_status":"approved_case_first_turn","reported_release":"not_reported","approval_basis":"user_confirmed_consultant_approval"}</x:v>
      </x:c>
      <x:c r="E248" s="6" t="str">
        <x:v>1С:УНФ 8. Полиграфия 2</x:v>
      </x:c>
      <x:c r="F248" s="6" t="str">
        <x:v>3.0.14.140</x:v>
      </x:c>
      <x:c r="G248" s="6" t="str">
        <x:v>not_reported</x:v>
      </x:c>
      <x:c r="H248" s="6" t="str">
        <x:v>default</x:v>
      </x:c>
      <x:c r="I248" s="6" t="str">
        <x:v>Применимость источников и эталона к 1С:УНФ 8. Полиграфия 2, релиз 3.0.14.140, подтверждена консультантом со слов пользователя.</x:v>
      </x:c>
      <x:c r="J248" s="13" t="str">
        <x:v>0</x:v>
      </x:c>
      <x:c r="K248" s="13" t="str">
        <x:v>5</x:v>
      </x:c>
      <x:c r="L248" s="7" t="b">
        <x:v>0</x:v>
      </x:c>
      <x:c r="M248" s="6" t="str">
        <x:v>not_applicable</x:v>
      </x:c>
      <x:c r="N248" s="6" t="str">
        <x:v>[]</x:v>
      </x:c>
      <x:c r="O248" s="7" t="b">
        <x:v>1</x:v>
      </x:c>
      <x:c r="P248" s="6" t="str">
        <x:v>K2</x:v>
      </x:c>
      <x:c r="Q248" s="6" t="str">
        <x:v>На заданном первом ходе данных достаточно; утверждённые источники дают применимый ответ для 3.0.14.140. Ожидается ответ по существу с источником.</x:v>
      </x:c>
      <x:c r="R248" s="6" t="str">
        <x:v>["omnidesk","real_anonymized","update","materials","access_rights"]</x:v>
      </x:c>
      <x:c r="S248" s="6" t="str">
        <x:v>answer</x:v>
      </x:c>
      <x:c r="T24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 поводу кнопки («Изменить масштаб таблицы для ввода продукции») в релизе старше [IP_ADDRESS] поправим.","Подтверждённый факт из поддержки: По формам подбора и автоматическому обновлению: Протестировал на демке, разработчикам пожелание передал.","Подтверждённый факт из поддержки: Не понимаю столь категоричных оценок.","Вежливый деловой русский и понятный следующий шаг; без обвинений и необоснованных обещаний."]</x:v>
      </x:c>
      <x:c r="U24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8" s="6" t="str">
        <x:v>[{"source_file":"/Users/maria/chatbot_rag/knowledge base/omnidesk_cases.jsonl","source_case_id":"72468609","source_jsonl_line":855,"target_message_index":2,"evidence_type":"historical_support_consultant_approved","support_message_indices":[1,3,5,7,8],"source_answer":"[Поддержка, сообщение №1]\nПо поводу кнопки («Изменить масштаб таблицы для ввода продукции») в релизе старше [IP_ADDRESS] поправим.\n\n[Поддержка, сообщение №3]\nПо формам подбора и автоматическому обновлению: Протестировал на демке, разработчикам пожелание передал. О результате сообщу дополнительно. По 3 пункту: Я не тестирую код. Не понимаю столь категоричных оценок. Давайте конкретно с примерами из демобазы и предложениями и критериями оценок.\n\n[Поддержка, сообщение №5]\nЯ доведу ваше мнение до разработчиков.\n\n[Поддержка, сообщение №7]\nУже довел.\n\n[Поддержка, сообщение №8]\nПо вопросу автоматического обновления. Кому-то это нужно, кому-то нет. В помощь пользователю управляемые формы. Отключайте.","corpus_check":"confirmed_by_consultant_per_user","release_applicability":"confirmed_by_consultant","required_facts":["По поводу кнопки («Изменить масштаб таблицы для ввода продукции») в релизе старше [IP_ADDRESS] поправим.","По формам подбора и автоматическому обновлению: Протестировал на демке, разработчикам пожелание передал.","Не понимаю столь категоричных оценок."],"approval_basis":"user_confirmed_consultant_approval"}]</x:v>
      </x:c>
      <x:c r="W24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8" s="6" t="str">
        <x:v>approved</x:v>
      </x:c>
      <x:c r="Y248" s="6" t="str">
        <x:v>Карточка и применимость источников согласованы консультантом; утверждение подтверждено пользователем 25.10.2026.</x:v>
      </x:c>
      <x:c r="Z248" s="6" t="str">
        <x:v>G-f4b89dc9468997</x:v>
      </x:c>
      <x:c r="AA248" s="6" t="str">
        <x:v>eval</x:v>
      </x:c>
      <x:c r="AB248" s="6" t="str">
        <x:v>real_anonymized_candidate</x:v>
      </x:c>
    </x:row>
    <x:row r="249" ht="115" customHeight="1">
      <x:c r="A249" s="6" t="str">
        <x:v>OMNI-192578653-M001</x:v>
      </x:c>
      <x:c r="B249" s="6" t="str">
        <x:v>real_anonymized_candidate:omnidesk:192578653:message:1</x:v>
      </x:c>
      <x:c r="C249" s="6" t="str">
        <x:v>{"history":[],"user_message":"Существует ли инструмент для фиксированного резервирования рабочего времени станка на неделю вперед?\nРаньше это не было критичным, так как 100% станков у нас использовалась примерно на 20-30% их производительности.\nА с недавних пор появился станок, который стал \"бутылочным горлышком\".\nПример:\nКлиент 16 декабря утром привезет нам изделия, на которые надо будет нанести изображение.\nНанесение займет примерно 16 часов (((\nУтром 17 декабря надо отдать тираж.\nКаким образом я могу СЕГОДНЯ забронировать станок на эту дату и на это время?\nТак чтобы другие менеджеры видели его загрузку.\nЗаранее спасибо!"}</x:v>
      </x:c>
      <x:c r="D249" s="6" t="str">
        <x:v>{"product":"1С:УНФ 8. Полиграфия 2","version":"3.0.14.140","retrieval_state":"available","handoff_consent":false,"source_case_id":"192578653","group_id":"omnidesk_192578653","target_message_index":1,"history_status":"approved_case_first_turn","reported_release":"not_reported","approval_basis":"user_confirmed_consultant_approval"}</x:v>
      </x:c>
      <x:c r="E249" s="6" t="str">
        <x:v>1С:УНФ 8. Полиграфия 2</x:v>
      </x:c>
      <x:c r="F249" s="6" t="str">
        <x:v>3.0.14.140</x:v>
      </x:c>
      <x:c r="G249" s="6" t="str">
        <x:v>not_reported</x:v>
      </x:c>
      <x:c r="H249" s="6" t="str">
        <x:v>default</x:v>
      </x:c>
      <x:c r="I249" s="6" t="str">
        <x:v>Применимость источников и эталона к 1С:УНФ 8. Полиграфия 2, релиз 3.0.14.140, подтверждена консультантом со слов пользователя.</x:v>
      </x:c>
      <x:c r="J249" s="13" t="str">
        <x:v>0</x:v>
      </x:c>
      <x:c r="K249" s="13" t="str">
        <x:v>5</x:v>
      </x:c>
      <x:c r="L249" s="7" t="b">
        <x:v>0</x:v>
      </x:c>
      <x:c r="M249" s="6" t="str">
        <x:v>not_applicable</x:v>
      </x:c>
      <x:c r="N249" s="6" t="str">
        <x:v>[]</x:v>
      </x:c>
      <x:c r="O249" s="7" t="b">
        <x:v>1</x:v>
      </x:c>
      <x:c r="P249" s="6" t="str">
        <x:v>K2</x:v>
      </x:c>
      <x:c r="Q249" s="6" t="str">
        <x:v>На заданном первом ходе данных достаточно; утверждённые источники дают применимый ответ для 3.0.14.140. Ожидается ответ по существу с источником.</x:v>
      </x:c>
      <x:c r="R249" s="6" t="str">
        <x:v>["omnidesk","real_anonymized","support"]</x:v>
      </x:c>
      <x:c r="S249" s="6" t="str">
        <x:v>answer</x:v>
      </x:c>
      <x:c r="T24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Для фиксации времени под выполнение заказа, который еще не введен в базу и/или не отправлен в план, служит документ «Резервирование времени под заказ».","Подтверждённый факт из поддержки: После его проведения данные о времени занятости выбранных рабочих центров, учитываются при планировании в документе «План производства полиграфии».","Подтверждённый факт из поддержки: После того, как заказ будет введен в базу и/или отправлен в план, пользователю необходимо отменить проведение у документа \"Резервирование времени под заказ\", чтобы время занятости рабочих центров освободилось.","Вежливый деловой русский и понятный следующий шаг; без обвинений и необоснованных обещаний."]</x:v>
      </x:c>
      <x:c r="U24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9" s="6" t="str">
        <x:v>[{"source_file":"/Users/maria/chatbot_rag/knowledge base/omnidesk_cases.jsonl","source_case_id":"192578653","source_jsonl_line":506,"target_message_index":1,"evidence_type":"historical_support_consultant_approved","support_message_indices":[2],"source_answer":"[Поддержка, сообщение №2]\nДля фиксации времени под выполнение заказа, который еще не введен в базу и/или не отправлен в план, служит документ «Резервирование времени под заказ». После его проведения данные о времени занятости выбранных рабочих центров, учитываются при планировании в документе «План производства полиграфии». После того, как заказ будет введен в базу и/или отправлен в план, пользователю необходимо отменить проведение у документа \"Резервирование времени под заказ\", чтобы время занятости рабочих центров освободилось.","corpus_check":"confirmed_by_consultant_per_user","release_applicability":"confirmed_by_consultant","required_facts":["Для фиксации времени под выполнение заказа, который еще не введен в базу и/или не отправлен в план, служит документ «Резервирование времени под заказ».","После его проведения данные о времени занятости выбранных рабочих центров, учитываются при планировании в документе «План производства полиграфии».","После того, как заказ будет введен в базу и/или отправлен в план, пользователю необходимо отменить проведение у документа \"Резервирование времени под заказ\", чтобы время занятости рабочих центров освободилось."],"approval_basis":"user_confirmed_consultant_approval"}]</x:v>
      </x:c>
      <x:c r="W24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9" s="6" t="str">
        <x:v>approved</x:v>
      </x:c>
      <x:c r="Y249" s="6" t="str">
        <x:v>Карточка и применимость источников согласованы консультантом; утверждение подтверждено пользователем 25.10.2026.</x:v>
      </x:c>
      <x:c r="Z249" s="6" t="str">
        <x:v>G-249a64648256b1</x:v>
      </x:c>
      <x:c r="AA249" s="6" t="str">
        <x:v>eval</x:v>
      </x:c>
      <x:c r="AB249" s="6" t="str">
        <x:v>real_anonymized_candidate</x:v>
      </x:c>
    </x:row>
    <x:row r="250" ht="115" customHeight="1">
      <x:c r="A250" s="6" t="str">
        <x:v>OMNI-322636687-M005</x:v>
      </x:c>
      <x:c r="B250" s="6" t="str">
        <x:v>real_anonymized_candidate:omnidesk:322636687:message:5</x:v>
      </x:c>
      <x:c r="C250" s="6" t="str">
        <x:v>{"history":[],"user_message":"Надо собрать новый сервер для 1С:Полиграфии, чтобы всё \"летало\".\nЕсть ли какие-то рекомендации современные?\nСейчас у нас сервер, собранный в 2019м году, уже хотелось бы побыстрее чтобы расчеты делались.\nКонфиг сейчас такой:\nIntel Xeon W-2125 @4.00 GHz\n320 ГБ памяти DDR4\nНадо чтобы раза в два быстрее расчеты работали.\nЭто вообще реально?\nСпасибо!"}</x:v>
      </x:c>
      <x:c r="D250" s="6" t="str">
        <x:v>{"product":"1С:УНФ 8. Полиграфия 2","version":"3.0.14.140","retrieval_state":"available","handoff_consent":false,"source_case_id":"322636687","group_id":"omnidesk_322636687","target_message_index":5,"history_status":"approved_case_first_turn","reported_release":"not_reported","approval_basis":"user_confirmed_consultant_approval"}</x:v>
      </x:c>
      <x:c r="E250" s="6" t="str">
        <x:v>1С:УНФ 8. Полиграфия 2</x:v>
      </x:c>
      <x:c r="F250" s="6" t="str">
        <x:v>3.0.14.140</x:v>
      </x:c>
      <x:c r="G250" s="6" t="str">
        <x:v>not_reported</x:v>
      </x:c>
      <x:c r="H250" s="6" t="str">
        <x:v>default</x:v>
      </x:c>
      <x:c r="I250" s="6" t="str">
        <x:v>Применимость источников и эталона к 1С:УНФ 8. Полиграфия 2, релиз 3.0.14.140, подтверждена консультантом со слов пользователя.</x:v>
      </x:c>
      <x:c r="J250" s="13" t="str">
        <x:v>0</x:v>
      </x:c>
      <x:c r="K250" s="13" t="str">
        <x:v>5</x:v>
      </x:c>
      <x:c r="L250" s="7" t="b">
        <x:v>0</x:v>
      </x:c>
      <x:c r="M250" s="6" t="str">
        <x:v>not_applicable</x:v>
      </x:c>
      <x:c r="N250" s="6" t="str">
        <x:v>[]</x:v>
      </x:c>
      <x:c r="O250" s="7" t="b">
        <x:v>1</x:v>
      </x:c>
      <x:c r="P250" s="6" t="str">
        <x:v>K2</x:v>
      </x:c>
      <x:c r="Q250" s="6" t="str">
        <x:v>На заданном первом ходе данных достаточно; утверждённые источники дают применимый ответ для 3.0.14.140. Ожидается ответ по существу с источником.</x:v>
      </x:c>
      <x:c r="R250" s="6" t="str">
        <x:v>["omnidesk","real_anonymized","product_function"]</x:v>
      </x:c>
      <x:c r="S250" s="6" t="str">
        <x:v>answer</x:v>
      </x:c>
      <x:c r="T25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Исходных данных мало, но в целом: Если у вас БД в порядке : Регулярно проверяете и удаляете дубли, документы помеченные на удаление, проходят регулярно и успешно планы обслуживания в MS SQL и вы при этом видите замедление работы программы, то дело может не только в аппаратной части.","Подтверждённый факт из поддержки: Может приводить к тормозам и какая-то программная часть, расширения , доработки.","Подтверждённый факт из поддержки: Избыточное количество регламентных и фоновых заданий.","Вежливый деловой русский и понятный следующий шаг; без обвинений и необоснованных обещаний."]</x:v>
      </x:c>
      <x:c r="U25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50" s="6" t="str">
        <x:v>[{"source_file":"/Users/maria/chatbot_rag/knowledge base/omnidesk_cases.jsonl","source_case_id":"322636687","source_jsonl_line":268,"target_message_index":5,"evidence_type":"historical_support_consultant_approved","support_message_indices":[1,3,4],"source_answer":"[Поддержка, сообщение №1]\nНикита Юрьевич. Исходных данных мало, но в целом: Если у вас БД в порядке : Регулярно проверяете и удаляете дубли, документы помеченные на удаление, проходят регулярно и успешно планы обслуживания в MS SQL и вы при этом видите замедление работы программы, то дело может не только в аппаратной части. Может приводить к тормозам и какая-то программная часть, расширения , доработки. Избыточное количество регламентных и фоновых заданий. Также проверьте жесткий диск - 5 лет. (Просто было и у нас, проверил поменял, и все ОК) Если, вопрос в любом случае в усилении аппаратной части, то у вас 2 варианта. Или покупать новый мощный сервер (тут зависит от бюджета) или докупить например, (примерно!) Дата: [PHONE]:43 КОМПЛЕКТУЮЩИЕ МОДЕЛЬ ЦЕНА КОЛ-ВО СУММА Платформа HP ProLiant DL360 Gen10 Premium 10xNVME (867960-B21) 310 000 ₽ 1 310 000 ₽ Процессор INTEL Xeon Gold 6154 (18 ядер, 3.00GHz) 70 000 ₽ 1 70 000 ₽ Оперативная память 64GB DDR4 PC4-19200 (2400T) ECC REG (hp certified) 22 000 ₽ 4 88 000 ₽ Жёсткий диск НОВЫЙ 960GB SSD SAMSUNG PM893 SATAIII 6Gb/s 19 500 ₽ 1 19 500 ₽ Салазки для дисков Салазки HP SFF (Gen8, Gen9, Gen10) 1 400 ₽ 2 2 800 ₽ RAID контроллер HPE SmartArray S100i SR Gen10 SW SATAIII RAID контроллер (RAID 0/1/5/10) 0 ₽ 1 0 ₽ Блок питания Блок питания HP 800W для Gen9, Gen10 4 000 ₽ 1 4 000 ₽ Сетевая карта Встроенный 4-портовый 1 Гбит/сек. Ethernet адаптер 0 ₽ 1 0 ₽ Модуль удалённого администрирования HP Integrated Lights-Out 5 (iLO 5) Standart 0 ₽ 1 0 ₽ Операционная система - - - - Опция - - - - Рельсы в стойку - - - - И на него установить Сервер 1с, а ваш старый оставить в качестве сервера для СУБД. Стоимость выбранной конфигурации: 494 300 ₽ Дата: [PHONE]:43 КОМПЛЕКТУЮЩИЕ МОДЕЛЬ ЦЕНА КОЛ-ВО СУММА Платформа HP ProLiant DL360 Gen10 Premium 10xNVME (867960-B21) 310 000 ₽ 1 310 000 ₽ Процессор INTEL Xeon Gold 6154 (18 ядер, 3.00GHz) 70 000 ₽ 1 70 000 ₽ Оперативная память 64GB DDR4 PC4-19200 (2400T) ECC REG (hp certified) 22 000 ₽ 4 88 000 ₽ Жёсткий диск НОВЫЙ 960GB SSD SAMSUNG PM893 SATAIII 6Gb/s 19 500 ₽ 1 19 500 ₽ Салазки для дисков Салазки HP SFF (Gen8, Gen9, Gen10) 1 400 ₽ 2 2 800 ₽ RAID контроллер HPE SmartArray S100i SR Gen10 SW SATAIII RAID контроллер (RAID 0/1/5/10) 0 ₽ 1 0 ₽ Блок питания Блок питания HP 800W для Gen9, Gen10 4 000 ₽ 1 4 000 ₽ Сетевая карта Встроенный 4-портовый 1 Гбит/сек. Ethernet адаптер 0 ₽ 1 0 ₽ Модуль удалённого администрирования HP Integrated Lights-Out 5 (iLO 5) Standart 0 ₽ 1 0 ₽ Операционная система - - - - Опция - - - - Рельсы в стойку - - - - Стоимость выбранной конфигурации: 494 300 ₽ Или можете обойтись\n\n[Поддержка, сообщение №3]\nТиповые рекомендации 1с Можете попробовать взять в аренду [URL] Протестировать там.\n\n[Поддержка, сообщение №4]\nТиповые рекомендации 1с [URL]","corpus_check":"confirmed_by_consultant_per_user","release_applicability":"confirmed_by_consultant","required_facts":["Исходных данных мало, но в целом: Если у вас БД в порядке : Регулярно проверяете и удаляете дубли, документы помеченные на удаление, проходят регулярно и успешно планы обслуживания в MS SQL и вы при этом видите замедление работы программы, то дело может не только в аппаратной части.","Может приводить к тормозам и какая-то программная часть, расширения , доработки.","Избыточное количество регламентных и фоновых заданий."],"approval_basis":"user_confirmed_consultant_approval"}]</x:v>
      </x:c>
      <x:c r="W25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50" s="6" t="str">
        <x:v>approved</x:v>
      </x:c>
      <x:c r="Y250" s="6" t="str">
        <x:v>Карточка и применимость источников согласованы консультантом; утверждение подтверждено пользователем 25.10.2026.</x:v>
      </x:c>
      <x:c r="Z250" s="6" t="str">
        <x:v>G-1535a02428b320</x:v>
      </x:c>
      <x:c r="AA250" s="6" t="str">
        <x:v>eval</x:v>
      </x:c>
      <x:c r="AB250" s="6" t="str">
        <x:v>real_anonymized_candidate</x:v>
      </x:c>
    </x:row>
    <x:row r="251" ht="115" customHeight="1">
      <x:c r="A251" s="6" t="str">
        <x:v>OMNI-12651559-M001</x:v>
      </x:c>
      <x:c r="B251" s="6" t="str">
        <x:v>real_anonymized_candidate:omnidesk:12651559:message:1</x:v>
      </x:c>
      <x:c r="C251" s="6" t="str">
        <x:v>{"history":[],"user_message":"У нас установлена 1С Полиграфия. При попытке добавить контрагента, появляется сообщение, что \"сервис 1С Контрагент не подключен\", хотя имеется действующая подписка на 1С ИТС ПРОФ. Рег. номер программы [LONG_NUMBER]. -- Большая просьба: при ответе сохраняйте историю переписки!"}</x:v>
      </x:c>
      <x:c r="D251" s="6" t="str">
        <x:v>{"product":"1С:УНФ 8. Полиграфия 2","version":"3.0.14.140","retrieval_state":"available","handoff_consent":false,"source_case_id":"12651559","group_id":"omnidesk_12651559","target_message_index":1,"history_status":"approved_case_first_turn","reported_release":"not_reported","approval_basis":"user_confirmed_consultant_approval"}</x:v>
      </x:c>
      <x:c r="E251" s="6" t="str">
        <x:v>1С:УНФ 8. Полиграфия 2</x:v>
      </x:c>
      <x:c r="F251" s="6" t="str">
        <x:v>3.0.14.140</x:v>
      </x:c>
      <x:c r="G251" s="6" t="str">
        <x:v>not_reported</x:v>
      </x:c>
      <x:c r="H251" s="6" t="str">
        <x:v>default</x:v>
      </x:c>
      <x:c r="I251" s="6" t="str">
        <x:v>Применимость источников и эталона к 1С:УНФ 8. Полиграфия 2, релиз 3.0.14.140, подтверждена консультантом со слов пользователя.</x:v>
      </x:c>
      <x:c r="J251" s="13" t="str">
        <x:v>0</x:v>
      </x:c>
      <x:c r="K251" s="13" t="str">
        <x:v>5</x:v>
      </x:c>
      <x:c r="L251" s="7" t="b">
        <x:v>0</x:v>
      </x:c>
      <x:c r="M251" s="6" t="str">
        <x:v>not_applicable</x:v>
      </x:c>
      <x:c r="N251" s="6" t="str">
        <x:v>[]</x:v>
      </x:c>
      <x:c r="O251" s="7" t="b">
        <x:v>1</x:v>
      </x:c>
      <x:c r="P251" s="6" t="str">
        <x:v>K2</x:v>
      </x:c>
      <x:c r="Q251" s="6" t="str">
        <x:v>На заданном первом ходе данных достаточно; утверждённые источники дают применимый ответ для 3.0.14.140. Ожидается ответ по существу с источником.</x:v>
      </x:c>
      <x:c r="R251" s="6" t="str">
        <x:v>["omnidesk","real_anonymized","product_function"]</x:v>
      </x:c>
      <x:c r="S251" s="6" t="str">
        <x:v>answer</x:v>
      </x:c>
      <x:c r="T25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Проверьте подключена ли интернет поддержка пользователей.","Подтверждённый факт из поддержки: Я сейчас проверил на типовой все работает.","Подтверждённый факт из поддержки: рис.003) более подробную информацию можете посмотреть по ссылке.","Вежливый деловой русский и понятный следующий шаг; без обвинений и необоснованных обещаний."]</x:v>
      </x:c>
      <x:c r="U25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51" s="6" t="str">
        <x:v>[{"source_file":"/Users/maria/chatbot_rag/knowledge base/omnidesk_cases.jsonl","source_case_id":"12651559","source_jsonl_line":1215,"target_message_index":1,"evidence_type":"historical_support_consultant_approved","support_message_indices":[2],"source_answer":"[Поддержка, сообщение №2]\n1. Проверьте подключена ли интернет поддержка пользователей. 2. Я сейчас проверил на типовой все работает. (рис. [НОМЕР]. Возможно у вас исчерпан лимит по подписке (по подписке на ИТС идет тариф за 4800 руб. см. рис.003) более подробную информацию можете посмотреть по ссылке. [URL] 4. Сервис в последнее время работает стабильно, но ранее были сбои на 1-2 часа., попробуйте позже.","corpus_check":"confirmed_by_consultant_per_user","release_applicability":"confirmed_by_consultant","required_facts":["Проверьте подключена ли интернет поддержка пользователей.","Я сейчас проверил на типовой все работает.","рис.003) более подробную информацию можете посмотреть по ссылке."],"approval_basis":"user_confirmed_consultant_approval"}]</x:v>
      </x:c>
      <x:c r="W25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51" s="6" t="str">
        <x:v>approved</x:v>
      </x:c>
      <x:c r="Y251" s="6" t="str">
        <x:v>Карточка и применимость источников согласованы консультантом; утверждение подтверждено пользователем 25.10.2026.</x:v>
      </x:c>
      <x:c r="Z251" s="6" t="str">
        <x:v>G-cb321c3b72ea84</x:v>
      </x:c>
      <x:c r="AA251" s="6" t="str">
        <x:v>eval</x:v>
      </x:c>
      <x:c r="AB251" s="6" t="str">
        <x:v>real_anonymized_candidate</x:v>
      </x:c>
    </x:row>
    <x:row r="252" ht="115" customHeight="1">
      <x:c r="A252" s="6" t="str">
        <x:v>OMNI-162463547-M003</x:v>
      </x:c>
      <x:c r="B252" s="6" t="str">
        <x:v>real_anonymized_candidate:omnidesk:162463547:message:3</x:v>
      </x:c>
      <x:c r="C252" s="6" t="str">
        <x:v>{"history":[],"user_message":"Как добавить в сложный заказ скидку с расчетом по формуле?\nЕсть необходимость принимать у клиентов составные заказы на одинаковые продукты с разных макетов, которые могут быть и разного размера.\nНапример 100 листовок А4, 50 листовок А5, 30 плакатов А3.\nИли еще более популярный тип заказа:\nЭтикетки одинакового формата, но разными тиражами: 100 штук, 90 штук, 360 штук, и так далее.\nЕстественно, клиент рассчитывает получить какую-то скидку.\nБыло бы логичным объединять такие заказы например в сложный расчет заказа, а в последней детали вводить операцию \"Расчет скидки\", с отрицательной стоимостью, которая бы считалась по формуле, заданной пользователем.\nМожно ли так сделать в нынешней версии системы?\nЗаранее спасибо!"}</x:v>
      </x:c>
      <x:c r="D252" s="6" t="str">
        <x:v>{"product":"1С:УНФ 8. Полиграфия 2","version":"3.0.14.140","retrieval_state":"available","handoff_consent":false,"source_case_id":"162463547","group_id":"omnidesk_162463547","target_message_index":3,"history_status":"approved_case_first_turn","reported_release":"not_reported","approval_basis":"user_confirmed_consultant_approval"}</x:v>
      </x:c>
      <x:c r="E252" s="6" t="str">
        <x:v>1С:УНФ 8. Полиграфия 2</x:v>
      </x:c>
      <x:c r="F252" s="6" t="str">
        <x:v>3.0.14.140</x:v>
      </x:c>
      <x:c r="G252" s="6" t="str">
        <x:v>not_reported</x:v>
      </x:c>
      <x:c r="H252" s="6" t="str">
        <x:v>default</x:v>
      </x:c>
      <x:c r="I252" s="6" t="str">
        <x:v>Применимость источников и эталона к 1С:УНФ 8. Полиграфия 2, релиз 3.0.14.140, подтверждена консультантом со слов пользователя.</x:v>
      </x:c>
      <x:c r="J252" s="13" t="str">
        <x:v>0</x:v>
      </x:c>
      <x:c r="K252" s="13" t="str">
        <x:v>5</x:v>
      </x:c>
      <x:c r="L252" s="7" t="b">
        <x:v>0</x:v>
      </x:c>
      <x:c r="M252" s="6" t="str">
        <x:v>not_applicable</x:v>
      </x:c>
      <x:c r="N252" s="6" t="str">
        <x:v>[]</x:v>
      </x:c>
      <x:c r="O252" s="7" t="b">
        <x:v>1</x:v>
      </x:c>
      <x:c r="P252" s="6" t="str">
        <x:v>K2</x:v>
      </x:c>
      <x:c r="Q252" s="6" t="str">
        <x:v>На заданном первом ходе данных достаточно; утверждённые источники дают применимый ответ для 3.0.14.140. Ожидается ответ по существу с источником.</x:v>
      </x:c>
      <x:c r="R252" s="6" t="str">
        <x:v>["omnidesk","real_anonymized","cost_calculation","access_rights"]</x:v>
      </x:c>
      <x:c r="S252" s="6" t="str">
        <x:v>answer</x:v>
      </x:c>
      <x:c r="T25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сколько я понял, то вы уже общались с разработчиком на эту тему и обсудили вариант использования для этой задачи Сборного тиража.","Подтверждённый факт из поддержки: Таким образом, если будете все считать в сборном тираже сразу ( без расчетов), то сделав скидку на обобщенных сведениях, то все цены ( со скидкой) перейдут и в заказ покупателя, при формировании документа заказ покупателя из сборного тиража.","Подтверждённый факт из поддержки: Я передал, конечно, но не понимаю чего не хватает в использовании нормирования в зависимости от определенного параметра или их набора и закладки Обобщенные сведения.","Вежливый деловой русский и понятный следующий шаг; без обвинений и необоснованных обещаний."]</x:v>
      </x:c>
      <x:c r="U25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52" s="6" t="str">
        <x:v>[{"source_file":"/Users/maria/chatbot_rag/knowledge base/omnidesk_cases.jsonl","source_case_id":"162463547","source_jsonl_line":583,"target_message_index":3,"evidence_type":"historical_support_consultant_approved","support_message_indices":[1,2,5,7],"source_answer":"[Поддержка, сообщение №1]\nНа сколько я понял, то вы уже общались с разработчиком на эту тему и обсудили вариант использования для этой задачи Сборного тиража. Таким образом, если будете все считать в сборном тираже сразу ( без расчетов), то сделав скидку на обобщенных сведениях, то все цены ( со скидкой) перейдут и в заказ покупателя, при формировании документа заказ покупателя из сборного тиража.\n\n[Поддержка, сообщение №2]\nПока вопрос еще на рассмотрении.\n\n[Поддержка, сообщение №5]\nЯ передал, конечно, но не понимаю чего не хватает в использовании нормирования в зависимости от определенного параметра или их набора и закладки Обобщенные сведения.\n\n[Поддержка, сообщение №7]\nВаше предложение передано. О результате сообщим дополнительно.","corpus_check":"confirmed_by_consultant_per_user","release_applicability":"confirmed_by_consultant","required_facts":["На сколько я понял, то вы уже общались с разработчиком на эту тему и обсудили вариант использования для этой задачи Сборного тиража.","Таким образом, если будете все считать в сборном тираже сразу ( без расчетов), то сделав скидку на обобщенных сведениях, то все цены ( со скидкой) перейдут и в заказ покупателя, при формировании документа заказ покупателя из сборного тиража.","Я передал, конечно, но не понимаю чего не хватает в использовании нормирования в зависимости от определенного параметра или их набора и закладки Обобщенные сведения."],"approval_basis":"user_confirmed_consultant_approval"}]</x:v>
      </x:c>
      <x:c r="W25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52" s="6" t="str">
        <x:v>approved</x:v>
      </x:c>
      <x:c r="Y252" s="6" t="str">
        <x:v>Карточка и применимость источников согласованы консультантом; утверждение подтверждено пользователем 25.10.2026.</x:v>
      </x:c>
      <x:c r="Z252" s="6" t="str">
        <x:v>G-c48eb300b0b063</x:v>
      </x:c>
      <x:c r="AA252" s="6" t="str">
        <x:v>eval</x:v>
      </x:c>
      <x:c r="AB252" s="6" t="str">
        <x:v>real_anonymized_candidate</x:v>
      </x:c>
    </x:row>
    <x:row r="253" ht="115" customHeight="1">
      <x:c r="A253" s="6" t="str">
        <x:v>OMNI-31198830-M005</x:v>
      </x:c>
      <x:c r="B253" s="6" t="str">
        <x:v>real_anonymized_candidate:omnidesk:31198830:message:5</x:v>
      </x:c>
      <x:c r="C253" s="6" t="str">
        <x:v>{"history":[],"user_message":"хотела проконсультироваться по следующему вопросу. Наверняка есть какой-то механизм (я в описании не смогла найти) перерасчета цены бумаги и картона (меловка, офсетка, полиграфические картоны, переплетные картоны). Обычно вышеуказанные материалы имеют базовую цену в евро (долл) за тонну (кг), но для малых тиражей и для расчета требуется перевести данные цены из цены за кг в цены за лист... что порекомендуете? или только вручную?"}</x:v>
      </x:c>
      <x:c r="D253" s="6" t="str">
        <x:v>{"product":"1С:УНФ 8. Полиграфия 2","version":"3.0.14.140","retrieval_state":"available","handoff_consent":false,"source_case_id":"31198830","group_id":"omnidesk_31198830","target_message_index":5,"history_status":"approved_case_first_turn","reported_release":"not_reported","approval_basis":"user_confirmed_consultant_approval"}</x:v>
      </x:c>
      <x:c r="E253" s="6" t="str">
        <x:v>1С:УНФ 8. Полиграфия 2</x:v>
      </x:c>
      <x:c r="F253" s="6" t="str">
        <x:v>3.0.14.140</x:v>
      </x:c>
      <x:c r="G253" s="6" t="str">
        <x:v>not_reported</x:v>
      </x:c>
      <x:c r="H253" s="6" t="str">
        <x:v>default</x:v>
      </x:c>
      <x:c r="I253" s="6" t="str">
        <x:v>Применимость источников и эталона к 1С:УНФ 8. Полиграфия 2, релиз 3.0.14.140, подтверждена консультантом со слов пользователя.</x:v>
      </x:c>
      <x:c r="J253" s="13" t="str">
        <x:v>0</x:v>
      </x:c>
      <x:c r="K253" s="13" t="str">
        <x:v>5</x:v>
      </x:c>
      <x:c r="L253" s="7" t="b">
        <x:v>0</x:v>
      </x:c>
      <x:c r="M253" s="6" t="str">
        <x:v>not_applicable</x:v>
      </x:c>
      <x:c r="N253" s="6" t="str">
        <x:v>[]</x:v>
      </x:c>
      <x:c r="O253" s="7" t="b">
        <x:v>1</x:v>
      </x:c>
      <x:c r="P253" s="6" t="str">
        <x:v>K2</x:v>
      </x:c>
      <x:c r="Q253" s="6" t="str">
        <x:v>На заданном первом ходе данных достаточно; утверждённые источники дают применимый ответ для 3.0.14.140. Ожидается ответ по существу с источником.</x:v>
      </x:c>
      <x:c r="R253" s="6" t="str">
        <x:v>["omnidesk","real_anonymized","materials","support"]</x:v>
      </x:c>
      <x:c r="S253" s="6" t="str">
        <x:v>answer</x:v>
      </x:c>
      <x:c r="T25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Елена Ивановна, как-то все обобщенно.","Подтверждённый факт из поддержки: Может быть вы приведете какой-то пример на основе демо базы последнего релиза, чтобы можно было смоделировать.","Подтверждённый факт из поддержки: Хотелось бы также обозначить в нем, как при этом все это выглядит с т.з.","Вежливый деловой русский и понятный следующий шаг; без обвинений и необоснованных обещаний."]</x:v>
      </x:c>
      <x:c r="U25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53" s="6" t="str">
        <x:v>[{"source_file":"/Users/maria/chatbot_rag/knowledge base/omnidesk_cases.jsonl","source_case_id":"31198830","source_jsonl_line":1080,"target_message_index":5,"evidence_type":"historical_support_consultant_approved","support_message_indices":[1,2,6],"source_answer":"[Поддержка, сообщение №1]\nЕлена Ивановна, как-то все обобщенно. Может быть вы приведете какой-то пример на основе демо базы последнего релиза, чтобы можно было смоделировать. Хотелось бы также обозначить в нем, как при этом все это выглядит с т.з. бух учета. И тогда, можно будет более конкретно ответить есть ли такой механизм или нет.\n\n[Поддержка, сообщение №2]\nВы протестировали ту обработку про которую вам написала Оксана?\n\n[Поддержка, сообщение №6]\nЕсли вы имеете ввиду, - есть ли возможность регистрировать несколько цен для элемента номенклатуры по разным единицам измерения, то есть. Схематично - примерно так. Создаем дополнительно на закладке ед. изм. (нужную). Запускам обработку Формирование цен. Выбираем нужный вид цены, рассчитываем по формуле от учетной, устанавливаем нужную единицу.","corpus_check":"confirmed_by_consultant_per_user","release_applicability":"confirmed_by_consultant","required_facts":["Елена Ивановна, как-то все обобщенно.","Может быть вы приведете какой-то пример на основе демо базы последнего релиза, чтобы можно было смоделировать.","Хотелось бы также обозначить в нем, как при этом все это выглядит с т.з."],"approval_basis":"user_confirmed_consultant_approval"}]</x:v>
      </x:c>
      <x:c r="W25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53" s="6" t="str">
        <x:v>approved</x:v>
      </x:c>
      <x:c r="Y253" s="6" t="str">
        <x:v>Карточка и применимость источников согласованы консультантом; утверждение подтверждено пользователем 25.10.2026.</x:v>
      </x:c>
      <x:c r="Z253" s="6" t="str">
        <x:v>G-3c2b0adb52f3c1</x:v>
      </x:c>
      <x:c r="AA253" s="6" t="str">
        <x:v>eval</x:v>
      </x:c>
      <x:c r="AB253" s="6" t="str">
        <x:v>real_anonymized_candidate</x:v>
      </x:c>
    </x:row>
    <x:row r="254" ht="115" customHeight="1">
      <x:c r="A254" s="6" t="str">
        <x:v>OMNI-140297789-M001</x:v>
      </x:c>
      <x:c r="B254" s="6" t="str">
        <x:v>real_anonymized_candidate:omnidesk:140297789:message:1</x:v>
      </x:c>
      <x:c r="C254" s="6" t="str">
        <x:v>{"history":[],"user_message":"По нашему (и не только нашему) опыту -- операции с карманами у баннеров как правило всегда считаются в метрах.\nВзять ту же проклейку периметра: она всегда считалась и считается в погонных метрах проклейки.\nТо есть например если имеется баннер 1х2 метра, то его периметр равен 6 метрам, и цена проклейки условно равна 6 х 40 рублей.\nА в нынешнем виде в 1С:Полиграфии в операцию которая работает с карманами, передается площадь кармана, которая роли особо не играет.\nМожно ли как-то переключить расчет кармана в метры, или это зашито в программу намертво и изменению не подлежит?\nЗаранее спасибо!"}</x:v>
      </x:c>
      <x:c r="D254" s="6" t="str">
        <x:v>{"product":"1С:УНФ 8. Полиграфия 2","version":"3.0.14.140","retrieval_state":"available","handoff_consent":false,"source_case_id":"140297789","group_id":"omnidesk_140297789","target_message_index":1,"history_status":"approved_case_first_turn","reported_release":"not_reported","approval_basis":"user_confirmed_consultant_approval"}</x:v>
      </x:c>
      <x:c r="E254" s="6" t="str">
        <x:v>1С:УНФ 8. Полиграфия 2</x:v>
      </x:c>
      <x:c r="F254" s="6" t="str">
        <x:v>3.0.14.140</x:v>
      </x:c>
      <x:c r="G254" s="6" t="str">
        <x:v>not_reported</x:v>
      </x:c>
      <x:c r="H254" s="6" t="str">
        <x:v>default</x:v>
      </x:c>
      <x:c r="I254" s="6" t="str">
        <x:v>Применимость источников и эталона к 1С:УНФ 8. Полиграфия 2, релиз 3.0.14.140, подтверждена консультантом со слов пользователя.</x:v>
      </x:c>
      <x:c r="J254" s="13" t="str">
        <x:v>0</x:v>
      </x:c>
      <x:c r="K254" s="13" t="str">
        <x:v>5</x:v>
      </x:c>
      <x:c r="L254" s="7" t="b">
        <x:v>0</x:v>
      </x:c>
      <x:c r="M254" s="6" t="str">
        <x:v>not_applicable</x:v>
      </x:c>
      <x:c r="N254" s="6" t="str">
        <x:v>[]</x:v>
      </x:c>
      <x:c r="O254" s="7" t="b">
        <x:v>1</x:v>
      </x:c>
      <x:c r="P254" s="6" t="str">
        <x:v>K2</x:v>
      </x:c>
      <x:c r="Q254" s="6" t="str">
        <x:v>На заданном первом ходе данных достаточно; утверждённые источники дают применимый ответ для 3.0.14.140. Ожидается ответ по существу с источником.</x:v>
      </x:c>
      <x:c r="R254" s="6" t="str">
        <x:v>["omnidesk","real_anonymized","access_rights"]</x:v>
      </x:c>
      <x:c r="S254" s="6" t="str">
        <x:v>answer</x:v>
      </x:c>
      <x:c r="T25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Как вариант для Операции с карманами можете использовать вкладки(Склейка,Сшивка, Спайка) Постпресса, у которых используется именно пог метр при подсчете тиража.","Вежливый деловой русский и понятный следующий шаг; без обвинений и необоснованных обещаний."]</x:v>
      </x:c>
      <x:c r="U25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54" s="6" t="str">
        <x:v>[{"source_file":"/Users/maria/chatbot_rag/knowledge base/omnidesk_cases.jsonl","source_case_id":"140297789","source_jsonl_line":738,"target_message_index":1,"evidence_type":"historical_support_consultant_approved","support_message_indices":[3,4],"source_answer":"[Поддержка, сообщение №4]\nКак вариант для Операции с карманами можете использовать вкладки(Склейка,Сшивка, Спайка) Постпресса, у которых используется именно пог метр при подсчете тиража.","corpus_check":"confirmed_by_consultant_per_user","release_applicability":"confirmed_by_consultant","required_facts":["Как вариант для Операции с карманами можете использовать вкладки(Склейка,Сшивка, Спайка) Постпресса, у которых используется именно пог метр при подсчете тиража."],"approval_basis":"user_confirmed_consultant_approval"}]</x:v>
      </x:c>
      <x:c r="W25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54" s="6" t="str">
        <x:v>approved</x:v>
      </x:c>
      <x:c r="Y254" s="6" t="str">
        <x:v>Карточка и применимость источников согласованы консультантом; утверждение подтверждено пользователем 25.10.2026.</x:v>
      </x:c>
      <x:c r="Z254" s="6" t="str">
        <x:v>G-80184b720915bd</x:v>
      </x:c>
      <x:c r="AA254" s="6" t="str">
        <x:v>eval</x:v>
      </x:c>
      <x:c r="AB254" s="6" t="str">
        <x:v>real_anonymized_candidate</x:v>
      </x:c>
    </x:row>
    <x:row r="255" ht="115" customHeight="1">
      <x:c r="A255" s="6" t="str">
        <x:v>OMNI-48705731-M001</x:v>
      </x:c>
      <x:c r="B255" s="6" t="str">
        <x:v>real_anonymized_candidate:omnidesk:48705731:message:1</x:v>
      </x:c>
      <x:c r="C255" s="6" t="str">
        <x:v>{"history":[],"user_message":"Прошу уточнить, в Вашем решении есть возможность обмена данными с типовыми конфигурациями Бухгалтерия и УТ ? Спасибо"}</x:v>
      </x:c>
      <x:c r="D255" s="6" t="str">
        <x:v>{"product":"1С:УНФ 8. Полиграфия 2","version":"3.0.14.140","retrieval_state":"available","handoff_consent":false,"source_case_id":"48705731","group_id":"omnidesk_48705731","target_message_index":1,"history_status":"approved_case_first_turn","reported_release":"not_reported","approval_basis":"user_confirmed_consultant_approval"}</x:v>
      </x:c>
      <x:c r="E255" s="6" t="str">
        <x:v>1С:УНФ 8. Полиграфия 2</x:v>
      </x:c>
      <x:c r="F255" s="6" t="str">
        <x:v>3.0.14.140</x:v>
      </x:c>
      <x:c r="G255" s="6" t="str">
        <x:v>not_reported</x:v>
      </x:c>
      <x:c r="H255" s="6" t="str">
        <x:v>default</x:v>
      </x:c>
      <x:c r="I255" s="6" t="str">
        <x:v>Применимость источников и эталона к 1С:УНФ 8. Полиграфия 2, релиз 3.0.14.140, подтверждена консультантом со слов пользователя.</x:v>
      </x:c>
      <x:c r="J255" s="13" t="str">
        <x:v>0</x:v>
      </x:c>
      <x:c r="K255" s="13" t="str">
        <x:v>5</x:v>
      </x:c>
      <x:c r="L255" s="7" t="b">
        <x:v>0</x:v>
      </x:c>
      <x:c r="M255" s="6" t="str">
        <x:v>not_applicable</x:v>
      </x:c>
      <x:c r="N255" s="6" t="str">
        <x:v>[]</x:v>
      </x:c>
      <x:c r="O255" s="7" t="b">
        <x:v>1</x:v>
      </x:c>
      <x:c r="P255" s="6" t="str">
        <x:v>K2</x:v>
      </x:c>
      <x:c r="Q255" s="6" t="str">
        <x:v>На заданном первом ходе данных достаточно; утверждённые источники дают применимый ответ для 3.0.14.140. Ожидается ответ по существу с источником.</x:v>
      </x:c>
      <x:c r="R255" s="6" t="str">
        <x:v>["omnidesk","real_anonymized","integration"]</x:v>
      </x:c>
      <x:c r="S255" s="6" t="str">
        <x:v>answer</x:v>
      </x:c>
      <x:c r="T25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нашей конфигурации аналогично типовой УНФ 1.6 С Бухгалтерией есть.","Подтверждённый факт из поддержки: Все что будет реализовано в УНФ соответственно будет и в нашей конфигурации.","Вежливый деловой русский и понятный следующий шаг; без обвинений и необоснованных обещаний."]</x:v>
      </x:c>
      <x:c r="U25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55" s="6" t="str">
        <x:v>[{"source_file":"/Users/maria/chatbot_rag/knowledge base/omnidesk_cases.jsonl","source_case_id":"48705731","source_jsonl_line":1009,"target_message_index":1,"evidence_type":"historical_support_consultant_approved","support_message_indices":[2],"source_answer":"[Поддержка, сообщение №2]\nВ нашей конфигурации аналогично типовой УНФ 1.6 С Бухгалтерией есть. С ут нет. Все что будет реализовано в УНФ соответственно будет и в нашей конфигурации.","corpus_check":"confirmed_by_consultant_per_user","release_applicability":"confirmed_by_consultant","required_facts":["В нашей конфигурации аналогично типовой УНФ 1.6 С Бухгалтерией есть.","Все что будет реализовано в УНФ соответственно будет и в нашей конфигурации."],"approval_basis":"user_confirmed_consultant_approval"}]</x:v>
      </x:c>
      <x:c r="W25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55" s="6" t="str">
        <x:v>approved</x:v>
      </x:c>
      <x:c r="Y255" s="6" t="str">
        <x:v>Карточка и применимость источников согласованы консультантом; утверждение подтверждено пользователем 25.10.2026.</x:v>
      </x:c>
      <x:c r="Z255" s="6" t="str">
        <x:v>G-57377e666a250e</x:v>
      </x:c>
      <x:c r="AA255" s="6" t="str">
        <x:v>eval</x:v>
      </x:c>
      <x:c r="AB255" s="6" t="str">
        <x:v>real_anonymized_candidate</x:v>
      </x:c>
    </x:row>
    <x:row r="256" ht="115" customHeight="1">
      <x:c r="A256" s="6" t="str">
        <x:v>OMNI-306198729-M002</x:v>
      </x:c>
      <x:c r="B256" s="6" t="str">
        <x:v>real_anonymized_candidate:omnidesk:306198729:message:2</x:v>
      </x:c>
      <x:c r="C256" s="6" t="str">
        <x:v>{"history":[],"user_message":"1) Можно ли сделать некоторые поля обязательными для заполнения (например поле В группе)?\n2) Можно ли сделать автоматическое заполнение поля статьи затрат – \"оплата от покупателей\" при заполнение карты контрагента \"Покупателя\"?"}</x:v>
      </x:c>
      <x:c r="D256" s="6" t="str">
        <x:v>{"product":"1С:УНФ 8. Полиграфия 2","version":"3.0.14.140","retrieval_state":"available","handoff_consent":false,"source_case_id":"306198729","group_id":"omnidesk_306198729","target_message_index":2,"history_status":"approved_case_first_turn","reported_release":"not_reported","approval_basis":"user_confirmed_consultant_approval"}</x:v>
      </x:c>
      <x:c r="E256" s="6" t="str">
        <x:v>1С:УНФ 8. Полиграфия 2</x:v>
      </x:c>
      <x:c r="F256" s="6" t="str">
        <x:v>3.0.14.140</x:v>
      </x:c>
      <x:c r="G256" s="6" t="str">
        <x:v>not_reported</x:v>
      </x:c>
      <x:c r="H256" s="6" t="str">
        <x:v>default</x:v>
      </x:c>
      <x:c r="I256" s="6" t="str">
        <x:v>Применимость источников и эталона к 1С:УНФ 8. Полиграфия 2, релиз 3.0.14.140, подтверждена консультантом со слов пользователя.</x:v>
      </x:c>
      <x:c r="J256" s="13" t="str">
        <x:v>0</x:v>
      </x:c>
      <x:c r="K256" s="13" t="str">
        <x:v>5</x:v>
      </x:c>
      <x:c r="L256" s="7" t="b">
        <x:v>0</x:v>
      </x:c>
      <x:c r="M256" s="6" t="str">
        <x:v>not_applicable</x:v>
      </x:c>
      <x:c r="N256" s="6" t="str">
        <x:v>[]</x:v>
      </x:c>
      <x:c r="O256" s="7" t="b">
        <x:v>1</x:v>
      </x:c>
      <x:c r="P256" s="6" t="str">
        <x:v>K2</x:v>
      </x:c>
      <x:c r="Q256" s="6" t="str">
        <x:v>На заданном первом ходе данных достаточно; утверждённые источники дают применимый ответ для 3.0.14.140. Ожидается ответ по существу с источником.</x:v>
      </x:c>
      <x:c r="R256" s="6" t="str">
        <x:v>["omnidesk","real_anonymized","product_function"]</x:v>
      </x:c>
      <x:c r="S256" s="6" t="str">
        <x:v>answer</x:v>
      </x:c>
      <x:c r="T25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Для дополнительных реквизитов, которые вы создаете сами, можно.","Подтверждённый факт из поддержки: При создании есть вариант выбора -\"обязательное поле\".","Подтверждённый факт из поддержки: В остальных случаях только, программно.","Вежливый деловой русский и понятный следующий шаг; без обвинений и необоснованных обещаний."]</x:v>
      </x:c>
      <x:c r="U25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56" s="6" t="str">
        <x:v>[{"source_file":"/Users/maria/chatbot_rag/knowledge base/omnidesk_cases.jsonl","source_case_id":"306198729","source_jsonl_line":309,"target_message_index":2,"evidence_type":"historical_support_consultant_approved","support_message_indices":[1],"source_answer":"[Поддержка, сообщение №1]\n1. Для дополнительных реквизитов, которые вы создаете сами, можно. При создании есть вариант выбора -\"обязательное поле\". В остальных случаях только, программно. 2. Посмотрите, что можно настроить в программе. Остальное только программно.","corpus_check":"confirmed_by_consultant_per_user","release_applicability":"confirmed_by_consultant","required_facts":["Для дополнительных реквизитов, которые вы создаете сами, можно.","При создании есть вариант выбора -\"обязательное поле\".","В остальных случаях только, программно."],"approval_basis":"user_confirmed_consultant_approval"}]</x:v>
      </x:c>
      <x:c r="W25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56" s="6" t="str">
        <x:v>approved</x:v>
      </x:c>
      <x:c r="Y256" s="6" t="str">
        <x:v>Карточка и применимость источников согласованы консультантом; утверждение подтверждено пользователем 25.10.2026.</x:v>
      </x:c>
      <x:c r="Z256" s="6" t="str">
        <x:v>G-064a3805a0817c</x:v>
      </x:c>
      <x:c r="AA256" s="6" t="str">
        <x:v>eval</x:v>
      </x:c>
      <x:c r="AB256" s="6" t="str">
        <x:v>real_anonymized_candidate</x:v>
      </x:c>
    </x:row>
    <x:row r="257" ht="115" customHeight="1">
      <x:c r="A257" s="6" t="str">
        <x:v>OMNI-422983081-M001</x:v>
      </x:c>
      <x:c r="B257" s="6" t="str">
        <x:v>real_anonymized_candidate:omnidesk:422983081:message:1</x:v>
      </x:c>
      <x:c r="C257" s="6" t="str">
        <x:v>{"history":[],"user_message":"Добрый день Возможно ли, чтобы ответственный автоматически назначался (регистрировался) под логином того, кто создает расчет заказа?"}</x:v>
      </x:c>
      <x:c r="D257" s="6" t="str">
        <x:v>{"product":"1С:УНФ 8. Полиграфия 2","version":"3.0.14.140","retrieval_state":"available","handoff_consent":false,"source_case_id":"422983081","group_id":"omnidesk_422983081","target_message_index":1,"history_status":"approved_case_first_turn","reported_release":"not_reported","approval_basis":"user_confirmed_consultant_approval"}</x:v>
      </x:c>
      <x:c r="E257" s="6" t="str">
        <x:v>1С:УНФ 8. Полиграфия 2</x:v>
      </x:c>
      <x:c r="F257" s="6" t="str">
        <x:v>3.0.14.140</x:v>
      </x:c>
      <x:c r="G257" s="6" t="str">
        <x:v>not_reported</x:v>
      </x:c>
      <x:c r="H257" s="6" t="str">
        <x:v>default</x:v>
      </x:c>
      <x:c r="I257" s="6" t="str">
        <x:v>Применимость источников и эталона к 1С:УНФ 8. Полиграфия 2, релиз 3.0.14.140, подтверждена консультантом со слов пользователя.</x:v>
      </x:c>
      <x:c r="J257" s="13" t="str">
        <x:v>0</x:v>
      </x:c>
      <x:c r="K257" s="13" t="str">
        <x:v>5</x:v>
      </x:c>
      <x:c r="L257" s="7" t="b">
        <x:v>1</x:v>
      </x:c>
      <x:c r="M257" s="6" t="str">
        <x:v>not_applicable</x:v>
      </x:c>
      <x:c r="N257" s="6" t="str">
        <x:v>["Как пользователь связан с сотрудником/физлицом и заполнено ли это соответствие","Требуется настроить автозаполнение или оно уже настроено, но не срабатывает"]</x:v>
      </x:c>
      <x:c r="O257" s="7" t="b">
        <x:v>0</x:v>
      </x:c>
      <x:c r="P257" s="6" t="str">
        <x:v>K3</x:v>
      </x:c>
      <x:c r="Q257"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57" s="6" t="str">
        <x:v>["omnidesk","real_anonymized","product_function"]</x:v>
      </x:c>
      <x:c r="S257" s="6" t="str">
        <x:v>clarify</x:v>
      </x:c>
      <x:c r="T257" s="6" t="str">
        <x:v>["Запросить следующие существенные сведения: Как пользователь связан с сотрудником/физлицом и заполнено ли это соответствие; Требуется настроить автозаполнение или оно уже настроено, но не срабатывает.","Уточнение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57"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57" s="6" t="str">
        <x:v>[{"source_file":"/Users/maria/chatbot_rag/knowledge base/omnidesk_cases.jsonl","source_case_id":"422983081","source_jsonl_line":9,"target_message_index":1,"evidence_type":"historical_support_consultant_approved","support_message_indices":[2,4,6,8,9],"source_answer":"[Поддержка, сообщение №2]\nВасилий. Проверьте заполнено ли физлицо в Ответственном сотруднике\n\n[Поддержка, сообщение №4]\nВасилий! При создании Расчета заказа под учеткой Ответственного, он автоматически подцепляется в нужное поле. Мы проверяем все только на последнем релизе. Возможно, у Вас стоят активными какие-то настройки или, наоборот, неактивные. Надо смотреть на Вашей базе.\n\n[Поддержка, сообщение №6]\nПредлагаю проверить на других пользователях. Возможно, дело именно в этом пользователе. Мы дополнительно проверили на ДемоБазе под разными пользователями с разными правами. При создании любого заказа любым способом без каки-либо дополнительных настроек Ответственный подставляется автоматически и корректно.\n\n[Поддержка, сообщение №8]\nВасилий! У вас точно последний релиз? Сбросьте пожалуйста скрин со сведениями О программе.\n\n[Поддержка, сообщение №9]\nПользователь должен быть привязан к физ лицу. Физ лицо должно быть привязано к \"Сотруднику\" И после этого прописываете в перейти в настройки пользователя и заполнить соответствующие поля.","corpus_check":"confirmed_by_consultant_per_user","release_applicability":"confirmed_by_consultant","approval_basis":"user_confirmed_consultant_approval"}]</x:v>
      </x:c>
      <x:c r="W257" s="6" t="str">
        <x:v>["Есть конкретный полезный вопрос о недостающих сведениях: Как пользователь связан с сотрудником/физлицом и заполнено ли это соответствие; Требуется настроить автозаполнение или оно уже настроено, но не срабатывает.","Нет произвольного решения и необоснованного отказа. Соблюдены доступная история и лимит пяти уточнений."]</x:v>
      </x:c>
      <x:c r="X257" s="6" t="str">
        <x:v>approved</x:v>
      </x:c>
      <x:c r="Y257" s="6" t="str">
        <x:v>Карточка и применимость источников согласованы консультантом; утверждение подтверждено пользователем 25.10.2026.</x:v>
      </x:c>
      <x:c r="Z257" s="6" t="str">
        <x:v>G-6da080296d0fa1</x:v>
      </x:c>
      <x:c r="AA257" s="6" t="str">
        <x:v>eval</x:v>
      </x:c>
      <x:c r="AB257" s="6" t="str">
        <x:v>real_anonymized_candidate</x:v>
      </x:c>
    </x:row>
    <x:row r="258" ht="115" customHeight="1">
      <x:c r="A258" s="6" t="str">
        <x:v>OMNI-162463068-M001</x:v>
      </x:c>
      <x:c r="B258" s="6" t="str">
        <x:v>real_anonymized_candidate:omnidesk:162463068:message:1</x:v>
      </x:c>
      <x:c r="C258" s="6" t="str">
        <x:v>{"history":[],"user_message":"Что такое сборный спуск и сборный тираж, и в чем между ними разница?"}</x:v>
      </x:c>
      <x:c r="D258" s="6" t="str">
        <x:v>{"product":"1С:УНФ 8. Полиграфия 2","version":"3.0.14.140","retrieval_state":"available","handoff_consent":false,"source_case_id":"162463068","group_id":"omnidesk_162463068","target_message_index":1,"history_status":"approved_case_first_turn","reported_release":"not_reported","approval_basis":"user_confirmed_consultant_approval"}</x:v>
      </x:c>
      <x:c r="E258" s="6" t="str">
        <x:v>1С:УНФ 8. Полиграфия 2</x:v>
      </x:c>
      <x:c r="F258" s="6" t="str">
        <x:v>3.0.14.140</x:v>
      </x:c>
      <x:c r="G258" s="6" t="str">
        <x:v>not_reported</x:v>
      </x:c>
      <x:c r="H258" s="6" t="str">
        <x:v>default</x:v>
      </x:c>
      <x:c r="I258" s="6" t="str">
        <x:v>Применимость источников и эталона к 1С:УНФ 8. Полиграфия 2, релиз 3.0.14.140, подтверждена консультантом со слов пользователя.</x:v>
      </x:c>
      <x:c r="J258" s="13" t="str">
        <x:v>0</x:v>
      </x:c>
      <x:c r="K258" s="13" t="str">
        <x:v>5</x:v>
      </x:c>
      <x:c r="L258" s="7" t="b">
        <x:v>0</x:v>
      </x:c>
      <x:c r="M258" s="6" t="str">
        <x:v>not_applicable</x:v>
      </x:c>
      <x:c r="N258" s="6" t="str">
        <x:v>[]</x:v>
      </x:c>
      <x:c r="O258" s="7" t="b">
        <x:v>1</x:v>
      </x:c>
      <x:c r="P258" s="6" t="str">
        <x:v>K2</x:v>
      </x:c>
      <x:c r="Q258" s="6" t="str">
        <x:v>На заданном первом ходе данных достаточно; утверждённые источники дают применимый ответ для 3.0.14.140. Ожидается ответ по существу с источником.</x:v>
      </x:c>
      <x:c r="R258" s="6" t="str">
        <x:v>["omnidesk","real_anonymized","product_function"]</x:v>
      </x:c>
      <x:c r="S258" s="6" t="str">
        <x:v>answer</x:v>
      </x:c>
      <x:c r="T25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Нужно соответственно заполнить закладки Листы и другие по необходимости.","Вежливый деловой русский и понятный следующий шаг; без обвинений и необоснованных обещаний."]</x:v>
      </x:c>
      <x:c r="U25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58" s="6" t="str">
        <x:v>[{"source_file":"/Users/maria/chatbot_rag/knowledge base/omnidesk_cases.jsonl","source_case_id":"162463068","source_jsonl_line":599,"target_message_index":1,"evidence_type":"historical_support_consultant_approved","support_message_indices":[2,4],"source_answer":"[Поддержка, сообщение №2]\nВо вложении.\n\n[Поддержка, сообщение №4]\nНужно соответственно заполнить закладки Листы и другие по необходимости.","corpus_check":"confirmed_by_consultant_per_user","release_applicability":"confirmed_by_consultant","required_facts":["Нужно соответственно заполнить закладки Листы и другие по необходимости."],"approval_basis":"user_confirmed_consultant_approval"}]</x:v>
      </x:c>
      <x:c r="W25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58" s="6" t="str">
        <x:v>approved</x:v>
      </x:c>
      <x:c r="Y258" s="6" t="str">
        <x:v>Карточка и применимость источников согласованы консультантом; утверждение подтверждено пользователем 25.10.2026.</x:v>
      </x:c>
      <x:c r="Z258" s="6" t="str">
        <x:v>G-115c7051be8a25</x:v>
      </x:c>
      <x:c r="AA258" s="6" t="str">
        <x:v>eval</x:v>
      </x:c>
      <x:c r="AB258" s="6" t="str">
        <x:v>real_anonymized_candidate</x:v>
      </x:c>
    </x:row>
    <x:row r="259" ht="115" customHeight="1">
      <x:c r="A259" s="6" t="str">
        <x:v>OMNI-190593388-M002</x:v>
      </x:c>
      <x:c r="B259" s="6" t="str">
        <x:v>real_anonymized_candidate:omnidesk:190593388:message:2</x:v>
      </x:c>
      <x:c r="C259" s="6" t="str">
        <x:v>{"history":[],"user_message":"Существует ли какой-то отчет по суммам выполненных заказов производства?\nСтандартный отчет по продажам менеджеров -- не подходит, потому что там учитываются все заказы покупателей, а в одном заказе покупателя может быть и 10 и 20 заказов производства.\nИнтересует именно аналитика по заказам производства.\nЗаранее спасибо!"}</x:v>
      </x:c>
      <x:c r="D259" s="6" t="str">
        <x:v>{"product":"1С:УНФ 8. Полиграфия 2","version":"3.0.14.140","retrieval_state":"available","handoff_consent":false,"source_case_id":"190593388","group_id":"omnidesk_190593388","target_message_index":2,"history_status":"approved_case_first_turn","reported_release":"not_reported","approval_basis":"user_confirmed_consultant_approval"}</x:v>
      </x:c>
      <x:c r="E259" s="6" t="str">
        <x:v>1С:УНФ 8. Полиграфия 2</x:v>
      </x:c>
      <x:c r="F259" s="6" t="str">
        <x:v>3.0.14.140</x:v>
      </x:c>
      <x:c r="G259" s="6" t="str">
        <x:v>not_reported</x:v>
      </x:c>
      <x:c r="H259" s="6" t="str">
        <x:v>default</x:v>
      </x:c>
      <x:c r="I259" s="6" t="str">
        <x:v>Применимость источников и эталона к 1С:УНФ 8. Полиграфия 2, релиз 3.0.14.140, подтверждена консультантом со слов пользователя.</x:v>
      </x:c>
      <x:c r="J259" s="13" t="str">
        <x:v>0</x:v>
      </x:c>
      <x:c r="K259" s="13" t="str">
        <x:v>5</x:v>
      </x:c>
      <x:c r="L259" s="7" t="b">
        <x:v>0</x:v>
      </x:c>
      <x:c r="M259" s="6" t="str">
        <x:v>not_applicable</x:v>
      </x:c>
      <x:c r="N259" s="6" t="str">
        <x:v>[]</x:v>
      </x:c>
      <x:c r="O259" s="7" t="b">
        <x:v>1</x:v>
      </x:c>
      <x:c r="P259" s="6" t="str">
        <x:v>K2</x:v>
      </x:c>
      <x:c r="Q259" s="6" t="str">
        <x:v>На заданном первом ходе данных достаточно; утверждённые источники дают применимый ответ для 3.0.14.140. Ожидается ответ по существу с источником.</x:v>
      </x:c>
      <x:c r="R259" s="6" t="str">
        <x:v>["omnidesk","real_anonymized","support"]</x:v>
      </x:c>
      <x:c r="S259" s="6" t="str">
        <x:v>answer</x:v>
      </x:c>
      <x:c r="T25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Отчет \"Расширенный анализ себестоимости выпуска полиграфии\" С помощью отчета можно проанализировать соотношение фактического и планируемого количества и себестоимости затрат на выпуск продукции, выполнения работ, оказания услуг.","Подтверждённый факт из поддержки: Данные о затратах выводятся с детализацией по счетам затрат и конкретным затратам.","Подтверждённый факт из поддержки: Этот отчет позволяет анализировать плановую и фактическую прибыль по заказам, оценивать фактическую рентабельность заказа.","Вежливый деловой русский и понятный следующий шаг; без обвинений и необоснованных обещаний."]</x:v>
      </x:c>
      <x:c r="U25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59" s="6" t="str">
        <x:v>[{"source_file":"/Users/maria/chatbot_rag/knowledge base/omnidesk_cases.jsonl","source_case_id":"190593388","source_jsonl_line":513,"target_message_index":2,"evidence_type":"historical_support_consultant_approved","support_message_indices":[1],"source_answer":"[Поддержка, сообщение №1]\nОтчет \"Расширенный анализ себестоимости выпуска полиграфии\" С помощью отчета можно проанализировать соотношение фактического и планируемого количества и себестоимости затрат на выпуск продукции, выполнения работ, оказания услуг. Данные о затратах выводятся с детализацией по счетам затрат и конкретным затратам. Этот отчет позволяет анализировать плановую и фактическую прибыль по заказам, оценивать фактическую рентабельность заказа. С его помощью можно проводить детальный анализ всех затрат, проводить сравнительную характеристику плановых и фактических затрат производства. Отчет выводит следующие показатели: Количество – плановые и фактические данные по количеству выпущенной продукции, работ, услуг и их отклонение. Стоимость - плановая стоимость продукции. Себестоимость- плановые и фактические данные по себестоимости затрат на выпуск и их отклонение. Прибыль- плановые и фактические данные по прибыльности выпуска продукции. Отчет выводит анализ заказов по следующим категориям: Заведенные в этом периоде – в отчет попадают заказы покупателя, созданные в выбранном периоде ( отбор по дате заказа). Отгруженные в этом периоде - в отчет попадают заказы покупателя, полностью отгруженные в выбранном периоде. Оплаченные в этом периоде- в отчет попадают заказы покупателя, полностью оплаченные в выбранном периоде. Выпущенные в этом периоде- в отчет попадают заказы покупателя, полностью выпущенные в выбранном периоде ( выпуск по документу Производство). Можете использовать в качестве фильтра \"Статусы\"","corpus_check":"confirmed_by_consultant_per_user","release_applicability":"confirmed_by_consultant","required_facts":["Отчет \"Расширенный анализ себестоимости выпуска полиграфии\" С помощью отчета можно проанализировать соотношение фактического и планируемого количества и себестоимости затрат на выпуск продукции, выполнения работ, оказания услуг.","Данные о затратах выводятся с детализацией по счетам затрат и конкретным затратам.","Этот отчет позволяет анализировать плановую и фактическую прибыль по заказам, оценивать фактическую рентабельность заказа."],"approval_basis":"user_confirmed_consultant_approval"}]</x:v>
      </x:c>
      <x:c r="W25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59" s="6" t="str">
        <x:v>approved</x:v>
      </x:c>
      <x:c r="Y259" s="6" t="str">
        <x:v>Карточка и применимость источников согласованы консультантом; утверждение подтверждено пользователем 25.10.2026.</x:v>
      </x:c>
      <x:c r="Z259" s="6" t="str">
        <x:v>G-324a672d358a94</x:v>
      </x:c>
      <x:c r="AA259" s="6" t="str">
        <x:v>eval</x:v>
      </x:c>
      <x:c r="AB259" s="6" t="str">
        <x:v>real_anonymized_candidate</x:v>
      </x:c>
    </x:row>
    <x:row r="260" ht="115" customHeight="1">
      <x:c r="A260" s="6" t="str">
        <x:v>OMNI-175341156-M002</x:v>
      </x:c>
      <x:c r="B260" s="6" t="str">
        <x:v>real_anonymized_candidate:omnidesk:175341156:message:2</x:v>
      </x:c>
      <x:c r="C260" s="6" t="str">
        <x:v>{"history":[],"user_message":"1С:Предприятие [PHONE]) 1С:УНФ 8. Полиграфия 2 ([IP_ADDRESS]) Вопрос: на основании требования законодательства в случае отгрузки товара не в день оплаты, необходимо выбивать и фискализировать 2 чека ККТ, один с признаком способа расчета Предоплата/Аванс в момент получения денежных средств, второй Полный расчет при передачи товара покупателю. Реализован ли этот функционал в программе 1С УНФ? Нами подключено оборудование принтер печати чеков АТОЛ 30Ф, оборудование успешно подключено, но мы не видим каких либо кнопок для выбора признака способа расчета для корректного отображения в чеке и соблюдения норм законодательства. Прошу дать пояснения реализован ли этот функционал? Если да, то какие необходимо выполнить действия для его включения и успешной работы? Заранее спасибо!"}</x:v>
      </x:c>
      <x:c r="D260" s="6" t="str">
        <x:v>{"product":"1С:УНФ 8. Полиграфия 2","version":"3.0.14.140","retrieval_state":"available","handoff_consent":false,"source_case_id":"175341156","group_id":"omnidesk_175341156","target_message_index":2,"history_status":"approved_case_first_turn","reported_release":"not_reported","approval_basis":"user_confirmed_consultant_approval"}</x:v>
      </x:c>
      <x:c r="E260" s="6" t="str">
        <x:v>1С:УНФ 8. Полиграфия 2</x:v>
      </x:c>
      <x:c r="F260" s="6" t="str">
        <x:v>3.0.14.140</x:v>
      </x:c>
      <x:c r="G260" s="6" t="str">
        <x:v>not_reported</x:v>
      </x:c>
      <x:c r="H260" s="6" t="str">
        <x:v>default</x:v>
      </x:c>
      <x:c r="I260" s="6" t="str">
        <x:v>Применимость источников и эталона к 1С:УНФ 8. Полиграфия 2, релиз 3.0.14.140, подтверждена консультантом со слов пользователя.</x:v>
      </x:c>
      <x:c r="J260" s="13" t="str">
        <x:v>0</x:v>
      </x:c>
      <x:c r="K260" s="13" t="str">
        <x:v>5</x:v>
      </x:c>
      <x:c r="L260" s="7" t="b">
        <x:v>0</x:v>
      </x:c>
      <x:c r="M260" s="6" t="str">
        <x:v>not_applicable</x:v>
      </x:c>
      <x:c r="N260" s="6" t="str">
        <x:v>[]</x:v>
      </x:c>
      <x:c r="O260" s="7" t="b">
        <x:v>1</x:v>
      </x:c>
      <x:c r="P260" s="6" t="str">
        <x:v>K2</x:v>
      </x:c>
      <x:c r="Q260" s="6" t="str">
        <x:v>На заданном первом ходе данных достаточно; утверждённые источники дают применимый ответ для 3.0.14.140. Ожидается ответ по существу с источником.</x:v>
      </x:c>
      <x:c r="R260" s="6" t="str">
        <x:v>["omnidesk","real_anonymized","product_function"]</x:v>
      </x:c>
      <x:c r="S260" s="6" t="str">
        <x:v>answer</x:v>
      </x:c>
      <x:c r="T26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Получен ответ 1с: ИТС: - [URL] - [URL] Вы можете отслеживать статус своего обращения перейдя по ссылке HL-372313","Подтверждённый факт из поддержки: Поскольку вопрос по исключительно по типовому функционалу УНФ и, к сожалению, не можем смоделировать ситуацию на демо БД, то вопрос уточняем у разработчиков УНФ.","Подтверждённый факт из поддержки: О результате сообщим дополнительно.","Вежливый деловой русский и понятный следующий шаг; без обвинений и необоснованных обещаний."]</x:v>
      </x:c>
      <x:c r="U26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60" s="6" t="str">
        <x:v>[{"source_file":"/Users/maria/chatbot_rag/knowledge base/omnidesk_cases.jsonl","source_case_id":"175341156","source_jsonl_line":547,"target_message_index":2,"evidence_type":"historical_support_consultant_approved","support_message_indices":[1,3],"source_answer":"[Поддержка, сообщение №1]\nПолучен ответ 1с: ИТС: - [URL] - [URL] Вы можете отслеживать статус своего обращения перейдя по ссылке HL-372313\n\n[Поддержка, сообщение №3]\nПоскольку вопрос по исключительно по типовому функционалу УНФ и, к сожалению, не можем смоделировать ситуацию на демо БД, то вопрос уточняем у разработчиков УНФ. (1с). О результате сообщим дополнительно.","corpus_check":"confirmed_by_consultant_per_user","release_applicability":"confirmed_by_consultant","required_facts":["Получен ответ 1с: ИТС: - [URL] - [URL] Вы можете отслеживать статус своего обращения перейдя по ссылке HL-372313","Поскольку вопрос по исключительно по типовому функционалу УНФ и, к сожалению, не можем смоделировать ситуацию на демо БД, то вопрос уточняем у разработчиков УНФ.","О результате сообщим дополнительно."],"approval_basis":"user_confirmed_consultant_approval"}]</x:v>
      </x:c>
      <x:c r="W26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60" s="6" t="str">
        <x:v>approved</x:v>
      </x:c>
      <x:c r="Y260" s="6" t="str">
        <x:v>Карточка и применимость источников согласованы консультантом; утверждение подтверждено пользователем 25.10.2026.</x:v>
      </x:c>
      <x:c r="Z260" s="6" t="str">
        <x:v>G-fc8c7340b6159e</x:v>
      </x:c>
      <x:c r="AA260" s="6" t="str">
        <x:v>eval</x:v>
      </x:c>
      <x:c r="AB260" s="6" t="str">
        <x:v>real_anonymized_candidate</x:v>
      </x:c>
    </x:row>
    <x:row r="261" ht="115" customHeight="1">
      <x:c r="A261" s="6" t="str">
        <x:v>OMNI-39366654-M002</x:v>
      </x:c>
      <x:c r="B261" s="6" t="str">
        <x:v>real_anonymized_candidate:omnidesk:39366654:message:2</x:v>
      </x:c>
      <x:c r="C261" s="6" t="str">
        <x:v>{"history":[],"user_message":"Подскажите пожалуйста, как правильно настроить ограничения доступа к контрагентам. Группы доступа создали, в настройках пользователей ограничили, в журнале заказов пользователи видят только свои заказы, но через вкладку Продажи - Покупатели имеют выход на всю базу. Как сделать правильно?"}</x:v>
      </x:c>
      <x:c r="D261" s="6" t="str">
        <x:v>{"product":"1С:УНФ 8. Полиграфия 2","version":"3.0.14.140","retrieval_state":"available","handoff_consent":false,"source_case_id":"39366654","group_id":"omnidesk_39366654","target_message_index":2,"history_status":"approved_case_first_turn","reported_release":"not_reported","approval_basis":"user_confirmed_consultant_approval"}</x:v>
      </x:c>
      <x:c r="E261" s="6" t="str">
        <x:v>1С:УНФ 8. Полиграфия 2</x:v>
      </x:c>
      <x:c r="F261" s="6" t="str">
        <x:v>3.0.14.140</x:v>
      </x:c>
      <x:c r="G261" s="6" t="str">
        <x:v>not_reported</x:v>
      </x:c>
      <x:c r="H261" s="6" t="str">
        <x:v>default</x:v>
      </x:c>
      <x:c r="I261" s="6" t="str">
        <x:v>Применимость источников и эталона к 1С:УНФ 8. Полиграфия 2, релиз 3.0.14.140, подтверждена консультантом со слов пользователя.</x:v>
      </x:c>
      <x:c r="J261" s="13" t="str">
        <x:v>0</x:v>
      </x:c>
      <x:c r="K261" s="13" t="str">
        <x:v>5</x:v>
      </x:c>
      <x:c r="L261" s="7" t="b">
        <x:v>0</x:v>
      </x:c>
      <x:c r="M261" s="6" t="str">
        <x:v>not_applicable</x:v>
      </x:c>
      <x:c r="N261" s="6" t="str">
        <x:v>[]</x:v>
      </x:c>
      <x:c r="O261" s="7" t="b">
        <x:v>1</x:v>
      </x:c>
      <x:c r="P261" s="6" t="str">
        <x:v>K2</x:v>
      </x:c>
      <x:c r="Q261" s="6" t="str">
        <x:v>На заданном первом ходе данных достаточно; утверждённые источники дают применимый ответ для 3.0.14.140. Ожидается ответ по существу с источником.</x:v>
      </x:c>
      <x:c r="R261" s="6" t="str">
        <x:v>["omnidesk","real_anonymized","access_rights"]</x:v>
      </x:c>
      <x:c r="S261" s="6" t="str">
        <x:v>answer</x:v>
      </x:c>
      <x:c r="T26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После вчерашнего подключения уточню по этому вопросу: Для настройки этого ограничения нужно, чтобы у Пользователя не было Административного профиля и не было ни одного Полиграфического профиля.","Подтверждённый факт из поддержки: К нему добавить например, Продажи, Закупки, Производство.","Подтверждённый факт из поддержки: По умолчанию в этих уже созданных профилях вариант настойки доступа будет \"Разрешены все кроме\" На всех отмеченных профилях нужно поставит в виде доступа \"Группы контактов и контрагентов\" значение например, Соответственно у Контрагентов нужно отметить соответствующее значение.","Вежливый деловой русский и понятный следующий шаг; без обвинений и необоснованных обещаний."]</x:v>
      </x:c>
      <x:c r="U26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61" s="6" t="str">
        <x:v>[{"source_file":"/Users/maria/chatbot_rag/knowledge base/omnidesk_cases.jsonl","source_case_id":"39366654","source_jsonl_line":1030,"target_message_index":2,"evidence_type":"historical_support_consultant_approved","support_message_indices":[1,3,4],"source_answer":"[Поддержка, сообщение №1]\nПосле вчерашнего подключения уточню по этому вопросу: Для настройки этого ограничения нужно, чтобы у Пользователя не было Административного профиля и не было ни одного Полиграфического профиля. Чтобы можно было работать с программой (запустить) нужно будет создать отдельный профиль в котором указать одну роль \"Управление менеджером лицензий СЛК\". К нему добавить например, Продажи, Закупки, Производство. По умолчанию в этих уже созданных профилях вариант настойки доступа будет \"Разрешены все кроме\" На всех отмеченных профилях нужно поставит в виде доступа \"Группы контактов и контрагентов\" значение например, Соответственно у Контрагентов нужно отметить соответствующее значение. И все сработает. К сожалению, если у пользователя будет Полиграфическая роль, то эти настройки не сработают.\n\n[Поддержка, сообщение №3]\nНа скрине 2 (заладка Права) - это список Профилей групп доступа. И настроен/показан у вас он только для продаж. Нужно для всех профилей настраивать. Но у вас есть нюанс - \"Администратор\". Добавьте профиль с ролью Менеджер полиграфии, а Администратора уберите.\n\n[Поддержка, сообщение №4]\nЕще можете посмотреть здесь - [URL]","corpus_check":"confirmed_by_consultant_per_user","release_applicability":"confirmed_by_consultant","required_facts":["После вчерашнего подключения уточню по этому вопросу: Для настройки этого ограничения нужно, чтобы у Пользователя не было Административного профиля и не было ни одного Полиграфического профиля.","К нему добавить например, Продажи, Закупки, Производство.","По умолчанию в этих уже созданных профилях вариант настойки доступа будет \"Разрешены все кроме\" На всех отмеченных профилях нужно поставит в виде доступа \"Группы контактов и контрагентов\" значение например, Соответственно у Контрагентов нужно отметить соответствующее значение."],"approval_basis":"user_confirmed_consultant_approval"}]</x:v>
      </x:c>
      <x:c r="W26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61" s="6" t="str">
        <x:v>approved</x:v>
      </x:c>
      <x:c r="Y261" s="6" t="str">
        <x:v>Карточка и применимость источников согласованы консультантом; утверждение подтверждено пользователем 25.10.2026.</x:v>
      </x:c>
      <x:c r="Z261" s="6" t="str">
        <x:v>G-2a82fde8b081ae</x:v>
      </x:c>
      <x:c r="AA261" s="6" t="str">
        <x:v>eval</x:v>
      </x:c>
      <x:c r="AB261" s="6" t="str">
        <x:v>real_anonymized_candidate</x:v>
      </x:c>
    </x:row>
    <x:row r="262" ht="115" customHeight="1">
      <x:c r="A262" s="6" t="str">
        <x:v>OMNI-16068278-M001</x:v>
      </x:c>
      <x:c r="B262" s="6" t="str">
        <x:v>real_anonymized_candidate:omnidesk:16068278:message:1</x:v>
      </x:c>
      <x:c r="C262" s="6" t="str">
        <x:v>{"history":[],"user_message":"Я не нашёл нигде в программе в настройках зарплаты упоминания об авансе. Как учесть получение аванса сотрудниками? Спасибо! Сергей Кузёменский Компания Мега Пак+7"}</x:v>
      </x:c>
      <x:c r="D262" s="6" t="str">
        <x:v>{"product":"1С:УНФ 8. Полиграфия 2","version":"3.0.14.140","retrieval_state":"available","handoff_consent":false,"source_case_id":"16068278","group_id":"omnidesk_16068278","target_message_index":1,"history_status":"approved_case_first_turn","reported_release":"not_reported","approval_basis":"user_confirmed_consultant_approval"}</x:v>
      </x:c>
      <x:c r="E262" s="6" t="str">
        <x:v>1С:УНФ 8. Полиграфия 2</x:v>
      </x:c>
      <x:c r="F262" s="6" t="str">
        <x:v>3.0.14.140</x:v>
      </x:c>
      <x:c r="G262" s="6" t="str">
        <x:v>not_reported</x:v>
      </x:c>
      <x:c r="H262" s="6" t="str">
        <x:v>default</x:v>
      </x:c>
      <x:c r="I262" s="6" t="str">
        <x:v>Применимость источников и эталона к 1С:УНФ 8. Полиграфия 2, релиз 3.0.14.140, подтверждена консультантом со слов пользователя.</x:v>
      </x:c>
      <x:c r="J262" s="13" t="str">
        <x:v>0</x:v>
      </x:c>
      <x:c r="K262" s="13" t="str">
        <x:v>5</x:v>
      </x:c>
      <x:c r="L262" s="7" t="b">
        <x:v>0</x:v>
      </x:c>
      <x:c r="M262" s="6" t="str">
        <x:v>not_applicable</x:v>
      </x:c>
      <x:c r="N262" s="6" t="str">
        <x:v>[]</x:v>
      </x:c>
      <x:c r="O262" s="7" t="b">
        <x:v>1</x:v>
      </x:c>
      <x:c r="P262" s="6" t="str">
        <x:v>K2</x:v>
      </x:c>
      <x:c r="Q262" s="6" t="str">
        <x:v>На заданном первом ходе данных достаточно; утверждённые источники дают применимый ответ для 3.0.14.140. Ожидается ответ по существу с источником.</x:v>
      </x:c>
      <x:c r="R262" s="6" t="str">
        <x:v>["omnidesk","real_anonymized","product_function"]</x:v>
      </x:c>
      <x:c r="S262" s="6" t="str">
        <x:v>answer</x:v>
      </x:c>
      <x:c r="T26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контексте реализованного в программе блока \"Зарплаты\", вы можете ознакомиться по ссылке.","Вежливый деловой русский и понятный следующий шаг; без обвинений и необоснованных обещаний."]</x:v>
      </x:c>
      <x:c r="U26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62" s="6" t="str">
        <x:v>[{"source_file":"/Users/maria/chatbot_rag/knowledge base/omnidesk_cases.jsonl","source_case_id":"16068278","source_jsonl_line":1176,"target_message_index":1,"evidence_type":"historical_support_consultant_approved","support_message_indices":[2],"source_answer":"[Поддержка, сообщение №2]\nВ контексте реализованного в программе блока \"Зарплаты\", вы можете ознакомиться по ссылке. [URL]","corpus_check":"confirmed_by_consultant_per_user","release_applicability":"confirmed_by_consultant","required_facts":["В контексте реализованного в программе блока \"Зарплаты\", вы можете ознакомиться по ссылке."],"approval_basis":"user_confirmed_consultant_approval"}]</x:v>
      </x:c>
      <x:c r="W26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62" s="6" t="str">
        <x:v>approved</x:v>
      </x:c>
      <x:c r="Y262" s="6" t="str">
        <x:v>Карточка и применимость источников согласованы консультантом; утверждение подтверждено пользователем 25.10.2026.</x:v>
      </x:c>
      <x:c r="Z262" s="6" t="str">
        <x:v>G-092eea131b2f16</x:v>
      </x:c>
      <x:c r="AA262" s="6" t="str">
        <x:v>eval</x:v>
      </x:c>
      <x:c r="AB262" s="6" t="str">
        <x:v>real_anonymized_candidate</x:v>
      </x:c>
    </x:row>
    <x:row r="263" ht="115" customHeight="1">
      <x:c r="A263" s="6" t="str">
        <x:v>OMNI-35030975-M002</x:v>
      </x:c>
      <x:c r="B263" s="6" t="str">
        <x:v>real_anonymized_candidate:omnidesk:35030975:message:2</x:v>
      </x:c>
      <x:c r="C263" s="6" t="str">
        <x:v>{"history":[],"user_message":"подскажите это у нас так или что-то не то заполнено или общая проблема. В печатной форме Печать Документа (Расчета сложного заказа) не выводится итоговая сумма по материалам. Каждый раз приходится заполнять вручную. И два элемента неизвестного происхождения - не сильно мешают, но все же лишние...."}</x:v>
      </x:c>
      <x:c r="D263" s="6" t="str">
        <x:v>{"product":"1С:УНФ 8. Полиграфия 2","version":"3.0.14.140","retrieval_state":"available","handoff_consent":false,"source_case_id":"35030975","group_id":"omnidesk_35030975","target_message_index":2,"history_status":"approved_case_first_turn","reported_release":"not_reported","approval_basis":"user_confirmed_consultant_approval"}</x:v>
      </x:c>
      <x:c r="E263" s="6" t="str">
        <x:v>1С:УНФ 8. Полиграфия 2</x:v>
      </x:c>
      <x:c r="F263" s="6" t="str">
        <x:v>3.0.14.140</x:v>
      </x:c>
      <x:c r="G263" s="6" t="str">
        <x:v>not_reported</x:v>
      </x:c>
      <x:c r="H263" s="6" t="str">
        <x:v>default</x:v>
      </x:c>
      <x:c r="I263" s="6" t="str">
        <x:v>Применимость источников и эталона к 1С:УНФ 8. Полиграфия 2, релиз 3.0.14.140, подтверждена консультантом со слов пользователя.</x:v>
      </x:c>
      <x:c r="J263" s="13" t="str">
        <x:v>0</x:v>
      </x:c>
      <x:c r="K263" s="13" t="str">
        <x:v>5</x:v>
      </x:c>
      <x:c r="L263" s="7" t="b">
        <x:v>0</x:v>
      </x:c>
      <x:c r="M263" s="6" t="str">
        <x:v>diagnosis_required</x:v>
      </x:c>
      <x:c r="N263" s="6" t="str">
        <x:v>[]</x:v>
      </x:c>
      <x:c r="O263" s="7" t="b">
        <x:v>0</x:v>
      </x:c>
      <x:c r="P263" s="6" t="str">
        <x:v>K4</x:v>
      </x:c>
      <x:c r="Q263"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63" s="6" t="str">
        <x:v>["omnidesk","real_anonymized","materials","printing_forms","handoff"]</x:v>
      </x:c>
      <x:c r="S263" s="6" t="str">
        <x:v>offer_handoff</x:v>
      </x:c>
      <x:c r="T263"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подскажите это у нас так или что-то не то заполнено или общая проблема. В печатной форме Печать Документа (Расчета сложного заказа) не выводится итоговая сумма по материалам. Каждый раз приходится заполнять вручную. И два элемента неизвестного происхождения - не сильно мешают, но все же лишние.....","Запросить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63"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63" s="6" t="str">
        <x:v>[{"source_file":"/Users/maria/chatbot_rag/knowledge base/omnidesk_cases.jsonl","source_case_id":"35030975","source_jsonl_line":1063,"target_message_index":2,"evidence_type":"historical_support_consultant_approved","support_message_indices":[1],"source_answer":"[Поддержка, сообщение №1]\nПроблема была зафиксирована, будет исправлена в следующем релизе. Вам по этому вопросу также ответила Оксана.","corpus_check":"confirmed_by_consultant_per_user","release_applicability":"confirmed_by_consultant","approval_basis":"user_confirmed_consultant_approval"}]</x:v>
      </x:c>
      <x:c r="W263"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63" s="6" t="str">
        <x:v>approved</x:v>
      </x:c>
      <x:c r="Y263" s="6" t="str">
        <x:v>Карточка и применимость источников согласованы консультантом; утверждение подтверждено пользователем 25.10.2026.</x:v>
      </x:c>
      <x:c r="Z263" s="6" t="str">
        <x:v>G-22f062cb2803a4</x:v>
      </x:c>
      <x:c r="AA263" s="6" t="str">
        <x:v>eval</x:v>
      </x:c>
      <x:c r="AB263" s="6" t="str">
        <x:v>real_anonymized_candidate</x:v>
      </x:c>
    </x:row>
    <x:row r="264" ht="115" customHeight="1">
      <x:c r="A264" s="6" t="str">
        <x:v>OMNI-250900023-M001</x:v>
      </x:c>
      <x:c r="B264" s="6" t="str">
        <x:v>real_anonymized_candidate:omnidesk:250900023:message:1</x:v>
      </x:c>
      <x:c r="C264" s="6" t="str">
        <x:v>{"history":[],"user_message":"У нас как то заменились все счет учета затрат в Операциях... Срочно"}</x:v>
      </x:c>
      <x:c r="D264" s="6" t="str">
        <x:v>{"product":"1С:УНФ 8. Полиграфия 2","version":"3.0.14.140","retrieval_state":"available","handoff_consent":false,"source_case_id":"250900023","group_id":"omnidesk_250900023","target_message_index":1,"history_status":"approved_case_first_turn","reported_release":"not_reported","approval_basis":"user_confirmed_consultant_approval"}</x:v>
      </x:c>
      <x:c r="E264" s="6" t="str">
        <x:v>1С:УНФ 8. Полиграфия 2</x:v>
      </x:c>
      <x:c r="F264" s="6" t="str">
        <x:v>3.0.14.140</x:v>
      </x:c>
      <x:c r="G264" s="6" t="str">
        <x:v>not_reported</x:v>
      </x:c>
      <x:c r="H264" s="6" t="str">
        <x:v>default</x:v>
      </x:c>
      <x:c r="I264" s="6" t="str">
        <x:v>Применимость источников и эталона к 1С:УНФ 8. Полиграфия 2, релиз 3.0.14.140, подтверждена консультантом со слов пользователя.</x:v>
      </x:c>
      <x:c r="J264" s="13" t="str">
        <x:v>0</x:v>
      </x:c>
      <x:c r="K264" s="13" t="str">
        <x:v>5</x:v>
      </x:c>
      <x:c r="L264" s="7" t="b">
        <x:v>1</x:v>
      </x:c>
      <x:c r="M264" s="6" t="str">
        <x:v>not_applicable</x:v>
      </x:c>
      <x:c r="N264" s="6" t="str">
        <x:v>["Какие счета учёта затрат были до изменения и какие стали","После какого действия и в каких операциях обнаружена замена"]</x:v>
      </x:c>
      <x:c r="O264" s="7" t="b">
        <x:v>0</x:v>
      </x:c>
      <x:c r="P264" s="6" t="str">
        <x:v>K3</x:v>
      </x:c>
      <x:c r="Q264"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64" s="6" t="str">
        <x:v>["omnidesk","real_anonymized","product_function"]</x:v>
      </x:c>
      <x:c r="S264" s="6" t="str">
        <x:v>clarify</x:v>
      </x:c>
      <x:c r="T264" s="6" t="str">
        <x:v>["Запросить следующие существенные сведения: Какие счета учёта затрат были до изменения и какие стали; После какого действия и в каких операциях обнаружена замена.","Уточнение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64"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64" s="6" t="str">
        <x:v>[{"source_file":"/Users/maria/chatbot_rag/knowledge base/omnidesk_cases.jsonl","source_case_id":"250900023","source_jsonl_line":407,"target_message_index":1,"evidence_type":"historical_support_consultant_approved","support_message_indices":[2],"source_answer":"[Поддержка, сообщение №2]\nЧто заменилось, почему заменилось? Версия? Платформа? Есть пример в демо БД? Свежая демка [URL] - воспроизведите на ней. И опишите подробно последовательность действий со скриншотами.","corpus_check":"confirmed_by_consultant_per_user","release_applicability":"confirmed_by_consultant","approval_basis":"user_confirmed_consultant_approval"}]</x:v>
      </x:c>
      <x:c r="W264" s="6" t="str">
        <x:v>["Есть конкретный полезный вопрос о недостающих сведениях: Какие счета учёта затрат были до изменения и какие стали; После какого действия и в каких операциях обнаружена замена.","Нет произвольного решения и необоснованного отказа. Соблюдены доступная история и лимит пяти уточнений."]</x:v>
      </x:c>
      <x:c r="X264" s="6" t="str">
        <x:v>approved</x:v>
      </x:c>
      <x:c r="Y264" s="6" t="str">
        <x:v>Карточка и применимость источников согласованы консультантом; утверждение подтверждено пользователем 25.10.2026.</x:v>
      </x:c>
      <x:c r="Z264" s="6" t="str">
        <x:v>G-efce7e71d0ee6c</x:v>
      </x:c>
      <x:c r="AA264" s="6" t="str">
        <x:v>eval</x:v>
      </x:c>
      <x:c r="AB264" s="6" t="str">
        <x:v>real_anonymized_candidate</x:v>
      </x:c>
    </x:row>
    <x:row r="265" ht="115" customHeight="1">
      <x:c r="A265" s="6" t="str">
        <x:v>OMNI-44006612-M001</x:v>
      </x:c>
      <x:c r="B265" s="6" t="str">
        <x:v>real_anonymized_candidate:omnidesk:44006612:message:1</x:v>
      </x:c>
      <x:c r="C265" s="6" t="str">
        <x:v>{"history":[],"user_message":"Формула перевода кв.м. в пог. м.: Кв.м. = Длина (п.м.) х Ширина (м) По формуле получается: 1 000 (длина, п.м.) х 0,34 (ширина, м) = 340 кв.м. Программа считает: 1 000 (длина, п.м.) / 0,34 (ширина, м ) = 2 941,176 кв.м . – Это не квадратные метры! По Вашей формуле Лист А4: 0,297 / 0,210 = 1,41 кв.м.???"}</x:v>
      </x:c>
      <x:c r="D265" s="6" t="str">
        <x:v>{"product":"1С:УНФ 8. Полиграфия 2","version":"3.0.14.140","retrieval_state":"available","handoff_consent":false,"source_case_id":"44006612","group_id":"omnidesk_44006612","target_message_index":1,"history_status":"approved_case_first_turn","reported_release":"not_reported","approval_basis":"user_confirmed_consultant_approval"}</x:v>
      </x:c>
      <x:c r="E265" s="6" t="str">
        <x:v>1С:УНФ 8. Полиграфия 2</x:v>
      </x:c>
      <x:c r="F265" s="6" t="str">
        <x:v>3.0.14.140</x:v>
      </x:c>
      <x:c r="G265" s="6" t="str">
        <x:v>not_reported</x:v>
      </x:c>
      <x:c r="H265" s="6" t="str">
        <x:v>default</x:v>
      </x:c>
      <x:c r="I265" s="6" t="str">
        <x:v>Применимость источников и эталона к 1С:УНФ 8. Полиграфия 2, релиз 3.0.14.140, подтверждена консультантом со слов пользователя.</x:v>
      </x:c>
      <x:c r="J265" s="13" t="str">
        <x:v>0</x:v>
      </x:c>
      <x:c r="K265" s="13" t="str">
        <x:v>5</x:v>
      </x:c>
      <x:c r="L265" s="7" t="b">
        <x:v>0</x:v>
      </x:c>
      <x:c r="M265" s="6" t="str">
        <x:v>diagnosis_required</x:v>
      </x:c>
      <x:c r="N265" s="6" t="str">
        <x:v>[]</x:v>
      </x:c>
      <x:c r="O265" s="7" t="b">
        <x:v>0</x:v>
      </x:c>
      <x:c r="P265" s="6" t="str">
        <x:v>K4</x:v>
      </x:c>
      <x:c r="Q265"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65" s="6" t="str">
        <x:v>["omnidesk","real_anonymized","cost_calculation","handoff"]</x:v>
      </x:c>
      <x:c r="S265" s="6" t="str">
        <x:v>offer_handoff</x:v>
      </x:c>
      <x:c r="T265" s="6" t="str">
        <x:v>["Явно обозначить, что бот не может самостоятельно выполнить этот запрос или дать подтверждённое решение.","Предложить передачу оператору по вопросу: Формула перевода кв.м. в пог. м.: Кв.м. = Длина (п.м.) х Ширина (м) По формуле получается: 1 000 (длина, п.м.) х 0,34 (ширина, м) = 340 кв.м. Программа считает: 1 000 (длина, п.м.) / 0,34 (ширина, м ) = 2 941,176 кв.м . – Это не квадратные метры! По Вашей формуле Лист А4: 0,297 / 0,210 = 1,41 кв.м.?.","Запросить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65"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65" s="6" t="str">
        <x:v>[{"source_file":"/Users/maria/chatbot_rag/knowledge base/omnidesk_cases.jsonl","source_case_id":"44006612","source_jsonl_line":1017,"target_message_index":1,"evidence_type":"historical_support_consultant_approved","support_message_indices":[2],"source_answer":"[Поддержка, сообщение №2]\nОшибка зарегистрирована. Будет исправлена в следующем релизе. О дате выхода вы можете посмотреть на портале 1с, или могу сообщить дополнительно.","corpus_check":"confirmed_by_consultant_per_user","release_applicability":"confirmed_by_consultant","approval_basis":"user_confirmed_consultant_approval"}]</x:v>
      </x:c>
      <x:c r="W265"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65" s="6" t="str">
        <x:v>approved</x:v>
      </x:c>
      <x:c r="Y265" s="6" t="str">
        <x:v>Карточка и применимость источников согласованы консультантом; утверждение подтверждено пользователем 25.10.2026.</x:v>
      </x:c>
      <x:c r="Z265" s="6" t="str">
        <x:v>G-b6d2a1020f7cab</x:v>
      </x:c>
      <x:c r="AA265" s="6" t="str">
        <x:v>eval</x:v>
      </x:c>
      <x:c r="AB265" s="6" t="str">
        <x:v>real_anonymized_candidate</x:v>
      </x:c>
    </x:row>
    <x:row r="266" ht="115" customHeight="1">
      <x:c r="A266" s="6" t="str">
        <x:v>OMNI-403723716-M001</x:v>
      </x:c>
      <x:c r="B266" s="6" t="str">
        <x:v>real_anonymized_candidate:omnidesk:403723716:message:1</x:v>
      </x:c>
      <x:c r="C266" s="6" t="str">
        <x:v>{"history":[],"user_message":"Запрашивали демо на продукт \" 1С:УНФ 8. Полиграфия 2\" в пятницу, подскажите пожалуйста, когда нам смогут прислать доступ для ознакомления?"}</x:v>
      </x:c>
      <x:c r="D266" s="6" t="str">
        <x:v>{"product":"1С:УНФ 8. Полиграфия 2","version":"3.0.14.140","retrieval_state":"available","handoff_consent":false,"source_case_id":"403723716","group_id":"omnidesk_403723716","target_message_index":1,"history_status":"approved_case_first_turn","reported_release":"not_reported","approval_basis":"user_confirmed_consultant_approval"}</x:v>
      </x:c>
      <x:c r="E266" s="6" t="str">
        <x:v>1С:УНФ 8. Полиграфия 2</x:v>
      </x:c>
      <x:c r="F266" s="6" t="str">
        <x:v>3.0.14.140</x:v>
      </x:c>
      <x:c r="G266" s="6" t="str">
        <x:v>not_reported</x:v>
      </x:c>
      <x:c r="H266" s="6" t="str">
        <x:v>default</x:v>
      </x:c>
      <x:c r="I266" s="6" t="str">
        <x:v>Применимость источников и эталона к 1С:УНФ 8. Полиграфия 2, релиз 3.0.14.140, подтверждена консультантом со слов пользователя.</x:v>
      </x:c>
      <x:c r="J266" s="13" t="str">
        <x:v>0</x:v>
      </x:c>
      <x:c r="K266" s="13" t="str">
        <x:v>5</x:v>
      </x:c>
      <x:c r="L266" s="7" t="b">
        <x:v>0</x:v>
      </x:c>
      <x:c r="M266" s="6" t="str">
        <x:v>no_useful_question</x:v>
      </x:c>
      <x:c r="N266" s="6" t="str">
        <x:v>[]</x:v>
      </x:c>
      <x:c r="O266" s="7" t="b">
        <x:v>0</x:v>
      </x:c>
      <x:c r="P266" s="6" t="str">
        <x:v>K4</x:v>
      </x:c>
      <x:c r="Q266"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66" s="6" t="str">
        <x:v>["omnidesk","real_anonymized","access_rights","support","handoff"]</x:v>
      </x:c>
      <x:c r="S266" s="6" t="str">
        <x:v>offer_handoff</x:v>
      </x:c>
      <x:c r="T266" s="6" t="str">
        <x:v>["Явно обозначить, что бот не может самостоятельно выполнить этот запрос или дать подтверждённое решение.","Предложить передачу оператору по вопросу: Запрашивали демо на продукт \" 1С:УНФ 8. Полиграфия 2\" в пятницу, подскажите пожалуйста, когда нам смогут прислать доступ для ознакомления?.","Запросить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66"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66" s="6" t="str">
        <x:v>[{"source_file":"/Users/maria/chatbot_rag/knowledge base/omnidesk_cases.jsonl","source_case_id":"403723716","source_jsonl_line":53,"target_message_index":1,"evidence_type":"historical_support_consultant_approved","support_message_indices":[2],"source_answer":"[Поддержка, сообщение №2]\nОбращение направлено менеджерам. Они с вами свяжутся в ближайшее время.","corpus_check":"confirmed_by_consultant_per_user","release_applicability":"confirmed_by_consultant","approval_basis":"user_confirmed_consultant_approval"}]</x:v>
      </x:c>
      <x:c r="W266"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66" s="6" t="str">
        <x:v>approved</x:v>
      </x:c>
      <x:c r="Y266" s="6" t="str">
        <x:v>Карточка и применимость источников согласованы консультантом; утверждение подтверждено пользователем 25.10.2026.</x:v>
      </x:c>
      <x:c r="Z266" s="6" t="str">
        <x:v>G-c1e598cb478952</x:v>
      </x:c>
      <x:c r="AA266" s="6" t="str">
        <x:v>eval</x:v>
      </x:c>
      <x:c r="AB266" s="6" t="str">
        <x:v>real_anonymized_candidate</x:v>
      </x:c>
    </x:row>
    <x:row r="267" ht="115" customHeight="1">
      <x:c r="A267" s="6" t="str">
        <x:v>OMNI-51034405-M001</x:v>
      </x:c>
      <x:c r="B267" s="6" t="str">
        <x:v>real_anonymized_candidate:omnidesk:51034405:message:1</x:v>
      </x:c>
      <x:c r="C267" s="6" t="str">
        <x:v>{"history":[],"user_message":"мы являемся франчайзи 1С.\nПланируем внедрение 1С:УНФ 8. Полиграфия 2.\nЕсть ли возможность предоставить демо отраслевой составляющей\nпрограммного продукта?\nВижу только возможность потестировать типовой функционал УНФ."}</x:v>
      </x:c>
      <x:c r="D267" s="6" t="str">
        <x:v>{"product":"1С:УНФ 8. Полиграфия 2","version":"3.0.14.140","retrieval_state":"available","handoff_consent":false,"source_case_id":"51034405","group_id":"omnidesk_51034405","target_message_index":1,"history_status":"approved_case_first_turn","reported_release":"not_reported","approval_basis":"user_confirmed_consultant_approval"}</x:v>
      </x:c>
      <x:c r="E267" s="6" t="str">
        <x:v>1С:УНФ 8. Полиграфия 2</x:v>
      </x:c>
      <x:c r="F267" s="6" t="str">
        <x:v>3.0.14.140</x:v>
      </x:c>
      <x:c r="G267" s="6" t="str">
        <x:v>not_reported</x:v>
      </x:c>
      <x:c r="H267" s="6" t="str">
        <x:v>default</x:v>
      </x:c>
      <x:c r="I267" s="6" t="str">
        <x:v>Применимость источников и эталона к 1С:УНФ 8. Полиграфия 2, релиз 3.0.14.140, подтверждена консультантом со слов пользователя.</x:v>
      </x:c>
      <x:c r="J267" s="13" t="str">
        <x:v>0</x:v>
      </x:c>
      <x:c r="K267" s="13" t="str">
        <x:v>5</x:v>
      </x:c>
      <x:c r="L267" s="7" t="b">
        <x:v>0</x:v>
      </x:c>
      <x:c r="M267" s="6" t="str">
        <x:v>no_useful_question</x:v>
      </x:c>
      <x:c r="N267" s="6" t="str">
        <x:v>[]</x:v>
      </x:c>
      <x:c r="O267" s="7" t="b">
        <x:v>0</x:v>
      </x:c>
      <x:c r="P267" s="6" t="str">
        <x:v>K4</x:v>
      </x:c>
      <x:c r="Q267"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67" s="6" t="str">
        <x:v>["omnidesk","real_anonymized","support","handoff"]</x:v>
      </x:c>
      <x:c r="S267" s="6" t="str">
        <x:v>offer_handoff</x:v>
      </x:c>
      <x:c r="T267" s="6" t="str">
        <x:v>["Явно обозначить, что бот не может самостоятельно выполнить этот запрос или дать подтверждённое решение.","Предложить передачу оператору по вопросу: мы являемся франчайзи 1С. Планируем внедрение 1С:УНФ 8. Полиграфия 2. Есть ли возможность предоставить демо отраслевой составляющей программного продукта? Вижу только возможность потестировать типовой функционал УНФ..","Запросить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67"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67" s="6" t="str">
        <x:v>[{"source_file":"/Users/maria/chatbot_rag/knowledge base/omnidesk_cases.jsonl","source_case_id":"51034405","source_jsonl_line":1003,"target_message_index":1,"evidence_type":"historical_support_consultant_approved","support_message_indices":[2],"source_answer":"[Поддержка, сообщение №2]\nВаш запрос направляю менеджерам, они с вами свяжутся в ближайшее время для решения этого вопроса.","corpus_check":"confirmed_by_consultant_per_user","release_applicability":"confirmed_by_consultant","approval_basis":"user_confirmed_consultant_approval"}]</x:v>
      </x:c>
      <x:c r="W267"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67" s="6" t="str">
        <x:v>approved</x:v>
      </x:c>
      <x:c r="Y267" s="6" t="str">
        <x:v>Карточка и применимость источников согласованы консультантом; утверждение подтверждено пользователем 25.10.2026.</x:v>
      </x:c>
      <x:c r="Z267" s="6" t="str">
        <x:v>G-9402033f90b023</x:v>
      </x:c>
      <x:c r="AA267" s="6" t="str">
        <x:v>eval</x:v>
      </x:c>
      <x:c r="AB267" s="6" t="str">
        <x:v>real_anonymized_candidate</x:v>
      </x:c>
    </x:row>
    <x:row r="268" ht="115" customHeight="1">
      <x:c r="A268" s="6" t="str">
        <x:v>OMNI-423157455-M012</x:v>
      </x:c>
      <x:c r="B268" s="6" t="str">
        <x:v>real_anonymized_candidate:omnidesk:423157455:message:12</x:v>
      </x:c>
      <x:c r="C268" s="6" t="str">
        <x:v>{"history":[],"user_message":"Добрый день Попытался зайти под логином и паролем руководителя типографии (не администратор) Получил предупреждение (см. прикрепленный файл) В чем причина?"}</x:v>
      </x:c>
      <x:c r="D268" s="6" t="str">
        <x:v>{"product":"1С:УНФ 8. Полиграфия 2","version":"3.0.14.140","retrieval_state":"available","handoff_consent":false,"source_case_id":"423157455","group_id":"omnidesk_423157455","target_message_index":12,"history_status":"approved_case_first_turn","reported_release":"not_reported","approval_basis":"user_confirmed_consultant_approval"}</x:v>
      </x:c>
      <x:c r="E268" s="6" t="str">
        <x:v>1С:УНФ 8. Полиграфия 2</x:v>
      </x:c>
      <x:c r="F268" s="6" t="str">
        <x:v>3.0.14.140</x:v>
      </x:c>
      <x:c r="G268" s="6" t="str">
        <x:v>not_reported</x:v>
      </x:c>
      <x:c r="H268" s="6" t="str">
        <x:v>default</x:v>
      </x:c>
      <x:c r="I268" s="6" t="str">
        <x:v>Применимость источников и эталона к 1С:УНФ 8. Полиграфия 2, релиз 3.0.14.140, подтверждена консультантом со слов пользователя.</x:v>
      </x:c>
      <x:c r="J268" s="13" t="str">
        <x:v>0</x:v>
      </x:c>
      <x:c r="K268" s="13" t="str">
        <x:v>5</x:v>
      </x:c>
      <x:c r="L268" s="7" t="b">
        <x:v>1</x:v>
      </x:c>
      <x:c r="M268" s="6" t="str">
        <x:v>not_applicable</x:v>
      </x:c>
      <x:c r="N268" s="6" t="str">
        <x:v>["Точный текст предупреждения при входе","Какая группа доступа и профиль назначены пользователю"]</x:v>
      </x:c>
      <x:c r="O268" s="7" t="b">
        <x:v>0</x:v>
      </x:c>
      <x:c r="P268" s="6" t="str">
        <x:v>K3</x:v>
      </x:c>
      <x:c r="Q268"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68" s="6" t="str">
        <x:v>["omnidesk","real_anonymized","product_function"]</x:v>
      </x:c>
      <x:c r="S268" s="6" t="str">
        <x:v>clarify</x:v>
      </x:c>
      <x:c r="T268" s="6" t="str">
        <x:v>["Запросить следующие существенные сведения: Точный текст предупреждения при входе; Какая группа доступа и профиль назначены пользователю.","Уточнение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68"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68" s="6" t="str">
        <x:v>[{"source_file":"/Users/maria/chatbot_rag/knowledge base/omnidesk_cases.jsonl","source_case_id":"423157455","source_jsonl_line":4,"target_message_index":12,"evidence_type":"historical_support_consultant_approved","support_message_indices":[2,4,6,8,13],"source_answer":"[Поддержка, сообщение №2]\nРекомендуем ознакомиться с информацией по этому вопросу на портале ИТС 1с [URL] Для входа в программу 1С:Управление нашей фирмой 3.0 в режиме предприятия пользователю необходимо иметь хотя бы одну назначенную группу доступа и соответствующий ей профиль прав доступа . По умолчанию новому пользователю автоматически присваиваются: Группа доступа: «Продажи» Профиль: «Продажи» 1 Этот минимальный набор прав обеспечивает доступ к разделам: Продажи Главное Сервис Настройки 2 Отсутствие назначенной группы доступа делает вход в программу невозможным — такие пользователи подсвечиваются особым цветом в списке\n\n[Поддержка, сообщение №4]\nПришлите. 1. Скрин справка о программе (Платформа, версия конфигурации) 2. Пошагово со скриншотами на каждом этапе - создание пользователя и назначение ему профилей, групп, прав. Это нужно для воспроизведения ситуации на типовой демо бд.\n\n[Поддержка, сообщение №6]\nНет не будем. Мы будем воспроизводить в Демо базе, на наших а не на ваших ресурсах. В счистой демо нет Кадры без пароля. Это будем создавать заново. Вы ознакомились с информацией [URL] Группа доступа: «Продажи» Профиль: «Продажи» [URL] Этот минимальный набор прав обеспечивает доступ к разделам: Продажи Главное Сервис Настройки [URL] Вы также не указали версию платформы и версию вашего релиза конфигурации, укажите.\n\n[Поддержка, сообщение №8]\nХотим еще раз обратить ваше внимание на РЕГЛАМЕНТ РАБОТЫ СЛУЖБЫ ТЕХНИЧЕСКОЙ ПОДДЕРЖКИ Служба технической поддержки оказывает услуги консультирования для клиентов компании, имеющих действующую подписку на 1С:Комплект поддержки (1С:КП версии ПРОФ /Базовый) и активированного сервиса 1С:КП Отраслевой ( только для 1111 модуль «1С:Полиграфия 2. Модуль для 1CERP, 1С:КА и 1С:УТ» Пользователи отраслевых программных продуктов \"1С:УНФ 8. Полиграфия 2\", «1С:Полиграфия 2. Модуль для 1QERP, 1С:КА и 1С:УТ», могу получить консультацию в нашей фирме только при наличии действующего договора информационно-технологического сопровождения 1С:КП (версии ПРОФ /Базовый) и активированного сервиса1С:КП Отраслевой (только для 1111 модуль «1С:Полиграфия 2. Модуль для 1С:ERP, 1С:КА и 1С:УТ»). ЛИНИЯ КОНСУЛЬТАЦИЙ «1С:КП Базовый», «1С:КП ПРОФ» и «1С:КП ОТРАСЛЕВОЙ 1-ой категории» Консультации оказываются по типовым функциям программных продуктов с использованием примеров из демонстрационной базы; Продолжительность бесплатной консультации по телефону составляет не более 15 минут. Срок ответа по электронной почте до 3-х рабочих дней. Специалист технической поддержки отвечает на вопросы, исходя из того, что Клиент работает на последнем релизе программного продукта; Консультации по работе с неактуальными (старыми) релизами программных продуктов не оказываются. Обновите конфигурацию. [URL] В этом блоке откройте раздел по Полиграфии 2\n\n[Поддержка, сообщение №13]\nВ настройке прав доступа.","corpus_check":"confirmed_by_consultant_per_user","release_applicability":"confirmed_by_consultant","approval_basis":"user_confirmed_consultant_approval"}]</x:v>
      </x:c>
      <x:c r="W268" s="6" t="str">
        <x:v>["Есть конкретный полезный вопрос о недостающих сведениях: Точный текст предупреждения при входе; Какая группа доступа и профиль назначены пользователю.","Нет произвольного решения и необоснованного отказа. Соблюдены доступная история и лимит пяти уточнений."]</x:v>
      </x:c>
      <x:c r="X268" s="6" t="str">
        <x:v>approved</x:v>
      </x:c>
      <x:c r="Y268" s="6" t="str">
        <x:v>Карточка и применимость источников согласованы консультантом; утверждение подтверждено пользователем 25.10.2026.</x:v>
      </x:c>
      <x:c r="Z268" s="6" t="str">
        <x:v>G-698295a0abce4b</x:v>
      </x:c>
      <x:c r="AA268" s="6" t="str">
        <x:v>eval</x:v>
      </x:c>
      <x:c r="AB268" s="6" t="str">
        <x:v>real_anonymized_candidate</x:v>
      </x:c>
    </x:row>
    <x:row r="269" ht="115" customHeight="1">
      <x:c r="A269" s="6" t="str">
        <x:v>OMNI-420602126-M017</x:v>
      </x:c>
      <x:c r="B269" s="6" t="str">
        <x:v>real_anonymized_candidate:omnidesk:420602126:message:17</x:v>
      </x:c>
      <x:c r="C269" s="6" t="str">
        <x:v>{"history":[],"user_message":"Типография Принт 24, обслуживается по1С. [ИНН] Вопрос: У сотрудников в связи с их правами нет возможности сохранения данных (файлов) в 1С. При том что у них открыта опция \"работа с файлами\" (я пробовал разные варианты). Сохранять данные могут только в случае открытия им прав Администратора. Вопрос почему так происходит и как это устранить? Во вложении принт скин логов ошибки."}</x:v>
      </x:c>
      <x:c r="D269" s="6" t="str">
        <x:v>{"product":"1С:УНФ 8. Полиграфия 2","version":"3.0.14.140","retrieval_state":"available","handoff_consent":false,"source_case_id":"420602126","group_id":"omnidesk_420602126","target_message_index":17,"history_status":"approved_case_first_turn","reported_release":"not_reported","approval_basis":"user_confirmed_consultant_approval"}</x:v>
      </x:c>
      <x:c r="E269" s="6" t="str">
        <x:v>1С:УНФ 8. Полиграфия 2</x:v>
      </x:c>
      <x:c r="F269" s="6" t="str">
        <x:v>3.0.14.140</x:v>
      </x:c>
      <x:c r="G269" s="6" t="str">
        <x:v>not_reported</x:v>
      </x:c>
      <x:c r="H269" s="6" t="str">
        <x:v>default</x:v>
      </x:c>
      <x:c r="I269" s="6" t="str">
        <x:v>Применимость источников и эталона к 1С:УНФ 8. Полиграфия 2, релиз 3.0.14.140, подтверждена консультантом со слов пользователя.</x:v>
      </x:c>
      <x:c r="J269" s="13" t="str">
        <x:v>0</x:v>
      </x:c>
      <x:c r="K269" s="13" t="str">
        <x:v>5</x:v>
      </x:c>
      <x:c r="L269" s="7" t="b">
        <x:v>1</x:v>
      </x:c>
      <x:c r="M269" s="6" t="str">
        <x:v>not_applicable</x:v>
      </x:c>
      <x:c r="N269" s="6" t="str">
        <x:v>["Где хранятся файлы: в базе или в томах","Какие права назначены пользователю и на каком шаге сохранения возникает ошибка","Текст ошибки без персональных данных"]</x:v>
      </x:c>
      <x:c r="O269" s="7" t="b">
        <x:v>0</x:v>
      </x:c>
      <x:c r="P269" s="6" t="str">
        <x:v>K3</x:v>
      </x:c>
      <x:c r="Q269"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69" s="6" t="str">
        <x:v>["omnidesk","real_anonymized","access_rights"]</x:v>
      </x:c>
      <x:c r="S269" s="6" t="str">
        <x:v>clarify</x:v>
      </x:c>
      <x:c r="T269" s="6" t="str">
        <x:v>["Запросить следующие существенные сведения: Где хранятся файлы: в базе или в томах; Какие права назначены пользователю и на каком шаге сохранения возникает ошибка; Текст ошибки без персональных данных.","Уточнение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69"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69" s="6" t="str">
        <x:v>[{"source_file":"/Users/maria/chatbot_rag/knowledge base/omnidesk_cases.jsonl","source_case_id":"420602126","source_jsonl_line":1,"target_message_index":17,"evidence_type":"historical_support_consultant_approved","support_message_indices":[2,4,5,6,7,9,11],"source_answer":"[Поддержка, сообщение №2]\nПриведите конкретный пример. Что, кто, где хочет сохранить. Есть 2 варианта хранения файлов. Первый непосредственно в БД (двоичные данные) (сильно увеличивает размер бд, и снижает скорость работы). Второй в томах на диске. Кокой у вас вариант? Напишите поподробней, нам же нужно будет смоделировать вашу ситуацию на примере в демо бд.\n\n[Поддержка, сообщение №4]\nКакие у вас насройки хранения файлов в типовом блоке УНФ Настройки хранения макетов в блоке Полиграфия Какие права пользователя (подробно) под которым возникает это служебное сообщение?\n\n[Поддержка, сообщение №6]\nНет, ЕСТЬ отметьте Роли. - Правая кнопка мыши.\n\n[Поддержка, сообщение №7]\nЭтому пользователю нужно подключить роль Можете это сделать в конфигураторе\n\n[Поддержка, сообщение №9]\nНет не все, Именно этот. Через конфигуратор, это как вариант. По другому - Создайте профиль групп доступа Создайте Группу доступа с этим профилем и добавляйте нужных\n\n[Поддержка, сообщение №11]\nВ начале обращения вам высылали ответ со скринами.","corpus_check":"confirmed_by_consultant_per_user","release_applicability":"confirmed_by_consultant","approval_basis":"user_confirmed_consultant_approval"}]</x:v>
      </x:c>
      <x:c r="W269" s="6" t="str">
        <x:v>["Есть конкретный полезный вопрос о недостающих сведениях: Где хранятся файлы: в базе или в томах; Какие права назначены пользователю и на каком шаге сохранения возникает ошибка; Текст ошибки без персональных данных.","Нет произвольного решения и необоснованного отказа. Соблюдены доступная история и лимит пяти уточнений."]</x:v>
      </x:c>
      <x:c r="X269" s="6" t="str">
        <x:v>approved</x:v>
      </x:c>
      <x:c r="Y269" s="6" t="str">
        <x:v>Карточка и применимость источников согласованы консультантом; утверждение подтверждено пользователем 25.10.2026.</x:v>
      </x:c>
      <x:c r="Z269" s="6" t="str">
        <x:v>G-5c57c8b0bdf72e</x:v>
      </x:c>
      <x:c r="AA269" s="6" t="str">
        <x:v>eval</x:v>
      </x:c>
      <x:c r="AB269" s="6" t="str">
        <x:v>real_anonymized_candidate</x:v>
      </x:c>
    </x:row>
    <x:row r="270" ht="115" customHeight="1">
      <x:c r="A270" s="6" t="str">
        <x:v>OMNI-19199198-M002</x:v>
      </x:c>
      <x:c r="B270" s="6" t="str">
        <x:v>real_anonymized_candidate:omnidesk:19199198:message:2</x:v>
      </x:c>
      <x:c r="C270" s="6" t="str">
        <x:v>{"history":[],"user_message":"Понадобилось изменить размер формы Сборного тиража. Не получилось. Проверил остальные. Во всех формах заказов не работает масштабирование. Спасибо! Сергей Кузёменский Компания Мега Пак+7 +[LONG_NUMBER]"}</x:v>
      </x:c>
      <x:c r="D270" s="6" t="str">
        <x:v>{"product":"1С:УНФ 8. Полиграфия 2","version":"3.0.14.140","retrieval_state":"available","handoff_consent":false,"source_case_id":"19199198","group_id":"omnidesk_19199198","target_message_index":2,"history_status":"approved_case_first_turn","reported_release":"not_reported","approval_basis":"user_confirmed_consultant_approval"}</x:v>
      </x:c>
      <x:c r="E270" s="6" t="str">
        <x:v>1С:УНФ 8. Полиграфия 2</x:v>
      </x:c>
      <x:c r="F270" s="6" t="str">
        <x:v>3.0.14.140</x:v>
      </x:c>
      <x:c r="G270" s="6" t="str">
        <x:v>not_reported</x:v>
      </x:c>
      <x:c r="H270" s="6" t="str">
        <x:v>default</x:v>
      </x:c>
      <x:c r="I270" s="6" t="str">
        <x:v>Применимость источников и эталона к 1С:УНФ 8. Полиграфия 2, релиз 3.0.14.140, подтверждена консультантом со слов пользователя.</x:v>
      </x:c>
      <x:c r="J270" s="13" t="str">
        <x:v>0</x:v>
      </x:c>
      <x:c r="K270" s="13" t="str">
        <x:v>5</x:v>
      </x:c>
      <x:c r="L270" s="7" t="b">
        <x:v>1</x:v>
      </x:c>
      <x:c r="M270" s="6" t="str">
        <x:v>not_applicable</x:v>
      </x:c>
      <x:c r="N270" s="6" t="str">
        <x:v>["Каким действием изменяется размер формы и что именно не изменяется","Речь о размере окна, масштабе интерфейса или печатной форме"]</x:v>
      </x:c>
      <x:c r="O270" s="7" t="b">
        <x:v>0</x:v>
      </x:c>
      <x:c r="P270" s="6" t="str">
        <x:v>K3</x:v>
      </x:c>
      <x:c r="Q270"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70" s="6" t="str">
        <x:v>["omnidesk","real_anonymized","product_function"]</x:v>
      </x:c>
      <x:c r="S270" s="6" t="str">
        <x:v>clarify</x:v>
      </x:c>
      <x:c r="T270" s="6" t="str">
        <x:v>["Запросить следующие существенные сведения: Каким действием изменяется размер формы и что именно не изменяется; Речь о размере окна, масштабе интерфейса или печатной форме.","Уточнение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70"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70" s="6" t="str">
        <x:v>[{"source_file":"/Users/maria/chatbot_rag/knowledge base/omnidesk_cases.jsonl","source_case_id":"19199198","source_jsonl_line":1138,"target_message_index":2,"evidence_type":"historical_support_consultant_approved","support_message_indices":[1,3,4],"source_answer":"[Поддержка, сообщение №1]\nВопрос обсудил с разработчиками. Так как наши объекты содержат ОЧЕНЬ много элементов на форме ( в отличии от типовых документов с 1-2 таблицами и все), мы указали им компактный режим, чтобы по максимому все элементы были видны на форме при открытии.А если в конфигураторе выбран конкретный варианта масштаба ( компактный) , в этом случае типовая функция изменение масштаба не будет действовать на форму. во вложении картинки как форма выглядит сейчас , как выглядела бы если б масштаб был обычный и если б попытались при обычном режиме уместить все элементы на форме до масштаба 70% Так, что на ближайшее время это изменять не планируется.\n\n[Поддержка, сообщение №3]\nВы о чем? Пришлите скрины с масштабированием.\n\n[Поддержка, сообщение №4]\nЕсли вы о То скрины не нужны.","corpus_check":"confirmed_by_consultant_per_user","release_applicability":"confirmed_by_consultant","approval_basis":"user_confirmed_consultant_approval"}]</x:v>
      </x:c>
      <x:c r="W270" s="6" t="str">
        <x:v>["Есть конкретный полезный вопрос о недостающих сведениях: Каким действием изменяется размер формы и что именно не изменяется; Речь о размере окна, масштабе интерфейса или печатной форме.","Нет произвольного решения и необоснованного отказа. Соблюдены доступная история и лимит пяти уточнений."]</x:v>
      </x:c>
      <x:c r="X270" s="6" t="str">
        <x:v>approved</x:v>
      </x:c>
      <x:c r="Y270" s="6" t="str">
        <x:v>Карточка и применимость источников согласованы консультантом; утверждение подтверждено пользователем 25.10.2026.</x:v>
      </x:c>
      <x:c r="Z270" s="6" t="str">
        <x:v>G-c8dcdd318cea3a</x:v>
      </x:c>
      <x:c r="AA270" s="6" t="str">
        <x:v>eval</x:v>
      </x:c>
      <x:c r="AB270" s="6" t="str">
        <x:v>real_anonymized_candidate</x:v>
      </x:c>
    </x:row>
    <x:row r="271" ht="115" customHeight="1">
      <x:c r="A271" s="6" t="str">
        <x:v>OMNI-8167627-M001</x:v>
      </x:c>
      <x:c r="B271" s="6" t="str">
        <x:v>real_anonymized_candidate:omnidesk:8167627:message:1</x:v>
      </x:c>
      <x:c r="C271" s="6" t="str">
        <x:v>{"history":[],"user_message":"Подскажите пожалуйста, работает ли 1С:Полиграфия как кассовая программа, есть ли в ней РМК или схожий по функционалу инструмент? Можно ли подключить онлайн кассу?"}</x:v>
      </x:c>
      <x:c r="D271" s="6" t="str">
        <x:v>{"product":"1С:УНФ 8. Полиграфия 2","version":"3.0.14.140","retrieval_state":"available","handoff_consent":false,"source_case_id":"8167627","group_id":"omnidesk_8167627","target_message_index":1,"history_status":"approved_case_first_turn","reported_release":"not_reported","approval_basis":"user_confirmed_consultant_approval"}</x:v>
      </x:c>
      <x:c r="E271" s="6" t="str">
        <x:v>1С:УНФ 8. Полиграфия 2</x:v>
      </x:c>
      <x:c r="F271" s="6" t="str">
        <x:v>3.0.14.140</x:v>
      </x:c>
      <x:c r="G271" s="6" t="str">
        <x:v>not_reported</x:v>
      </x:c>
      <x:c r="H271" s="6" t="str">
        <x:v>default</x:v>
      </x:c>
      <x:c r="I271" s="6" t="str">
        <x:v>Применимость источников и эталона к 1С:УНФ 8. Полиграфия 2, релиз 3.0.14.140, подтверждена консультантом со слов пользователя.</x:v>
      </x:c>
      <x:c r="J271" s="13" t="str">
        <x:v>0</x:v>
      </x:c>
      <x:c r="K271" s="13" t="str">
        <x:v>5</x:v>
      </x:c>
      <x:c r="L271" s="7" t="b">
        <x:v>1</x:v>
      </x:c>
      <x:c r="M271" s="6" t="str">
        <x:v>not_applicable</x:v>
      </x:c>
      <x:c r="N271" s="6" t="str">
        <x:v>["Какую задачу должна решать касса: розничная продажа, рабочее место кассира или только печать чека","Какая модель кассы и способ подключения планируются"]</x:v>
      </x:c>
      <x:c r="O271" s="7" t="b">
        <x:v>0</x:v>
      </x:c>
      <x:c r="P271" s="6" t="str">
        <x:v>K3</x:v>
      </x:c>
      <x:c r="Q271"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71" s="6" t="str">
        <x:v>["omnidesk","real_anonymized","product_function"]</x:v>
      </x:c>
      <x:c r="S271" s="6" t="str">
        <x:v>clarify</x:v>
      </x:c>
      <x:c r="T271" s="6" t="str">
        <x:v>["Запросить следующие существенные сведения: Какую задачу должна решать касса: розничная продажа, рабочее место кассира или только печать чека; Какая модель кассы и способ подключения планируются.","Уточнение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71"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71" s="6" t="str">
        <x:v>[{"source_file":"/Users/maria/chatbot_rag/knowledge base/omnidesk_cases.jsonl","source_case_id":"8167627","source_jsonl_line":1313,"target_message_index":1,"evidence_type":"historical_support_consultant_approved","support_message_indices":[2,4,7],"source_answer":"[Поддержка, сообщение №2]\nПожалуйста, укажите наименование организации, на которую зарегистрирован программный продукт, его регистрационный номер. Его можно уточнить в регистрационной карточке или на диске и книгах входящих в поставку. Версию платформы. Версию релиза конфигурации. Клиент-серверный или файловый вариант работы. Эту информацию можете узнать запустив программу в режиме Предприятия или Конфигуратора из меню Справка- О программе Консультация оказывается только при наличии актуальной подписке на 1С:ИТС (Информационно-технологическое сопровождение)\n\n[Поддержка, сообщение №4]\nЭтот канал только для пользователей имеющих подписку ИТС. На сайте 1с по конфигурациям в которых и когда была реализована поддержка торгового оборудования в связи с вступлением закона 54-ФЗ есть полная информация. Уточните там. Примерно это было, конец января- февраль. И по кассовому оборудованию там же. Список обновляется.\n\n[Поддержка, сообщение №7]\n[URL] [URL] фз в упп","corpus_check":"confirmed_by_consultant_per_user","release_applicability":"confirmed_by_consultant","approval_basis":"user_confirmed_consultant_approval"}]</x:v>
      </x:c>
      <x:c r="W271" s="6" t="str">
        <x:v>["Есть конкретный полезный вопрос о недостающих сведениях: Какую задачу должна решать касса: розничная продажа, рабочее место кассира или только печать чека; Какая модель кассы и способ подключения планируются.","Нет произвольного решения и необоснованного отказа. Соблюдены доступная история и лимит пяти уточнений."]</x:v>
      </x:c>
      <x:c r="X271" s="6" t="str">
        <x:v>approved</x:v>
      </x:c>
      <x:c r="Y271" s="6" t="str">
        <x:v>Карточка и применимость источников согласованы консультантом; утверждение подтверждено пользователем 25.10.2026.</x:v>
      </x:c>
      <x:c r="Z271" s="6" t="str">
        <x:v>G-f0dfaa3c6cadeb</x:v>
      </x:c>
      <x:c r="AA271" s="6" t="str">
        <x:v>eval</x:v>
      </x:c>
      <x:c r="AB271" s="6" t="str">
        <x:v>real_anonymized_candidate</x:v>
      </x:c>
    </x:row>
    <x:row r="272" ht="115" customHeight="1">
      <x:c r="A272" s="6" t="str">
        <x:v>OMNI-386472712-M001</x:v>
      </x:c>
      <x:c r="B272" s="6" t="str">
        <x:v>real_anonymized_candidate:omnidesk:386472712:message:1</x:v>
      </x:c>
      <x:c r="C272" s="6" t="str">
        <x:v>{"history":[],"user_message":"Возможно ли получить демо версию 1С:УНФ 8. Полиграфия 2?"}</x:v>
      </x:c>
      <x:c r="D272" s="6" t="str">
        <x:v>{"product":"1С:УНФ 8. Полиграфия 2","version":"3.0.14.140","retrieval_state":"available","handoff_consent":false,"source_case_id":"386472712","group_id":"omnidesk_386472712","target_message_index":1,"history_status":"approved_case_first_turn","reported_release":"not_reported","approval_basis":"user_confirmed_consultant_approval"}</x:v>
      </x:c>
      <x:c r="E272" s="6" t="str">
        <x:v>1С:УНФ 8. Полиграфия 2</x:v>
      </x:c>
      <x:c r="F272" s="6" t="str">
        <x:v>3.0.14.140</x:v>
      </x:c>
      <x:c r="G272" s="6" t="str">
        <x:v>not_reported</x:v>
      </x:c>
      <x:c r="H272" s="6" t="str">
        <x:v>default</x:v>
      </x:c>
      <x:c r="I272" s="6" t="str">
        <x:v>Применимость источников и эталона к 1С:УНФ 8. Полиграфия 2, релиз 3.0.14.140, подтверждена консультантом со слов пользователя.</x:v>
      </x:c>
      <x:c r="J272" s="13" t="str">
        <x:v>0</x:v>
      </x:c>
      <x:c r="K272" s="13" t="str">
        <x:v>5</x:v>
      </x:c>
      <x:c r="L272" s="7" t="b">
        <x:v>0</x:v>
      </x:c>
      <x:c r="M272" s="6" t="str">
        <x:v>no_useful_question</x:v>
      </x:c>
      <x:c r="N272" s="6" t="str">
        <x:v>[]</x:v>
      </x:c>
      <x:c r="O272" s="7" t="b">
        <x:v>0</x:v>
      </x:c>
      <x:c r="P272" s="6" t="str">
        <x:v>K4</x:v>
      </x:c>
      <x:c r="Q272"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72" s="6" t="str">
        <x:v>["omnidesk","real_anonymized","support","handoff"]</x:v>
      </x:c>
      <x:c r="S272" s="6" t="str">
        <x:v>offer_handoff</x:v>
      </x:c>
      <x:c r="T272" s="6" t="str">
        <x:v>["Явно обозначить, что бот не может самостоятельно выполнить этот запрос или дать подтверждённое решение.","Предложить передачу оператору по вопросу: Возможно ли получить демо версию 1С:УНФ 8. Полиграфия 2?.","Запросить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72"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72" s="6" t="str">
        <x:v>[{"source_file":"/Users/maria/chatbot_rag/knowledge base/omnidesk_cases.jsonl","source_case_id":"386472712","source_jsonl_line":81,"target_message_index":1,"evidence_type":"historical_support_consultant_approved","support_message_indices":[2],"source_answer":"[Поддержка, сообщение №2]\nВаше обращение направлено менеджерам. Они с вами свяжутся в ближайшее время по этому вопросу.","corpus_check":"confirmed_by_consultant_per_user","release_applicability":"confirmed_by_consultant","approval_basis":"user_confirmed_consultant_approval"}]</x:v>
      </x:c>
      <x:c r="W272"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72" s="6" t="str">
        <x:v>approved</x:v>
      </x:c>
      <x:c r="Y272" s="6" t="str">
        <x:v>Карточка и применимость источников согласованы консультантом; утверждение подтверждено пользователем 25.10.2026.</x:v>
      </x:c>
      <x:c r="Z272" s="6" t="str">
        <x:v>G-da61a5bba61671</x:v>
      </x:c>
      <x:c r="AA272" s="6" t="str">
        <x:v>eval</x:v>
      </x:c>
      <x:c r="AB272" s="6" t="str">
        <x:v>real_anonymized_candidate</x:v>
      </x:c>
    </x:row>
    <x:row r="273" ht="115" customHeight="1">
      <x:c r="A273" s="6" t="str">
        <x:v>OMNI-16791171-M004</x:v>
      </x:c>
      <x:c r="B273" s="6" t="str">
        <x:v>real_anonymized_candidate:omnidesk:16791171:message:4</x:v>
      </x:c>
      <x:c r="C273" s="6" t="str">
        <x:v>{"history":[],"user_message":"Невозможно провести расчет заказа без включенной роли \"полные права\". Доступ к новой в этой\nверсии константе \"П_АвтоматическиЗаполнятьФактическоеКоличествоМатериалаДаннымиПлана\" есть только у роли \"Полные права\".\nИсправьте пожалуйста как можно быстрее."}</x:v>
      </x:c>
      <x:c r="D273" s="6" t="str">
        <x:v>{"product":"1С:УНФ 8. Полиграфия 2","version":"3.0.14.140","retrieval_state":"available","handoff_consent":false,"source_case_id":"16791171","group_id":"omnidesk_16791171","target_message_index":4,"history_status":"approved_case_first_turn","reported_release":"not_reported","approval_basis":"user_confirmed_consultant_approval"}</x:v>
      </x:c>
      <x:c r="E273" s="6" t="str">
        <x:v>1С:УНФ 8. Полиграфия 2</x:v>
      </x:c>
      <x:c r="F273" s="6" t="str">
        <x:v>3.0.14.140</x:v>
      </x:c>
      <x:c r="G273" s="6" t="str">
        <x:v>not_reported</x:v>
      </x:c>
      <x:c r="H273" s="6" t="str">
        <x:v>default</x:v>
      </x:c>
      <x:c r="I273" s="6" t="str">
        <x:v>Применимость источников и эталона к 1С:УНФ 8. Полиграфия 2, релиз 3.0.14.140, подтверждена консультантом со слов пользователя.</x:v>
      </x:c>
      <x:c r="J273" s="13" t="str">
        <x:v>0</x:v>
      </x:c>
      <x:c r="K273" s="13" t="str">
        <x:v>5</x:v>
      </x:c>
      <x:c r="L273" s="7" t="b">
        <x:v>0</x:v>
      </x:c>
      <x:c r="M273" s="6" t="str">
        <x:v>diagnosis_required</x:v>
      </x:c>
      <x:c r="N273" s="6" t="str">
        <x:v>[]</x:v>
      </x:c>
      <x:c r="O273" s="7" t="b">
        <x:v>0</x:v>
      </x:c>
      <x:c r="P273" s="6" t="str">
        <x:v>K4</x:v>
      </x:c>
      <x:c r="Q273"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73" s="6" t="str">
        <x:v>["omnidesk","real_anonymized","materials","access_rights","handoff"]</x:v>
      </x:c>
      <x:c r="S273" s="6" t="str">
        <x:v>offer_handoff</x:v>
      </x:c>
      <x:c r="T273" s="6" t="str">
        <x:v>["Явно обозначить, что бот не может самостоятельно выполнить этот запрос или дать подтверждённое решение.","Предложить передачу оператору по вопросу: Невозможно провести расчет заказа без включенной роли \"полные права\". Доступ к новой в этой версии константе \"П_АвтоматическиЗаполнятьФактическоеКоличествоМатериалаДаннымиПлана\" есть только у роли \"Полные права\". Исправьте пожалуйста как можно быстрее..","Запросить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73"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73" s="6" t="str">
        <x:v>[{"source_file":"/Users/maria/chatbot_rag/knowledge base/omnidesk_cases.jsonl","source_case_id":"16791171","source_jsonl_line":1164,"target_message_index":4,"evidence_type":"historical_support_consultant_approved","support_message_indices":[1,3,6,9,10,12,13],"source_answer":"[Поддержка, сообщение №1]\nНа следующей неделе выйдет релиз с исправленной этой ошибкой. Можете дождаться выхода на портале. Или загрузить этот файл конфигурации. Релиз [IP_ADDRESS] (по ссылке - . cf) [URL]\n\n[Поддержка, сообщение №3]\nНа портале 1 с тоже вышло обновление.\n\n[Поддержка, сообщение №6]\nПожалуйста, укажите наименование организации, на которую зарегистрирован программный продукт, его регистрационный номер. Его можно уточнить в регистрационной карточке или на диске и книгах входящих в поставку. Версию платформы. Версию релиза конфигурации. Клиент-серверный или файловый вариант работы. Эту информацию можете узнать запустив программу в режиме Предприятия или Конфигуратора из меню Справка- О программе Консультация оказывается только при наличии актуальной подписке на 1С:ИТС (Информационно-технологическое сопровождение)\n\n[Поддержка, сообщение №9]\nВаше сообщение переслал разработчикам. В следующем обновлении будет исправлено.\n\n[Поддержка, сообщение №10]\nЕсли вам срочно. Можем удаленно подключиться и исправить.\n\n[Поддержка, сообщение №12]\nУточню у разработчиков. Напишу уже завтра.\n\n[Поддержка, сообщение №13]\nИнформации на портале по плановому обновлению УПП нет. Судя по по последней динамике - раз в месяц. Обычно мы выпускаем в течение двух недель после выхода обновления УПП. Если нужно, то наши специалисты готовы подключиться и поправить. С поддержки снимать не нужно. Просто дать возможность редактирования. Чтобы потом, все вернуть в исходный режим, могу вместе с очередным обновлением предоставить соответствующий \"Дистрибутив\". С него возьмете .cf и накатите на вашу конфигурацию. Режим восстановиться.","corpus_check":"confirmed_by_consultant_per_user","release_applicability":"confirmed_by_consultant","approval_basis":"user_confirmed_consultant_approval"}]</x:v>
      </x:c>
      <x:c r="W273"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73" s="6" t="str">
        <x:v>approved</x:v>
      </x:c>
      <x:c r="Y273" s="6" t="str">
        <x:v>Карточка и применимость источников согласованы консультантом; утверждение подтверждено пользователем 25.10.2026.</x:v>
      </x:c>
      <x:c r="Z273" s="6" t="str">
        <x:v>G-4ef239d7b4bada</x:v>
      </x:c>
      <x:c r="AA273" s="6" t="str">
        <x:v>eval</x:v>
      </x:c>
      <x:c r="AB273" s="6" t="str">
        <x:v>real_anonymized_candidate</x:v>
      </x:c>
    </x:row>
    <x:row r="274" ht="115" customHeight="1">
      <x:c r="A274" s="6" t="str">
        <x:v>OMNI-342472728-M001</x:v>
      </x:c>
      <x:c r="B274" s="6" t="str">
        <x:v>real_anonymized_candidate:omnidesk:342472728:message:1</x:v>
      </x:c>
      <x:c r="C274" s="6" t="str">
        <x:v>{"history":[],"user_message":"Уточните, пожалуйста, на каких условиях можно с Вами сотрудничать в части внедрения 1С:Полиграфия? Интересует процент по всем переданным позициям, в т.ч. лицензиям и услугам Благодарю!"}</x:v>
      </x:c>
      <x:c r="D274" s="6" t="str">
        <x:v>{"product":"1С:УНФ 8. Полиграфия 2","version":"3.0.14.140","retrieval_state":"available","handoff_consent":false,"source_case_id":"342472728","group_id":"omnidesk_342472728","target_message_index":1,"history_status":"approved_case_first_turn","reported_release":"not_reported","approval_basis":"user_confirmed_consultant_approval"}</x:v>
      </x:c>
      <x:c r="E274" s="6" t="str">
        <x:v>1С:УНФ 8. Полиграфия 2</x:v>
      </x:c>
      <x:c r="F274" s="6" t="str">
        <x:v>3.0.14.140</x:v>
      </x:c>
      <x:c r="G274" s="6" t="str">
        <x:v>not_reported</x:v>
      </x:c>
      <x:c r="H274" s="6" t="str">
        <x:v>default</x:v>
      </x:c>
      <x:c r="I274" s="6" t="str">
        <x:v>Применимость источников и эталона к 1С:УНФ 8. Полиграфия 2, релиз 3.0.14.140, подтверждена консультантом со слов пользователя.</x:v>
      </x:c>
      <x:c r="J274" s="13" t="str">
        <x:v>0</x:v>
      </x:c>
      <x:c r="K274" s="13" t="str">
        <x:v>5</x:v>
      </x:c>
      <x:c r="L274" s="7" t="b">
        <x:v>0</x:v>
      </x:c>
      <x:c r="M274" s="6" t="str">
        <x:v>no_useful_question</x:v>
      </x:c>
      <x:c r="N274" s="6" t="str">
        <x:v>[]</x:v>
      </x:c>
      <x:c r="O274" s="7" t="b">
        <x:v>0</x:v>
      </x:c>
      <x:c r="P274" s="6" t="str">
        <x:v>K4</x:v>
      </x:c>
      <x:c r="Q274"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74" s="6" t="str">
        <x:v>["omnidesk","real_anonymized","licensing","support","handoff"]</x:v>
      </x:c>
      <x:c r="S274" s="6" t="str">
        <x:v>offer_handoff</x:v>
      </x:c>
      <x:c r="T274" s="6" t="str">
        <x:v>["Явно обозначить, что бот не может самостоятельно выполнить этот запрос или дать подтверждённое решение.","Предложить передачу оператору по вопросу: Уточните, пожалуйста, на каких условиях можно с Вами сотрудничать в части внедрения 1С:Полиграфия? Интересует процент по всем переданным позициям, в т.ч. лицензиям и услугам Благодарю!.","Запросить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74"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74" s="6" t="str">
        <x:v>[{"source_file":"/Users/maria/chatbot_rag/knowledge base/omnidesk_cases.jsonl","source_case_id":"342472728","source_jsonl_line":206,"target_message_index":1,"evidence_type":"historical_support_consultant_approved","support_message_indices":[2],"source_answer":"[Поддержка, сообщение №2]\nЗапрос отправлен менеджерам. Они с вами свяжутся в ближайшее время.","corpus_check":"confirmed_by_consultant_per_user","release_applicability":"confirmed_by_consultant","approval_basis":"user_confirmed_consultant_approval"}]</x:v>
      </x:c>
      <x:c r="W274"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74" s="6" t="str">
        <x:v>approved</x:v>
      </x:c>
      <x:c r="Y274" s="6" t="str">
        <x:v>Карточка и применимость источников согласованы консультантом; утверждение подтверждено пользователем 25.10.2026.</x:v>
      </x:c>
      <x:c r="Z274" s="6" t="str">
        <x:v>G-bba526ffdcf771</x:v>
      </x:c>
      <x:c r="AA274" s="6" t="str">
        <x:v>eval</x:v>
      </x:c>
      <x:c r="AB274" s="6" t="str">
        <x:v>real_anonymized_candidate</x:v>
      </x:c>
    </x:row>
    <x:row r="275" ht="115" customHeight="1">
      <x:c r="A275" s="6" t="str">
        <x:v>OMNI-327041405-M001</x:v>
      </x:c>
      <x:c r="B275" s="6" t="str">
        <x:v>real_anonymized_candidate:omnidesk:327041405:message:1</x:v>
      </x:c>
      <x:c r="C275" s="6" t="str">
        <x:v>{"history":[],"user_message":"Возможен ли переход на 1С:Полиграфию для ERP/КА ?\nСейчас у нас 1С:Полиграфия для УНФ, но платформа УНФ начинает уже раздражать своими ограничениями в некоторых аспектах.\nМожем ли мы перейти на 1С:Полиграфию для ERP/КА ?\nСколько времени это займет и сколько будет стоить?"}</x:v>
      </x:c>
      <x:c r="D275" s="6" t="str">
        <x:v>{"product":"1С:УНФ 8. Полиграфия 2","version":"3.0.14.140","retrieval_state":"available","handoff_consent":false,"source_case_id":"327041405","group_id":"omnidesk_327041405","target_message_index":1,"history_status":"approved_case_first_turn","reported_release":"not_reported","approval_basis":"user_confirmed_consultant_approval"}</x:v>
      </x:c>
      <x:c r="E275" s="6" t="str">
        <x:v>1С:УНФ 8. Полиграфия 2</x:v>
      </x:c>
      <x:c r="F275" s="6" t="str">
        <x:v>3.0.14.140</x:v>
      </x:c>
      <x:c r="G275" s="6" t="str">
        <x:v>not_reported</x:v>
      </x:c>
      <x:c r="H275" s="6" t="str">
        <x:v>default</x:v>
      </x:c>
      <x:c r="I275" s="6" t="str">
        <x:v>Применимость источников и эталона к 1С:УНФ 8. Полиграфия 2, релиз 3.0.14.140, подтверждена консультантом со слов пользователя.</x:v>
      </x:c>
      <x:c r="J275" s="13" t="str">
        <x:v>0</x:v>
      </x:c>
      <x:c r="K275" s="13" t="str">
        <x:v>5</x:v>
      </x:c>
      <x:c r="L275" s="7" t="b">
        <x:v>0</x:v>
      </x:c>
      <x:c r="M275" s="6" t="str">
        <x:v>no_useful_question</x:v>
      </x:c>
      <x:c r="N275" s="6" t="str">
        <x:v>[]</x:v>
      </x:c>
      <x:c r="O275" s="7" t="b">
        <x:v>0</x:v>
      </x:c>
      <x:c r="P275" s="6" t="str">
        <x:v>K4</x:v>
      </x:c>
      <x:c r="Q275"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75" s="6" t="str">
        <x:v>["omnidesk","real_anonymized","product_function","handoff"]</x:v>
      </x:c>
      <x:c r="S275" s="6" t="str">
        <x:v>offer_handoff</x:v>
      </x:c>
      <x:c r="T275" s="6" t="str">
        <x:v>["Явно обозначить, что бот не может самостоятельно выполнить этот запрос или дать подтверждённое решение.","Предложить передачу оператору по вопросу: Возможен ли переход на 1С:Полиграфию для ERP/КА ? Сейчас у нас 1С:Полиграфия для УНФ, но платформа УНФ начинает уже раздражать своими ограничениями в некоторых аспектах. Можем ли мы перейти на 1С:Полиграфию для ERP/КА ? Сколько времени это займет и сколько будет стоить?.","Запросить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75"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75" s="6" t="str">
        <x:v>[{"source_file":"/Users/maria/chatbot_rag/knowledge base/omnidesk_cases.jsonl","source_case_id":"327041405","source_jsonl_line":255,"target_message_index":1,"evidence_type":"historical_support_consultant_approved","support_message_indices":[2,3],"source_answer":"[Поддержка, сообщение №2]\nЭтот вопрос в компетенции менеджеров. Ваше обращение передано им. Они с вами свяжутся в ближайшее время по этому вопросу.\n\n[Поддержка, сообщение №3]\nЭтот вопрос в компетенции менеджеров. Ваше обращение передано им. Они с вами свяжутся в ближайшее время по этому вопросу.","corpus_check":"confirmed_by_consultant_per_user","release_applicability":"confirmed_by_consultant","approval_basis":"user_confirmed_consultant_approval"}]</x:v>
      </x:c>
      <x:c r="W275"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75" s="6" t="str">
        <x:v>approved</x:v>
      </x:c>
      <x:c r="Y275" s="6" t="str">
        <x:v>Карточка и применимость источников согласованы консультантом; утверждение подтверждено пользователем 25.10.2026.</x:v>
      </x:c>
      <x:c r="Z275" s="6" t="str">
        <x:v>G-691b13c2f38668</x:v>
      </x:c>
      <x:c r="AA275" s="6" t="str">
        <x:v>eval</x:v>
      </x:c>
      <x:c r="AB275" s="6" t="str">
        <x:v>real_anonymized_candidate</x:v>
      </x:c>
    </x:row>
    <x:row r="276" ht="115" customHeight="1">
      <x:c r="A276" s="6" t="str">
        <x:v>OMNI-327041119-M001</x:v>
      </x:c>
      <x:c r="B276" s="6" t="str">
        <x:v>real_anonymized_candidate:omnidesk:327041119:message:1</x:v>
      </x:c>
      <x:c r="C276" s="6" t="str">
        <x:v>{"history":[],"user_message":"Какую CRM посоветуете для 1С:Полиграфии?\nМы связались с Рарусом и обнаружили что 1С:CRM для УНФ снята с поддержки,\nтак что один вариант сразу отпадает.\nИли переходить на 1С:Полиграфию для ERP/КА?"}</x:v>
      </x:c>
      <x:c r="D276" s="6" t="str">
        <x:v>{"product":"1С:УНФ 8. Полиграфия 2","version":"3.0.14.140","retrieval_state":"available","handoff_consent":false,"source_case_id":"327041119","group_id":"omnidesk_327041119","target_message_index":1,"history_status":"approved_case_first_turn","reported_release":"not_reported","approval_basis":"user_confirmed_consultant_approval"}</x:v>
      </x:c>
      <x:c r="E276" s="6" t="str">
        <x:v>1С:УНФ 8. Полиграфия 2</x:v>
      </x:c>
      <x:c r="F276" s="6" t="str">
        <x:v>3.0.14.140</x:v>
      </x:c>
      <x:c r="G276" s="6" t="str">
        <x:v>not_reported</x:v>
      </x:c>
      <x:c r="H276" s="6" t="str">
        <x:v>default</x:v>
      </x:c>
      <x:c r="I276" s="6" t="str">
        <x:v>Применимость источников и эталона к 1С:УНФ 8. Полиграфия 2, релиз 3.0.14.140, подтверждена консультантом со слов пользователя.</x:v>
      </x:c>
      <x:c r="J276" s="13" t="str">
        <x:v>0</x:v>
      </x:c>
      <x:c r="K276" s="13" t="str">
        <x:v>5</x:v>
      </x:c>
      <x:c r="L276" s="7" t="b">
        <x:v>0</x:v>
      </x:c>
      <x:c r="M276" s="6" t="str">
        <x:v>no_useful_question</x:v>
      </x:c>
      <x:c r="N276" s="6" t="str">
        <x:v>[]</x:v>
      </x:c>
      <x:c r="O276" s="7" t="b">
        <x:v>0</x:v>
      </x:c>
      <x:c r="P276" s="6" t="str">
        <x:v>K4</x:v>
      </x:c>
      <x:c r="Q276"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76" s="6" t="str">
        <x:v>["omnidesk","real_anonymized","support","handoff"]</x:v>
      </x:c>
      <x:c r="S276" s="6" t="str">
        <x:v>offer_handoff</x:v>
      </x:c>
      <x:c r="T276" s="6" t="str">
        <x:v>["Явно обозначить, что бот не может самостоятельно выполнить этот запрос или дать подтверждённое решение.","Предложить передачу оператору по вопросу: Какую CRM посоветуете для 1С:Полиграфии? Мы связались с Рарусом и обнаружили что 1С:CRM для УНФ снята с поддержки, так что один вариант сразу отпадает. Или переходить на 1С:Полиграфию для ERP/КА?.","Запросить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76"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76" s="6" t="str">
        <x:v>[{"source_file":"/Users/maria/chatbot_rag/knowledge base/omnidesk_cases.jsonl","source_case_id":"327041119","source_jsonl_line":256,"target_message_index":1,"evidence_type":"historical_support_consultant_approved","support_message_indices":[2],"source_answer":"[Поддержка, сообщение №2]\nЭтот вопрос в компетенции менеджеров. Ваше обращение передано им. Они с вами свяжутся в ближайшее время по этому вопросу.","corpus_check":"confirmed_by_consultant_per_user","release_applicability":"confirmed_by_consultant","approval_basis":"user_confirmed_consultant_approval"}]</x:v>
      </x:c>
      <x:c r="W276"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76" s="6" t="str">
        <x:v>approved</x:v>
      </x:c>
      <x:c r="Y276" s="6" t="str">
        <x:v>Карточка и применимость источников согласованы консультантом; утверждение подтверждено пользователем 25.10.2026.</x:v>
      </x:c>
      <x:c r="Z276" s="6" t="str">
        <x:v>G-51b6efc92b68bc</x:v>
      </x:c>
      <x:c r="AA276" s="6" t="str">
        <x:v>eval</x:v>
      </x:c>
      <x:c r="AB276" s="6" t="str">
        <x:v>real_anonymized_candidate</x:v>
      </x:c>
    </x:row>
    <x:row r="277" ht="115" customHeight="1">
      <x:c r="A277" s="6" t="str">
        <x:v>OMNI-110076507-M001</x:v>
      </x:c>
      <x:c r="B277" s="6" t="str">
        <x:v>real_anonymized_candidate:omnidesk:110076507:message:1</x:v>
      </x:c>
      <x:c r="C277" s="6" t="str">
        <x:v>{"history":[],"user_message":"Есть ли готовые примеры интеграции 1С:Полиграфии с CRM Битрикс24?\nОчень не хочется изобретать велосипед, наверняка ведь кому-то до нас уже удалось сделать такую интеграцию?"}</x:v>
      </x:c>
      <x:c r="D277" s="6" t="str">
        <x:v>{"product":"1С:УНФ 8. Полиграфия 2","version":"3.0.14.140","retrieval_state":"available","handoff_consent":false,"source_case_id":"110076507","group_id":"omnidesk_110076507","target_message_index":1,"history_status":"approved_case_first_turn","reported_release":"not_reported","approval_basis":"user_confirmed_consultant_approval"}</x:v>
      </x:c>
      <x:c r="E277" s="6" t="str">
        <x:v>1С:УНФ 8. Полиграфия 2</x:v>
      </x:c>
      <x:c r="F277" s="6" t="str">
        <x:v>3.0.14.140</x:v>
      </x:c>
      <x:c r="G277" s="6" t="str">
        <x:v>not_reported</x:v>
      </x:c>
      <x:c r="H277" s="6" t="str">
        <x:v>default</x:v>
      </x:c>
      <x:c r="I277" s="6" t="str">
        <x:v>Применимость источников и эталона к 1С:УНФ 8. Полиграфия 2, релиз 3.0.14.140, подтверждена консультантом со слов пользователя.</x:v>
      </x:c>
      <x:c r="J277" s="13" t="str">
        <x:v>0</x:v>
      </x:c>
      <x:c r="K277" s="13" t="str">
        <x:v>5</x:v>
      </x:c>
      <x:c r="L277" s="7" t="b">
        <x:v>0</x:v>
      </x:c>
      <x:c r="M277" s="6" t="str">
        <x:v>no_useful_question</x:v>
      </x:c>
      <x:c r="N277" s="6" t="str">
        <x:v>[]</x:v>
      </x:c>
      <x:c r="O277" s="7" t="b">
        <x:v>0</x:v>
      </x:c>
      <x:c r="P277" s="6" t="str">
        <x:v>K4</x:v>
      </x:c>
      <x:c r="Q277"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77" s="6" t="str">
        <x:v>["omnidesk","real_anonymized","integration","handoff"]</x:v>
      </x:c>
      <x:c r="S277" s="6" t="str">
        <x:v>offer_handoff</x:v>
      </x:c>
      <x:c r="T277" s="6" t="str">
        <x:v>["Явно обозначить, что бот не может самостоятельно выполнить этот запрос или дать подтверждённое решение.","Предложить передачу оператору по вопросу: Есть ли готовые примеры интеграции 1С:Полиграфии с CRM Битрикс24? Очень не хочется изобретать велосипед, наверняка ведь кому-то до нас уже удалось сделать такую интеграцию?.","Запросить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77"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77" s="6" t="str">
        <x:v>[{"source_file":"/Users/maria/chatbot_rag/knowledge base/omnidesk_cases.jsonl","source_case_id":"110076507","source_jsonl_line":776,"target_message_index":1,"evidence_type":"historical_support_consultant_approved","support_message_indices":[2],"source_answer":"[Поддержка, сообщение №2]\nВаше обращение направлено менеджерам. Они свяжутся с вами в ближайший час.","corpus_check":"confirmed_by_consultant_per_user","release_applicability":"confirmed_by_consultant","approval_basis":"user_confirmed_consultant_approval"}]</x:v>
      </x:c>
      <x:c r="W277"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77" s="6" t="str">
        <x:v>approved</x:v>
      </x:c>
      <x:c r="Y277" s="6" t="str">
        <x:v>Карточка и применимость источников согласованы консультантом; утверждение подтверждено пользователем 25.10.2026.</x:v>
      </x:c>
      <x:c r="Z277" s="6" t="str">
        <x:v>G-d0a4c438c265bb</x:v>
      </x:c>
      <x:c r="AA277" s="6" t="str">
        <x:v>eval</x:v>
      </x:c>
      <x:c r="AB277" s="6" t="str">
        <x:v>real_anonymized_candidate</x:v>
      </x:c>
    </x:row>
    <x:row r="278" ht="115" customHeight="1">
      <x:c r="A278" s="6" t="str">
        <x:v>OMNI-18101040-M001</x:v>
      </x:c>
      <x:c r="B278" s="6" t="str">
        <x:v>real_anonymized_candidate:omnidesk:18101040:message:1</x:v>
      </x:c>
      <x:c r="C278" s="6" t="str">
        <x:v>{"history":[],"user_message":"К сожалению, получается следующее: Попробовал создать документ 1. При выборе Контрагента выдает ошибку Ошибка та же, что и в других модулях Расчёта заказов. Логично, в справочнике Контактные лица нет поля Владелец. 2. Движемся дальше, раскладываем детали на листе. Нажимаем расчёт печати, получаем ошибку Судя по всему, из-за неё все останавливается и не заполняются Материалы на соответствующей закладке (т. е. ни красок, ни офсетных пластин, ни бумаги) Попробовал добавить материалы вручную, получил ошибку 3. Движемся дальше, добавим послепечатные операции и попробуем посчитать В итоге программа предложила мне учесть только 80% штампа и клише, предположительно из-за неполного заполнения листа. Как-то неожиданно. Хотелось бы учитывать штамп и клише целиком… :) Ещё один момент: Если в документе нормирования операции встречается нулевое значение расчёт операции выдает ошибку При установке любого ненулевого значения ошибка исчезает. Нулевые значения в 1С надо обрабатывать! В целом, модуль интересный, но откровенно сырой. Расчёт сделать не получилось. Прошу донести сведения об обнаруженных ошибках до разработчиков."}</x:v>
      </x:c>
      <x:c r="D278" s="6" t="str">
        <x:v>{"product":"1С:УНФ 8. Полиграфия 2","version":"3.0.14.140","retrieval_state":"available","handoff_consent":false,"source_case_id":"18101040","group_id":"omnidesk_18101040","target_message_index":1,"history_status":"approved_case_first_turn","reported_release":"not_reported","approval_basis":"user_confirmed_consultant_approval"}</x:v>
      </x:c>
      <x:c r="E278" s="6" t="str">
        <x:v>1С:УНФ 8. Полиграфия 2</x:v>
      </x:c>
      <x:c r="F278" s="6" t="str">
        <x:v>3.0.14.140</x:v>
      </x:c>
      <x:c r="G278" s="6" t="str">
        <x:v>not_reported</x:v>
      </x:c>
      <x:c r="H278" s="6" t="str">
        <x:v>default</x:v>
      </x:c>
      <x:c r="I278" s="6" t="str">
        <x:v>Применимость источников и эталона к 1С:УНФ 8. Полиграфия 2, релиз 3.0.14.140, подтверждена консультантом со слов пользователя.</x:v>
      </x:c>
      <x:c r="J278" s="13" t="str">
        <x:v>0</x:v>
      </x:c>
      <x:c r="K278" s="13" t="str">
        <x:v>5</x:v>
      </x:c>
      <x:c r="L278" s="7" t="b">
        <x:v>0</x:v>
      </x:c>
      <x:c r="M278" s="6" t="str">
        <x:v>diagnosis_required</x:v>
      </x:c>
      <x:c r="N278" s="6" t="str">
        <x:v>[]</x:v>
      </x:c>
      <x:c r="O278" s="7" t="b">
        <x:v>0</x:v>
      </x:c>
      <x:c r="P278" s="6" t="str">
        <x:v>K4</x:v>
      </x:c>
      <x:c r="Q278"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78" s="6" t="str">
        <x:v>["omnidesk","real_anonymized","cost_calculation","materials","handoff"]</x:v>
      </x:c>
      <x:c r="S278" s="6" t="str">
        <x:v>offer_handoff</x:v>
      </x:c>
      <x:c r="T278" s="6" t="str">
        <x:v>["Явно обозначить, что бот не может самостоятельно выполнить этот запрос или дать подтверждённое решение.","Предложить передачу оператору по вопросу: К сожалению, получается следующее: Попробовал создать документ 1. При выборе Контрагента выдает ошибку Ошибка та же, что и в других модулях Расчёта заказов. Логично, в справочнике Контактные лица нет поля Владелец. 2. Движемся дальше, раскладываем детали на листе. Нажимаем расчёт печати, получаем ош.","Запросить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78"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78" s="6" t="str">
        <x:v>[{"source_file":"/Users/maria/chatbot_rag/knowledge base/omnidesk_cases.jsonl","source_case_id":"18101040","source_jsonl_line":1151,"target_message_index":1,"evidence_type":"historical_support_consultant_approved","support_message_indices":[2],"source_answer":"[Поддержка, сообщение №2]\nНе смог дозвониться по [PHONE]. По вопросам: По первому - проблему зарегистрировали - будет исправлена в следующем релизе. По свежим - ( к сожалению в пятницу-понедельник меня не будет). Ваши тесты с Документом \"Сборный тираж\" отправлю разработчикам (согласовал с ними) . Они с вами свяжутся.","corpus_check":"confirmed_by_consultant_per_user","release_applicability":"confirmed_by_consultant","approval_basis":"user_confirmed_consultant_approval"}]</x:v>
      </x:c>
      <x:c r="W278"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78" s="6" t="str">
        <x:v>approved</x:v>
      </x:c>
      <x:c r="Y278" s="6" t="str">
        <x:v>Карточка и применимость источников согласованы консультантом; утверждение подтверждено пользователем 25.10.2026.</x:v>
      </x:c>
      <x:c r="Z278" s="6" t="str">
        <x:v>G-292c84080264c1</x:v>
      </x:c>
      <x:c r="AA278" s="6" t="str">
        <x:v>eval</x:v>
      </x:c>
      <x:c r="AB278" s="6" t="str">
        <x:v>real_anonymized_candidate</x:v>
      </x:c>
    </x:row>
    <x:row r="279" ht="115" customHeight="1">
      <x:c r="A279" s="6" t="str">
        <x:v>OMNI-17148923-M001</x:v>
      </x:c>
      <x:c r="B279" s="6" t="str">
        <x:v>real_anonymized_candidate:omnidesk:17148923:message:1</x:v>
      </x:c>
      <x:c r="C279" s="6" t="str">
        <x:v>{"history":[],"user_message":"У клиента есть программа 1С:Полиграфия и Лицензия на 5 р.м.\nМы можем сделать апгрейд на 20 р.м. и сколько это будет стоить ?\nЗаранее спасибо за ответ."}</x:v>
      </x:c>
      <x:c r="D279" s="6" t="str">
        <x:v>{"product":"1С:УНФ 8. Полиграфия 2","version":"3.0.14.140","retrieval_state":"available","handoff_consent":false,"source_case_id":"17148923","group_id":"omnidesk_17148923","target_message_index":1,"history_status":"approved_case_first_turn","reported_release":"not_reported","approval_basis":"user_confirmed_consultant_approval"}</x:v>
      </x:c>
      <x:c r="E279" s="6" t="str">
        <x:v>1С:УНФ 8. Полиграфия 2</x:v>
      </x:c>
      <x:c r="F279" s="6" t="str">
        <x:v>3.0.14.140</x:v>
      </x:c>
      <x:c r="G279" s="6" t="str">
        <x:v>not_reported</x:v>
      </x:c>
      <x:c r="H279" s="6" t="str">
        <x:v>default</x:v>
      </x:c>
      <x:c r="I279" s="6" t="str">
        <x:v>Применимость источников и эталона к 1С:УНФ 8. Полиграфия 2, релиз 3.0.14.140, подтверждена консультантом со слов пользователя.</x:v>
      </x:c>
      <x:c r="J279" s="13" t="str">
        <x:v>0</x:v>
      </x:c>
      <x:c r="K279" s="13" t="str">
        <x:v>5</x:v>
      </x:c>
      <x:c r="L279" s="7" t="b">
        <x:v>0</x:v>
      </x:c>
      <x:c r="M279" s="6" t="str">
        <x:v>no_useful_question</x:v>
      </x:c>
      <x:c r="N279" s="6" t="str">
        <x:v>[]</x:v>
      </x:c>
      <x:c r="O279" s="7" t="b">
        <x:v>0</x:v>
      </x:c>
      <x:c r="P279" s="6" t="str">
        <x:v>K4</x:v>
      </x:c>
      <x:c r="Q279"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79" s="6" t="str">
        <x:v>["omnidesk","real_anonymized","licensing","handoff"]</x:v>
      </x:c>
      <x:c r="S279" s="6" t="str">
        <x:v>offer_handoff</x:v>
      </x:c>
      <x:c r="T279" s="6" t="str">
        <x:v>["Явно обозначить, что бот не может самостоятельно выполнить этот запрос или дать подтверждённое решение.","Предложить передачу оператору по вопросу: У клиента есть программа 1С:Полиграфия и Лицензия на 5 р.м. Мы можем сделать апгрейд на 20 р.м. и сколько это будет стоить ? Заранее спасибо за ответ..","Запросить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79"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79" s="6" t="str">
        <x:v>[{"source_file":"/Users/maria/chatbot_rag/knowledge base/omnidesk_cases.jsonl","source_case_id":"17148923","source_jsonl_line":1162,"target_message_index":1,"evidence_type":"historical_support_consultant_approved","support_message_indices":[2],"source_answer":"[Поддержка, сообщение №2]\nВаш запрос перенаправлен менеджерам. Они с вами свяжутся в ближайшее время. Кстати. А кокой рег. N 1С:Полиграфия ?","corpus_check":"confirmed_by_consultant_per_user","release_applicability":"confirmed_by_consultant","approval_basis":"user_confirmed_consultant_approval"}]</x:v>
      </x:c>
      <x:c r="W279"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79" s="6" t="str">
        <x:v>approved</x:v>
      </x:c>
      <x:c r="Y279" s="6" t="str">
        <x:v>Карточка и применимость источников согласованы консультантом; утверждение подтверждено пользователем 25.10.2026.</x:v>
      </x:c>
      <x:c r="Z279" s="6" t="str">
        <x:v>G-3f0bd8354d72c1</x:v>
      </x:c>
      <x:c r="AA279" s="6" t="str">
        <x:v>eval</x:v>
      </x:c>
      <x:c r="AB279" s="6" t="str">
        <x:v>real_anonymized_candidate</x:v>
      </x:c>
    </x:row>
    <x:row r="280" ht="115" customHeight="1">
      <x:c r="A280" s="6" t="str">
        <x:v>OMNI-342657248-M001</x:v>
      </x:c>
      <x:c r="B280" s="6" t="str">
        <x:v>real_anonymized_candidate:omnidesk:342657248:message:1</x:v>
      </x:c>
      <x:c r="C280" s="6" t="str">
        <x:v>{"history":[],"user_message":"подскажите пожалуйста возможно ли предоставить демо доступ к 1С:УНФ 8. Полиграфия 2 ?"}</x:v>
      </x:c>
      <x:c r="D280" s="6" t="str">
        <x:v>{"product":"1С:УНФ 8. Полиграфия 2","version":"3.0.14.140","retrieval_state":"available","handoff_consent":false,"source_case_id":"342657248","group_id":"omnidesk_342657248","target_message_index":1,"history_status":"approved_case_first_turn","reported_release":"not_reported","approval_basis":"user_confirmed_consultant_approval"}</x:v>
      </x:c>
      <x:c r="E280" s="6" t="str">
        <x:v>1С:УНФ 8. Полиграфия 2</x:v>
      </x:c>
      <x:c r="F280" s="6" t="str">
        <x:v>3.0.14.140</x:v>
      </x:c>
      <x:c r="G280" s="6" t="str">
        <x:v>not_reported</x:v>
      </x:c>
      <x:c r="H280" s="6" t="str">
        <x:v>default</x:v>
      </x:c>
      <x:c r="I280" s="6" t="str">
        <x:v>Применимость источников и эталона к 1С:УНФ 8. Полиграфия 2, релиз 3.0.14.140, подтверждена консультантом со слов пользователя.</x:v>
      </x:c>
      <x:c r="J280" s="13" t="str">
        <x:v>0</x:v>
      </x:c>
      <x:c r="K280" s="13" t="str">
        <x:v>5</x:v>
      </x:c>
      <x:c r="L280" s="7" t="b">
        <x:v>0</x:v>
      </x:c>
      <x:c r="M280" s="6" t="str">
        <x:v>no_useful_question</x:v>
      </x:c>
      <x:c r="N280" s="6" t="str">
        <x:v>[]</x:v>
      </x:c>
      <x:c r="O280" s="7" t="b">
        <x:v>0</x:v>
      </x:c>
      <x:c r="P280" s="6" t="str">
        <x:v>K4</x:v>
      </x:c>
      <x:c r="Q280"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80" s="6" t="str">
        <x:v>["omnidesk","real_anonymized","access_rights","support","handoff"]</x:v>
      </x:c>
      <x:c r="S280" s="6" t="str">
        <x:v>offer_handoff</x:v>
      </x:c>
      <x:c r="T280"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подскажите пожалуйста возможно ли предоставить демо доступ к 1С:УНФ 8. Полиграфия 2 ?.","Запросить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80"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80" s="6" t="str">
        <x:v>[{"source_file":"/Users/maria/chatbot_rag/knowledge base/omnidesk_cases.jsonl","source_case_id":"342657248","source_jsonl_line":203,"target_message_index":1,"evidence_type":"historical_support_consultant_approved","support_message_indices":[2],"source_answer":"[Поддержка, сообщение №2]\nВаш запрос направлен менеджерам. Они с вами свяжутся в ближайшее время.","corpus_check":"confirmed_by_consultant_per_user","release_applicability":"confirmed_by_consultant","approval_basis":"user_confirmed_consultant_approval"}]</x:v>
      </x:c>
      <x:c r="W280"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80" s="6" t="str">
        <x:v>approved</x:v>
      </x:c>
      <x:c r="Y280" s="6" t="str">
        <x:v>Карточка и применимость источников согласованы консультантом; утверждение подтверждено пользователем 25.10.2026.</x:v>
      </x:c>
      <x:c r="Z280" s="6" t="str">
        <x:v>G-31e7f8fc7b4231</x:v>
      </x:c>
      <x:c r="AA280" s="6" t="str">
        <x:v>eval</x:v>
      </x:c>
      <x:c r="AB280" s="6" t="str">
        <x:v>real_anonymized_candidate</x:v>
      </x:c>
    </x:row>
    <x:row r="281" ht="115" customHeight="1">
      <x:c r="A281" s="6" t="str">
        <x:v>OMNI-318234945-M001</x:v>
      </x:c>
      <x:c r="B281" s="6" t="str">
        <x:v>real_anonymized_candidate:omnidesk:318234945:message:1</x:v>
      </x:c>
      <x:c r="C281" s="6" t="str">
        <x:v>{"history":[],"user_message":"Подскажите пожалуйста возможно ли получить демо доступ к ПП 1С:УНФ 8. Полиграфия 2 для знакомства с функционалом ПП."}</x:v>
      </x:c>
      <x:c r="D281" s="6" t="str">
        <x:v>{"product":"1С:УНФ 8. Полиграфия 2","version":"3.0.14.140","retrieval_state":"available","handoff_consent":false,"source_case_id":"318234945","group_id":"omnidesk_318234945","target_message_index":1,"history_status":"approved_case_first_turn","reported_release":"not_reported","approval_basis":"user_confirmed_consultant_approval"}</x:v>
      </x:c>
      <x:c r="E281" s="6" t="str">
        <x:v>1С:УНФ 8. Полиграфия 2</x:v>
      </x:c>
      <x:c r="F281" s="6" t="str">
        <x:v>3.0.14.140</x:v>
      </x:c>
      <x:c r="G281" s="6" t="str">
        <x:v>not_reported</x:v>
      </x:c>
      <x:c r="H281" s="6" t="str">
        <x:v>default</x:v>
      </x:c>
      <x:c r="I281" s="6" t="str">
        <x:v>Применимость источников и эталона к 1С:УНФ 8. Полиграфия 2, релиз 3.0.14.140, подтверждена консультантом со слов пользователя.</x:v>
      </x:c>
      <x:c r="J281" s="13" t="str">
        <x:v>0</x:v>
      </x:c>
      <x:c r="K281" s="13" t="str">
        <x:v>5</x:v>
      </x:c>
      <x:c r="L281" s="7" t="b">
        <x:v>0</x:v>
      </x:c>
      <x:c r="M281" s="6" t="str">
        <x:v>no_useful_question</x:v>
      </x:c>
      <x:c r="N281" s="6" t="str">
        <x:v>[]</x:v>
      </x:c>
      <x:c r="O281" s="7" t="b">
        <x:v>0</x:v>
      </x:c>
      <x:c r="P281" s="6" t="str">
        <x:v>K4</x:v>
      </x:c>
      <x:c r="Q281"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81" s="6" t="str">
        <x:v>["omnidesk","real_anonymized","access_rights","support","handoff"]</x:v>
      </x:c>
      <x:c r="S281" s="6" t="str">
        <x:v>offer_handoff</x:v>
      </x:c>
      <x:c r="T281"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Подскажите пожалуйста возможно ли получить демо доступ к ПП 1С:УНФ 8. Полиграфия 2 для знакомства с функционалом ПП..","Запросить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81"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81" s="6" t="str">
        <x:v>[{"source_file":"/Users/maria/chatbot_rag/knowledge base/omnidesk_cases.jsonl","source_case_id":"318234945","source_jsonl_line":279,"target_message_index":1,"evidence_type":"historical_support_consultant_approved","support_message_indices":[2],"source_answer":"[Поддержка, сообщение №2]\nВаш запрос направлен менеджерам. Они с вами свяжутся в ближайшее время.","corpus_check":"confirmed_by_consultant_per_user","release_applicability":"confirmed_by_consultant","approval_basis":"user_confirmed_consultant_approval"}]</x:v>
      </x:c>
      <x:c r="W281"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81" s="6" t="str">
        <x:v>approved</x:v>
      </x:c>
      <x:c r="Y281" s="6" t="str">
        <x:v>Карточка и применимость источников согласованы консультантом; утверждение подтверждено пользователем 25.10.2026.</x:v>
      </x:c>
      <x:c r="Z281" s="6" t="str">
        <x:v>G-3e1200a1c0884a</x:v>
      </x:c>
      <x:c r="AA281" s="6" t="str">
        <x:v>eval</x:v>
      </x:c>
      <x:c r="AB281" s="6" t="str">
        <x:v>real_anonymized_candidate</x:v>
      </x:c>
    </x:row>
    <x:row r="282" ht="115" customHeight="1">
      <x:c r="A282" s="6" t="str">
        <x:v>OMNI-250362170-M001</x:v>
      </x:c>
      <x:c r="B282" s="6" t="str">
        <x:v>real_anonymized_candidate:omnidesk:250362170:message:1</x:v>
      </x:c>
      <x:c r="C282" s="6" t="str">
        <x:v>{"history":[],"user_message":"Вас беспокоит Лаборатория форт Крым, официальные партнеры фирмы 1С. Код партнера 07801-35. Клиент обратился по вопросу приобретения программного продукта 1С:УНФ 8. Полиграфия 2. Подскажите пожалуйста, возможно получить какой-то демо доступ для предоставления его клиенту для изучения программного продукта?"}</x:v>
      </x:c>
      <x:c r="D282" s="6" t="str">
        <x:v>{"product":"1С:УНФ 8. Полиграфия 2","version":"3.0.14.140","retrieval_state":"available","handoff_consent":false,"source_case_id":"250362170","group_id":"omnidesk_250362170","target_message_index":1,"history_status":"approved_case_first_turn","reported_release":"not_reported","approval_basis":"user_confirmed_consultant_approval"}</x:v>
      </x:c>
      <x:c r="E282" s="6" t="str">
        <x:v>1С:УНФ 8. Полиграфия 2</x:v>
      </x:c>
      <x:c r="F282" s="6" t="str">
        <x:v>3.0.14.140</x:v>
      </x:c>
      <x:c r="G282" s="6" t="str">
        <x:v>not_reported</x:v>
      </x:c>
      <x:c r="H282" s="6" t="str">
        <x:v>default</x:v>
      </x:c>
      <x:c r="I282" s="6" t="str">
        <x:v>Применимость источников и эталона к 1С:УНФ 8. Полиграфия 2, релиз 3.0.14.140, подтверждена консультантом со слов пользователя.</x:v>
      </x:c>
      <x:c r="J282" s="13" t="str">
        <x:v>0</x:v>
      </x:c>
      <x:c r="K282" s="13" t="str">
        <x:v>5</x:v>
      </x:c>
      <x:c r="L282" s="7" t="b">
        <x:v>0</x:v>
      </x:c>
      <x:c r="M282" s="6" t="str">
        <x:v>no_useful_question</x:v>
      </x:c>
      <x:c r="N282" s="6" t="str">
        <x:v>[]</x:v>
      </x:c>
      <x:c r="O282" s="7" t="b">
        <x:v>0</x:v>
      </x:c>
      <x:c r="P282" s="6" t="str">
        <x:v>K4</x:v>
      </x:c>
      <x:c r="Q282"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82" s="6" t="str">
        <x:v>["omnidesk","real_anonymized","access_rights","support","handoff"]</x:v>
      </x:c>
      <x:c r="S282" s="6" t="str">
        <x:v>offer_handoff</x:v>
      </x:c>
      <x:c r="T282" s="6" t="str">
        <x:v>["Явно обозначить, что бот не может самостоятельно выполнить этот запрос или дать подтверждённое решение.","Предложить передачу оператору по вопросу: Вас беспокоит Лаборатория форт Крым, официальные партнеры фирмы 1С. Код партнера 07801-35. Клиент обратился по вопросу приобретения программного продукта 1С:УНФ 8. Полиграфия 2. Подскажите пожалуйста, возможно получить какой-то демо доступ для предоставления его клиенту для изучения программного про.","Запросить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82"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82" s="6" t="str">
        <x:v>[{"source_file":"/Users/maria/chatbot_rag/knowledge base/omnidesk_cases.jsonl","source_case_id":"250362170","source_jsonl_line":409,"target_message_index":1,"evidence_type":"historical_support_consultant_approved","support_message_indices":[2],"source_answer":"[Поддержка, сообщение №2]\nВаше обращение направлено менеджерам. Они с вами свяжутся в ближайшее время.","corpus_check":"confirmed_by_consultant_per_user","release_applicability":"confirmed_by_consultant","approval_basis":"user_confirmed_consultant_approval"}]</x:v>
      </x:c>
      <x:c r="W282"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82" s="6" t="str">
        <x:v>approved</x:v>
      </x:c>
      <x:c r="Y282" s="6" t="str">
        <x:v>Карточка и применимость источников согласованы консультантом; утверждение подтверждено пользователем 25.10.2026.</x:v>
      </x:c>
      <x:c r="Z282" s="6" t="str">
        <x:v>G-8601b622266ec1</x:v>
      </x:c>
      <x:c r="AA282" s="6" t="str">
        <x:v>eval</x:v>
      </x:c>
      <x:c r="AB282" s="6" t="str">
        <x:v>real_anonymized_candidate</x:v>
      </x:c>
    </x:row>
    <x:row r="283" ht="115" customHeight="1">
      <x:c r="A283" s="6" t="str">
        <x:v>OMNI-250362165-M001</x:v>
      </x:c>
      <x:c r="B283" s="6" t="str">
        <x:v>real_anonymized_candidate:omnidesk:250362165:message:1</x:v>
      </x:c>
      <x:c r="C283" s="6" t="str">
        <x:v>{"history":[],"user_message":"Вас беспокоит Лаборатория форт Крым, официальные партнеры фирмы 1С. Код партнера 07801-35. Клиент обратился по вопросу приобретения программного продукта 1С:УНФ 8. Полиграфия 2. Подскажите пожалуйста, возможно получить какой-то демо доступ для предоставления его клиенту для изучения программного продукта?"}</x:v>
      </x:c>
      <x:c r="D283" s="6" t="str">
        <x:v>{"product":"1С:УНФ 8. Полиграфия 2","version":"3.0.14.140","retrieval_state":"available","handoff_consent":false,"source_case_id":"250362165","group_id":"omnidesk_250362165","target_message_index":1,"history_status":"approved_case_first_turn","reported_release":"not_reported","approval_basis":"user_confirmed_consultant_approval"}</x:v>
      </x:c>
      <x:c r="E283" s="6" t="str">
        <x:v>1С:УНФ 8. Полиграфия 2</x:v>
      </x:c>
      <x:c r="F283" s="6" t="str">
        <x:v>3.0.14.140</x:v>
      </x:c>
      <x:c r="G283" s="6" t="str">
        <x:v>not_reported</x:v>
      </x:c>
      <x:c r="H283" s="6" t="str">
        <x:v>default</x:v>
      </x:c>
      <x:c r="I283" s="6" t="str">
        <x:v>Применимость источников и эталона к 1С:УНФ 8. Полиграфия 2, релиз 3.0.14.140, подтверждена консультантом со слов пользователя.</x:v>
      </x:c>
      <x:c r="J283" s="13" t="str">
        <x:v>0</x:v>
      </x:c>
      <x:c r="K283" s="13" t="str">
        <x:v>5</x:v>
      </x:c>
      <x:c r="L283" s="7" t="b">
        <x:v>0</x:v>
      </x:c>
      <x:c r="M283" s="6" t="str">
        <x:v>no_useful_question</x:v>
      </x:c>
      <x:c r="N283" s="6" t="str">
        <x:v>[]</x:v>
      </x:c>
      <x:c r="O283" s="7" t="b">
        <x:v>0</x:v>
      </x:c>
      <x:c r="P283" s="6" t="str">
        <x:v>K4</x:v>
      </x:c>
      <x:c r="Q283"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83" s="6" t="str">
        <x:v>["omnidesk","real_anonymized","access_rights","support","handoff"]</x:v>
      </x:c>
      <x:c r="S283" s="6" t="str">
        <x:v>offer_handoff</x:v>
      </x:c>
      <x:c r="T283" s="6" t="str">
        <x:v>["Явно обозначить, что бот не может самостоятельно выполнить этот запрос или дать подтверждённое решение.","Предложить передачу оператору по вопросу: Вас беспокоит Лаборатория форт Крым, официальные партнеры фирмы 1С. Код партнера 07801-35. Клиент обратился по вопросу приобретения программного продукта 1С:УНФ 8. Полиграфия 2. Подскажите пожалуйста, возможно получить какой-то демо доступ для предоставления его клиенту для изучения программного про.","Запросить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83"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83" s="6" t="str">
        <x:v>[{"source_file":"/Users/maria/chatbot_rag/knowledge base/omnidesk_cases.jsonl","source_case_id":"250362165","source_jsonl_line":410,"target_message_index":1,"evidence_type":"historical_support_consultant_approved","support_message_indices":[2],"source_answer":"[Поддержка, сообщение №2]\nВаше обращение направлено менеджерам. Они с вами свяжутся в ближайшее время.","corpus_check":"confirmed_by_consultant_per_user","release_applicability":"confirmed_by_consultant","approval_basis":"user_confirmed_consultant_approval"}]</x:v>
      </x:c>
      <x:c r="W283"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83" s="6" t="str">
        <x:v>approved</x:v>
      </x:c>
      <x:c r="Y283" s="6" t="str">
        <x:v>Карточка и применимость источников согласованы консультантом; утверждение подтверждено пользователем 25.10.2026.</x:v>
      </x:c>
      <x:c r="Z283" s="6" t="str">
        <x:v>G-8601b622266ec1</x:v>
      </x:c>
      <x:c r="AA283" s="6" t="str">
        <x:v>eval</x:v>
      </x:c>
      <x:c r="AB283" s="6" t="str">
        <x:v>real_anonymized_candidate</x:v>
      </x:c>
    </x:row>
    <x:row r="284" ht="115" customHeight="1">
      <x:c r="A284" s="6" t="str">
        <x:v>OMNI-250119942-M001</x:v>
      </x:c>
      <x:c r="B284" s="6" t="str">
        <x:v>real_anonymized_candidate:omnidesk:250119942:message:1</x:v>
      </x:c>
      <x:c r="C284" s="6" t="str">
        <x:v>{"history":[],"user_message":"Вас беспокоит Лаборатория форт Крым, официальные партнеры фирмы 1С. Код партнера 07801-35. Клиент обратился по вопросу приобретения программного продукта 1С:УНФ 8. Полиграфия 2. Подскажите пожалуйста, возможно получить какой-то демо доступ для предоставления его клиенту для изучения программного продукта?"}</x:v>
      </x:c>
      <x:c r="D284" s="6" t="str">
        <x:v>{"product":"1С:УНФ 8. Полиграфия 2","version":"3.0.14.140","retrieval_state":"available","handoff_consent":false,"source_case_id":"250119942","group_id":"omnidesk_250119942","target_message_index":1,"history_status":"approved_case_first_turn","reported_release":"not_reported","approval_basis":"user_confirmed_consultant_approval"}</x:v>
      </x:c>
      <x:c r="E284" s="6" t="str">
        <x:v>1С:УНФ 8. Полиграфия 2</x:v>
      </x:c>
      <x:c r="F284" s="6" t="str">
        <x:v>3.0.14.140</x:v>
      </x:c>
      <x:c r="G284" s="6" t="str">
        <x:v>not_reported</x:v>
      </x:c>
      <x:c r="H284" s="6" t="str">
        <x:v>default</x:v>
      </x:c>
      <x:c r="I284" s="6" t="str">
        <x:v>Применимость источников и эталона к 1С:УНФ 8. Полиграфия 2, релиз 3.0.14.140, подтверждена консультантом со слов пользователя.</x:v>
      </x:c>
      <x:c r="J284" s="13" t="str">
        <x:v>0</x:v>
      </x:c>
      <x:c r="K284" s="13" t="str">
        <x:v>5</x:v>
      </x:c>
      <x:c r="L284" s="7" t="b">
        <x:v>0</x:v>
      </x:c>
      <x:c r="M284" s="6" t="str">
        <x:v>no_useful_question</x:v>
      </x:c>
      <x:c r="N284" s="6" t="str">
        <x:v>[]</x:v>
      </x:c>
      <x:c r="O284" s="7" t="b">
        <x:v>0</x:v>
      </x:c>
      <x:c r="P284" s="6" t="str">
        <x:v>K4</x:v>
      </x:c>
      <x:c r="Q284"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84" s="6" t="str">
        <x:v>["omnidesk","real_anonymized","access_rights","support","handoff"]</x:v>
      </x:c>
      <x:c r="S284" s="6" t="str">
        <x:v>offer_handoff</x:v>
      </x:c>
      <x:c r="T284" s="6" t="str">
        <x:v>["Явно обозначить, что бот не может самостоятельно выполнить этот запрос или дать подтверждённое решение.","Предложить передачу оператору по вопросу: Вас беспокоит Лаборатория форт Крым, официальные партнеры фирмы 1С. Код партнера 07801-35. Клиент обратился по вопросу приобретения программного продукта 1С:УНФ 8. Полиграфия 2. Подскажите пожалуйста, возможно получить какой-то демо доступ для предоставления его клиенту для изучения программного про.","Запросить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84"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84" s="6" t="str">
        <x:v>[{"source_file":"/Users/maria/chatbot_rag/knowledge base/omnidesk_cases.jsonl","source_case_id":"250119942","source_jsonl_line":411,"target_message_index":1,"evidence_type":"historical_support_consultant_approved","support_message_indices":[2],"source_answer":"[Поддержка, сообщение №2]\nВаше обращение направлено менеджерам. Они с вами свяжутся в ближайшее время.","corpus_check":"confirmed_by_consultant_per_user","release_applicability":"confirmed_by_consultant","approval_basis":"user_confirmed_consultant_approval"}]</x:v>
      </x:c>
      <x:c r="W284"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84" s="6" t="str">
        <x:v>approved</x:v>
      </x:c>
      <x:c r="Y284" s="6" t="str">
        <x:v>Карточка и применимость источников согласованы консультантом; утверждение подтверждено пользователем 25.10.2026.</x:v>
      </x:c>
      <x:c r="Z284" s="6" t="str">
        <x:v>G-8601b622266ec1</x:v>
      </x:c>
      <x:c r="AA284" s="6" t="str">
        <x:v>eval</x:v>
      </x:c>
      <x:c r="AB284" s="6" t="str">
        <x:v>real_anonymized_candidate</x:v>
      </x:c>
    </x:row>
    <x:row r="285" ht="115" customHeight="1">
      <x:c r="A285" s="6" t="str">
        <x:v>OMNI-183382549-M001</x:v>
      </x:c>
      <x:c r="B285" s="6" t="str">
        <x:v>real_anonymized_candidate:omnidesk:183382549:message:1</x:v>
      </x:c>
      <x:c r="C285" s="6" t="str">
        <x:v>{"history":[],"user_message":"Мы являемся фирмой-франчайзи, г.Екатеринбург. Наш клиент заинтересовался решением 1С:УНФ 8. Полиграфия 2. Подскажите, пожалуйста, как можно получить демо доступ? Спасибо!"}</x:v>
      </x:c>
      <x:c r="D285" s="6" t="str">
        <x:v>{"product":"1С:УНФ 8. Полиграфия 2","version":"3.0.14.140","retrieval_state":"available","handoff_consent":false,"source_case_id":"183382549","group_id":"omnidesk_183382549","target_message_index":1,"history_status":"approved_case_first_turn","reported_release":"not_reported","approval_basis":"user_confirmed_consultant_approval"}</x:v>
      </x:c>
      <x:c r="E285" s="6" t="str">
        <x:v>1С:УНФ 8. Полиграфия 2</x:v>
      </x:c>
      <x:c r="F285" s="6" t="str">
        <x:v>3.0.14.140</x:v>
      </x:c>
      <x:c r="G285" s="6" t="str">
        <x:v>not_reported</x:v>
      </x:c>
      <x:c r="H285" s="6" t="str">
        <x:v>default</x:v>
      </x:c>
      <x:c r="I285" s="6" t="str">
        <x:v>Применимость источников и эталона к 1С:УНФ 8. Полиграфия 2, релиз 3.0.14.140, подтверждена консультантом со слов пользователя.</x:v>
      </x:c>
      <x:c r="J285" s="13" t="str">
        <x:v>0</x:v>
      </x:c>
      <x:c r="K285" s="13" t="str">
        <x:v>5</x:v>
      </x:c>
      <x:c r="L285" s="7" t="b">
        <x:v>0</x:v>
      </x:c>
      <x:c r="M285" s="6" t="str">
        <x:v>no_useful_question</x:v>
      </x:c>
      <x:c r="N285" s="6" t="str">
        <x:v>[]</x:v>
      </x:c>
      <x:c r="O285" s="7" t="b">
        <x:v>0</x:v>
      </x:c>
      <x:c r="P285" s="6" t="str">
        <x:v>K4</x:v>
      </x:c>
      <x:c r="Q285"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85" s="6" t="str">
        <x:v>["omnidesk","real_anonymized","access_rights","support","handoff"]</x:v>
      </x:c>
      <x:c r="S285" s="6" t="str">
        <x:v>offer_handoff</x:v>
      </x:c>
      <x:c r="T285" s="6" t="str">
        <x:v>["Явно обозначить, что бот не может самостоятельно выполнить этот запрос или дать подтверждённое решение.","Предложить передачу оператору по вопросу: Мы являемся фирмой-франчайзи, г.Екатеринбург. Наш клиент заинтересовался решением 1С:УНФ 8. Полиграфия 2. Подскажите, пожалуйста, как можно получить демо доступ? Спасибо!.","Запросить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85"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85" s="6" t="str">
        <x:v>[{"source_file":"/Users/maria/chatbot_rag/knowledge base/omnidesk_cases.jsonl","source_case_id":"183382549","source_jsonl_line":541,"target_message_index":1,"evidence_type":"historical_support_consultant_approved","support_message_indices":[2],"source_answer":"[Поддержка, сообщение №2]\nЗапрос передан менеджерам. Они с вами свяжутся в ближайшее время.","corpus_check":"confirmed_by_consultant_per_user","release_applicability":"confirmed_by_consultant","approval_basis":"user_confirmed_consultant_approval"}]</x:v>
      </x:c>
      <x:c r="W285"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85" s="6" t="str">
        <x:v>approved</x:v>
      </x:c>
      <x:c r="Y285" s="6" t="str">
        <x:v>Карточка и применимость источников согласованы консультантом; утверждение подтверждено пользователем 25.10.2026.</x:v>
      </x:c>
      <x:c r="Z285" s="6" t="str">
        <x:v>G-29720aca64bda3</x:v>
      </x:c>
      <x:c r="AA285" s="6" t="str">
        <x:v>eval</x:v>
      </x:c>
      <x:c r="AB285" s="6" t="str">
        <x:v>real_anonymized_candidate</x:v>
      </x:c>
    </x:row>
    <x:row r="286" ht="115" customHeight="1">
      <x:c r="A286" s="6" t="str">
        <x:v>OMNI-37163320-M001</x:v>
      </x:c>
      <x:c r="B286" s="6" t="str">
        <x:v>real_anonymized_candidate:omnidesk:37163320:message:1</x:v>
      </x:c>
      <x:c r="C286" s="6" t="str">
        <x:v>{"history":[],"user_message":"Клиента интересует Они хотят с нами встречу и демонстрацию. Можете пожалуйста мне отправить доступ для более подробного изучения продукта, чтобы в последующем провести презентацию клиенту? Очень жду ответа!"}</x:v>
      </x:c>
      <x:c r="D286" s="6" t="str">
        <x:v>{"product":"1С:УНФ 8. Полиграфия 2","version":"3.0.14.140","retrieval_state":"available","handoff_consent":false,"source_case_id":"37163320","group_id":"omnidesk_37163320","target_message_index":1,"history_status":"approved_case_first_turn","reported_release":"not_reported","approval_basis":"user_confirmed_consultant_approval"}</x:v>
      </x:c>
      <x:c r="E286" s="6" t="str">
        <x:v>1С:УНФ 8. Полиграфия 2</x:v>
      </x:c>
      <x:c r="F286" s="6" t="str">
        <x:v>3.0.14.140</x:v>
      </x:c>
      <x:c r="G286" s="6" t="str">
        <x:v>not_reported</x:v>
      </x:c>
      <x:c r="H286" s="6" t="str">
        <x:v>default</x:v>
      </x:c>
      <x:c r="I286" s="6" t="str">
        <x:v>Применимость источников и эталона к 1С:УНФ 8. Полиграфия 2, релиз 3.0.14.140, подтверждена консультантом со слов пользователя.</x:v>
      </x:c>
      <x:c r="J286" s="13" t="str">
        <x:v>0</x:v>
      </x:c>
      <x:c r="K286" s="13" t="str">
        <x:v>5</x:v>
      </x:c>
      <x:c r="L286" s="7" t="b">
        <x:v>0</x:v>
      </x:c>
      <x:c r="M286" s="6" t="str">
        <x:v>no_useful_question</x:v>
      </x:c>
      <x:c r="N286" s="6" t="str">
        <x:v>[]</x:v>
      </x:c>
      <x:c r="O286" s="7" t="b">
        <x:v>0</x:v>
      </x:c>
      <x:c r="P286" s="6" t="str">
        <x:v>K4</x:v>
      </x:c>
      <x:c r="Q286"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86" s="6" t="str">
        <x:v>["omnidesk","real_anonymized","access_rights","support","handoff"]</x:v>
      </x:c>
      <x:c r="S286" s="6" t="str">
        <x:v>offer_handoff</x:v>
      </x:c>
      <x:c r="T286" s="6" t="str">
        <x:v>["Явно обозначить, что бот не может самостоятельно выполнить этот запрос или дать подтверждённое решение.","Предложить передачу оператору по вопросу: Клиента интересует Они хотят с нами встречу и демонстрацию. Можете пожалуйста мне отправить доступ для более подробного изучения продукта, чтобы в последующем провести презентацию клиенту? Очень жду ответа!.","Запросить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86"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86" s="6" t="str">
        <x:v>[{"source_file":"/Users/maria/chatbot_rag/knowledge base/omnidesk_cases.jsonl","source_case_id":"37163320","source_jsonl_line":1048,"target_message_index":1,"evidence_type":"historical_support_consultant_approved","support_message_indices":[2],"source_answer":"[Поддержка, сообщение №2]\nНаправляю ваше письмо к нашим менеджерам. Они свяжутся с вами по организационным вопросам в ближайший час.","corpus_check":"confirmed_by_consultant_per_user","release_applicability":"confirmed_by_consultant","approval_basis":"user_confirmed_consultant_approval"}]</x:v>
      </x:c>
      <x:c r="W286"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86" s="6" t="str">
        <x:v>approved</x:v>
      </x:c>
      <x:c r="Y286" s="6" t="str">
        <x:v>Карточка и применимость источников согласованы консультантом; утверждение подтверждено пользователем 25.10.2026.</x:v>
      </x:c>
      <x:c r="Z286" s="6" t="str">
        <x:v>G-8725fdf2971e2e</x:v>
      </x:c>
      <x:c r="AA286" s="6" t="str">
        <x:v>eval</x:v>
      </x:c>
      <x:c r="AB286" s="6" t="str">
        <x:v>real_anonymized_candidate</x:v>
      </x:c>
    </x:row>
    <x:row r="287" ht="115" customHeight="1">
      <x:c r="A287" s="6" t="str">
        <x:v>OMNI-350998070-M001</x:v>
      </x:c>
      <x:c r="B287" s="6" t="str">
        <x:v>real_anonymized_candidate:omnidesk:350998070:message:1</x:v>
      </x:c>
      <x:c r="C287" s="6" t="str">
        <x:v>{"history":[],"user_message":"09999-45 Если есть возможность, уточните пожалуйста по решению 1С:УНФ 8. Полиграфия 2. (Клиент рассматривает решение). Есть ли в системе аналог производственной очереди с разбиением на участки и оборудование + клиентская часть, чтобы сотрудник мог только отметить исполнение ? Заранее спасибо за ответ!"}</x:v>
      </x:c>
      <x:c r="D287" s="6" t="str">
        <x:v>{"product":"1С:УНФ 8. Полиграфия 2","version":"3.0.14.140","retrieval_state":"available","handoff_consent":false,"source_case_id":"350998070","group_id":"omnidesk_350998070","target_message_index":1,"history_status":"approved_case_first_turn","reported_release":"not_reported","approval_basis":"user_confirmed_consultant_approval"}</x:v>
      </x:c>
      <x:c r="E287" s="6" t="str">
        <x:v>1С:УНФ 8. Полиграфия 2</x:v>
      </x:c>
      <x:c r="F287" s="6" t="str">
        <x:v>3.0.14.140</x:v>
      </x:c>
      <x:c r="G287" s="6" t="str">
        <x:v>not_reported</x:v>
      </x:c>
      <x:c r="H287" s="6" t="str">
        <x:v>default</x:v>
      </x:c>
      <x:c r="I287" s="6" t="str">
        <x:v>Применимость источников и эталона к 1С:УНФ 8. Полиграфия 2, релиз 3.0.14.140, подтверждена консультантом со слов пользователя.</x:v>
      </x:c>
      <x:c r="J287" s="13" t="str">
        <x:v>0</x:v>
      </x:c>
      <x:c r="K287" s="13" t="str">
        <x:v>5</x:v>
      </x:c>
      <x:c r="L287" s="7" t="b">
        <x:v>0</x:v>
      </x:c>
      <x:c r="M287" s="6" t="str">
        <x:v>no_useful_question</x:v>
      </x:c>
      <x:c r="N287" s="6" t="str">
        <x:v>[]</x:v>
      </x:c>
      <x:c r="O287" s="7" t="b">
        <x:v>0</x:v>
      </x:c>
      <x:c r="P287" s="6" t="str">
        <x:v>K4</x:v>
      </x:c>
      <x:c r="Q287"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87" s="6" t="str">
        <x:v>["omnidesk","real_anonymized","planning","handoff"]</x:v>
      </x:c>
      <x:c r="S287" s="6" t="str">
        <x:v>offer_handoff</x:v>
      </x:c>
      <x:c r="T287" s="6" t="str">
        <x:v>["Явно обозначить, что бот не может самостоятельно выполнить этот запрос или дать подтверждённое решение.","Предложить передачу оператору по вопросу: 09999-45 Если есть возможность, уточните пожалуйста по решению 1С:УНФ 8. Полиграфия 2. (Клиент рассматривает решение). Есть ли в системе аналог производственной очереди с разбиением на участки и оборудование + клиентская часть, чтобы сотрудник мог только отметить исполнение ? Заранее спасибо за отве.","Запросить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87"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87" s="6" t="str">
        <x:v>[{"source_file":"/Users/maria/chatbot_rag/knowledge base/omnidesk_cases.jsonl","source_case_id":"350998070","source_jsonl_line":151,"target_message_index":1,"evidence_type":"historical_support_consultant_approved","support_message_indices":[2,4],"source_answer":"[Поддержка, сообщение №2]\nВаше обращение направлено менеджерам. Они с вами свяжутся в ближайшее время.\n\n[Поддержка, сообщение №4]\nОбращение направлено менеджерам. Они с вами свяжутся в ближайшее время по этому вопросу.","corpus_check":"confirmed_by_consultant_per_user","release_applicability":"confirmed_by_consultant","approval_basis":"user_confirmed_consultant_approval"}]</x:v>
      </x:c>
      <x:c r="W287"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87" s="6" t="str">
        <x:v>approved</x:v>
      </x:c>
      <x:c r="Y287" s="6" t="str">
        <x:v>Карточка и применимость источников согласованы консультантом; утверждение подтверждено пользователем 25.10.2026.</x:v>
      </x:c>
      <x:c r="Z287" s="6" t="str">
        <x:v>G-16465510e8285a</x:v>
      </x:c>
      <x:c r="AA287" s="6" t="str">
        <x:v>eval</x:v>
      </x:c>
      <x:c r="AB287" s="6" t="str">
        <x:v>real_anonymized_candidate</x:v>
      </x:c>
    </x:row>
    <x:row r="288" ht="115" customHeight="1">
      <x:c r="A288" s="6" t="str">
        <x:v>OMNI-343838221-M002</x:v>
      </x:c>
      <x:c r="B288" s="6" t="str">
        <x:v>real_anonymized_candidate:omnidesk:343838221:message:2</x:v>
      </x:c>
      <x:c r="C288" s="6" t="str">
        <x:v>{"history":[],"user_message":"Как отключить, вырвать с корнем Расширенную информацию о заказе?\nС тех пор как ее добавили в окно отображения списка заказов (а заодно и информацию об операциях, материалах и составляющих) -- работа с 1С:Полиграфией стала пыткой для всех сотрудников.\nПри переключении на другой расчет система тратит время на то чтобы найти в базе нужный расчет и считать из него данные.\nЗа что нам такое наказание?\nЯ уверен что большинству пользователей все эти доп поля информации даром не нужны.\nМы отключили их вывод на форму, но это никак не помогло -- система всё равно постоянно лезет в базу и загружает оттуда эти данные, судя по скорости работы.\nКак это выключить?\nЕсли бы разработчики сделали это через галочку в Панели администрирования -- вопросов бы не было.\nТе считанные единицы пользователей, кому это надо, просто включили бы себе и всё..\nЖдем и надеемся что в новых релизах эта информация исчезнет с формы Журналов Заказов ))"}</x:v>
      </x:c>
      <x:c r="D288" s="6" t="str">
        <x:v>{"product":"1С:УНФ 8. Полиграфия 2","version":"3.0.14.140","retrieval_state":"available","handoff_consent":false,"source_case_id":"343838221","group_id":"omnidesk_343838221","target_message_index":2,"history_status":"approved_case_first_turn","reported_release":"not_reported","approval_basis":"user_confirmed_consultant_approval"}</x:v>
      </x:c>
      <x:c r="E288" s="6" t="str">
        <x:v>1С:УНФ 8. Полиграфия 2</x:v>
      </x:c>
      <x:c r="F288" s="6" t="str">
        <x:v>3.0.14.140</x:v>
      </x:c>
      <x:c r="G288" s="6" t="str">
        <x:v>not_reported</x:v>
      </x:c>
      <x:c r="H288" s="6" t="str">
        <x:v>default</x:v>
      </x:c>
      <x:c r="I288" s="6" t="str">
        <x:v>Применимость источников и эталона к 1С:УНФ 8. Полиграфия 2, релиз 3.0.14.140, подтверждена консультантом со слов пользователя.</x:v>
      </x:c>
      <x:c r="J288" s="13" t="str">
        <x:v>0</x:v>
      </x:c>
      <x:c r="K288" s="13" t="str">
        <x:v>5</x:v>
      </x:c>
      <x:c r="L288" s="7" t="b">
        <x:v>0</x:v>
      </x:c>
      <x:c r="M288" s="6" t="str">
        <x:v>diagnosis_required</x:v>
      </x:c>
      <x:c r="N288" s="6" t="str">
        <x:v>[]</x:v>
      </x:c>
      <x:c r="O288" s="7" t="b">
        <x:v>0</x:v>
      </x:c>
      <x:c r="P288" s="6" t="str">
        <x:v>K4</x:v>
      </x:c>
      <x:c r="Q288"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88" s="6" t="str">
        <x:v>["omnidesk","real_anonymized","update","materials","access_rights","handoff"]</x:v>
      </x:c>
      <x:c r="S288" s="6" t="str">
        <x:v>offer_handoff</x:v>
      </x:c>
      <x:c r="T288" s="6" t="str">
        <x:v>["Явно обозначить, что бот не может самостоятельно выполнить этот запрос или дать подтверждённое решение.","Предложить передачу оператору по вопросу: Как отключить, вырвать с корнем Расширенную информацию о заказе? С тех пор как ее добавили в окно отображения списка заказов (а заодно и информацию об операциях, материалах и составляющих) -- работа с 1С:Полиграфией стала пыткой для всех сотрудников. При переключении на другой расчет система тратит .","Запросить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88"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88" s="6" t="str">
        <x:v>[{"source_file":"/Users/maria/chatbot_rag/knowledge base/omnidesk_cases.jsonl","source_case_id":"343838221","source_jsonl_line":188,"target_message_index":2,"evidence_type":"historical_support_consultant_approved","support_message_indices":[1,3],"source_answer":"[Поддержка, сообщение №3]\nНастройка формы типовая. А с корнем вырвать с программистом. Ваше обращение передано вашему менеджеру для организации работ по \"вырвать с корнем\" Он с вами свяжется в ближайшее время.","corpus_check":"confirmed_by_consultant_per_user","release_applicability":"confirmed_by_consultant","approval_basis":"user_confirmed_consultant_approval"}]</x:v>
      </x:c>
      <x:c r="W288"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88" s="6" t="str">
        <x:v>approved</x:v>
      </x:c>
      <x:c r="Y288" s="6" t="str">
        <x:v>Карточка и применимость источников согласованы консультантом; утверждение подтверждено пользователем 25.10.2026.</x:v>
      </x:c>
      <x:c r="Z288" s="6" t="str">
        <x:v>G-94d0ade94f6f3f</x:v>
      </x:c>
      <x:c r="AA288" s="6" t="str">
        <x:v>eval</x:v>
      </x:c>
      <x:c r="AB288" s="6" t="str">
        <x:v>real_anonymized_candidate</x:v>
      </x:c>
    </x:row>
    <x:row r="289" ht="115" customHeight="1">
      <x:c r="A289" s="6" t="str">
        <x:v>OMNI-354006854-M001</x:v>
      </x:c>
      <x:c r="B289" s="6" t="str">
        <x:v>real_anonymized_candidate:omnidesk:354006854:message:1</x:v>
      </x:c>
      <x:c r="C289" s="6" t="str">
        <x:v>{"history":[],"user_message":"После обновления УНФ Полиграфия до версии [IP_ADDRESS], стали появляться сообщения об отсутствии некоторых нормировок, при этом нормировки присутствуют, в отчет \"Нормирование операций\" эти нормировки видит и показывает, сами операции в расчётах заказов рассчитываются.\nПример на скриншотах.\nЧто надо исправить в нормировках или в коде, чтобы не выводились эти сообщения? Если не обращать на них внимание, то есть вероятность пропуска сообщения о реальной ошибке."}</x:v>
      </x:c>
      <x:c r="D289" s="6" t="str">
        <x:v>{"product":"1С:УНФ 8. Полиграфия 2","version":"3.0.14.140","retrieval_state":"available","handoff_consent":false,"source_case_id":"354006854","group_id":"omnidesk_354006854","target_message_index":1,"history_status":"approved_case_first_turn","reported_release":"redacted_in_source","approval_basis":"user_confirmed_consultant_approval"}</x:v>
      </x:c>
      <x:c r="E289" s="6" t="str">
        <x:v>1С:УНФ 8. Полиграфия 2</x:v>
      </x:c>
      <x:c r="F289" s="6" t="str">
        <x:v>3.0.14.140</x:v>
      </x:c>
      <x:c r="G289" s="6" t="str">
        <x:v>redacted_in_source</x:v>
      </x:c>
      <x:c r="H289" s="6" t="str">
        <x:v>explicit</x:v>
      </x:c>
      <x:c r="I289" s="6" t="str">
        <x:v>Применимость источников и эталона к 1С:УНФ 8. Полиграфия 2, релиз 3.0.14.140, подтверждена консультантом со слов пользователя.</x:v>
      </x:c>
      <x:c r="J289" s="13" t="str">
        <x:v>0</x:v>
      </x:c>
      <x:c r="K289" s="13" t="str">
        <x:v>5</x:v>
      </x:c>
      <x:c r="L289" s="7" t="b">
        <x:v>0</x:v>
      </x:c>
      <x:c r="M289" s="6" t="str">
        <x:v>diagnosis_required</x:v>
      </x:c>
      <x:c r="N289" s="6" t="str">
        <x:v>[]</x:v>
      </x:c>
      <x:c r="O289" s="7" t="b">
        <x:v>0</x:v>
      </x:c>
      <x:c r="P289" s="6" t="str">
        <x:v>K4</x:v>
      </x:c>
      <x:c r="Q289"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89" s="6" t="str">
        <x:v>["omnidesk","real_anonymized","update","cost_calculation","handoff"]</x:v>
      </x:c>
      <x:c r="S289" s="6" t="str">
        <x:v>offer_handoff</x:v>
      </x:c>
      <x:c r="T289"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После обновления УНФ Полиграфия до версии [IP_ADDRESS], стали появляться сообщения об отсутствии некоторых нормировок, при этом нормировки присутствуют, в отчет \"Нормирование операций\" эти нормировки видит и показывает, сами операции в расчётах заказов рассчитываются. Пример на скриншотах. Что надо .","Запросить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89"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89" s="6" t="str">
        <x:v>[{"source_file":"/Users/maria/chatbot_rag/knowledge base/omnidesk_cases.jsonl","source_case_id":"354006854","source_jsonl_line":147,"target_message_index":1,"evidence_type":"historical_support_consultant_approved","support_message_indices":[2,3],"source_answer":"[Поддержка, сообщение №3]\nУстановите расширение. см вложение.","corpus_check":"confirmed_by_consultant_per_user","release_applicability":"confirmed_by_consultant","approval_basis":"user_confirmed_consultant_approval"}]</x:v>
      </x:c>
      <x:c r="W289"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89" s="6" t="str">
        <x:v>approved</x:v>
      </x:c>
      <x:c r="Y289" s="6" t="str">
        <x:v>Карточка и применимость источников согласованы консультантом; утверждение подтверждено пользователем 25.10.2026.</x:v>
      </x:c>
      <x:c r="Z289" s="6" t="str">
        <x:v>G-cd69d7af4ced95</x:v>
      </x:c>
      <x:c r="AA289" s="6" t="str">
        <x:v>eval</x:v>
      </x:c>
      <x:c r="AB289" s="6" t="str">
        <x:v>real_anonymized_candidate</x:v>
      </x:c>
    </x:row>
    <x:row r="290" ht="115" customHeight="1">
      <x:c r="A290" s="6" t="str">
        <x:v>OMNI-340972962-M001</x:v>
      </x:c>
      <x:c r="B290" s="6" t="str">
        <x:v>real_anonymized_candidate:omnidesk:340972962:message:1</x:v>
      </x:c>
      <x:c r="C290" s="6" t="str">
        <x:v>{"history":[],"user_message":"Выключите меня из рассылки навсегда. На странице отписки не работает кнопка."}</x:v>
      </x:c>
      <x:c r="D290" s="6" t="str">
        <x:v>{"product":"1С:УНФ 8. Полиграфия 2","version":"3.0.14.140","retrieval_state":"available","handoff_consent":false,"source_case_id":"340972962","group_id":"omnidesk_340972962","target_message_index":1,"history_status":"approved_case_first_turn","reported_release":"not_reported","approval_basis":"user_confirmed_consultant_approval"}</x:v>
      </x:c>
      <x:c r="E290" s="6" t="str">
        <x:v>1С:УНФ 8. Полиграфия 2</x:v>
      </x:c>
      <x:c r="F290" s="6" t="str">
        <x:v>3.0.14.140</x:v>
      </x:c>
      <x:c r="G290" s="6" t="str">
        <x:v>not_reported</x:v>
      </x:c>
      <x:c r="H290" s="6" t="str">
        <x:v>default</x:v>
      </x:c>
      <x:c r="I290" s="6" t="str">
        <x:v>Применимость источников и эталона к 1С:УНФ 8. Полиграфия 2, релиз 3.0.14.140, подтверждена консультантом со слов пользователя.</x:v>
      </x:c>
      <x:c r="J290" s="13" t="str">
        <x:v>0</x:v>
      </x:c>
      <x:c r="K290" s="13" t="str">
        <x:v>5</x:v>
      </x:c>
      <x:c r="L290" s="7" t="b">
        <x:v>0</x:v>
      </x:c>
      <x:c r="M290" s="6" t="str">
        <x:v>diagnosis_required</x:v>
      </x:c>
      <x:c r="N290" s="6" t="str">
        <x:v>[]</x:v>
      </x:c>
      <x:c r="O290" s="7" t="b">
        <x:v>0</x:v>
      </x:c>
      <x:c r="P290" s="6" t="str">
        <x:v>K4</x:v>
      </x:c>
      <x:c r="Q290"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90" s="6" t="str">
        <x:v>["omnidesk","real_anonymized","product_function","handoff"]</x:v>
      </x:c>
      <x:c r="S290" s="6" t="str">
        <x:v>offer_handoff</x:v>
      </x:c>
      <x:c r="T290" s="6" t="str">
        <x:v>["Явно обозначить, что бот не может самостоятельно выполнить этот запрос или дать подтверждённое решение.","Предложить передачу оператору по вопросу: Выключите меня из рассылки навсегда. На странице отписки не работает кнопка..","Запросить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90"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90" s="6" t="str">
        <x:v>[{"source_file":"/Users/maria/chatbot_rag/knowledge base/omnidesk_cases.jsonl","source_case_id":"340972962","source_jsonl_line":216,"target_message_index":1,"evidence_type":"historical_support_consultant_approved","support_message_indices":[2],"source_answer":"[Поддержка, сообщение №2]\nВаше обращение направлено менеджерам. Они с вами свяжутся в ближайшее время.","corpus_check":"confirmed_by_consultant_per_user","release_applicability":"confirmed_by_consultant","approval_basis":"user_confirmed_consultant_approval"}]</x:v>
      </x:c>
      <x:c r="W290"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90" s="6" t="str">
        <x:v>approved</x:v>
      </x:c>
      <x:c r="Y290" s="6" t="str">
        <x:v>Карточка и применимость источников согласованы консультантом; утверждение подтверждено пользователем 25.10.2026.</x:v>
      </x:c>
      <x:c r="Z290" s="6" t="str">
        <x:v>G-d13c211994b956</x:v>
      </x:c>
      <x:c r="AA290" s="6" t="str">
        <x:v>eval</x:v>
      </x:c>
      <x:c r="AB290" s="6" t="str">
        <x:v>real_anonymized_candidate</x:v>
      </x:c>
    </x:row>
    <x:row r="291" ht="115" customHeight="1">
      <x:c r="A291" s="6" t="str">
        <x:v>OMNI-296265525-M008</x:v>
      </x:c>
      <x:c r="B291" s="6" t="str">
        <x:v>real_anonymized_candidate:omnidesk:296265525:message:8</x:v>
      </x:c>
      <x:c r="C291" s="6" t="str">
        <x:v>{"history":[],"user_message":"ИП Корт К.Э., . Просьба проконсультировать по следующему вопросу: в процессе формирования документа Расчет широкоформатного заказа производится некорректный просчет расхода материалов, а именно позиции номенклатуры Баннер литой, кв.м (в данном примере). Для эффективной работы нашего предприятия необходимо корректное списание такой позиции материалов именно в кв. метрах. Как сделать соответствующие настройки?"}</x:v>
      </x:c>
      <x:c r="D291" s="6" t="str">
        <x:v>{"product":"1С:УНФ 8. Полиграфия 2","version":"3.0.14.140","retrieval_state":"available","handoff_consent":false,"source_case_id":"296265525","group_id":"omnidesk_296265525","target_message_index":8,"history_status":"approved_case_first_turn","reported_release":"not_reported","approval_basis":"user_confirmed_consultant_approval"}</x:v>
      </x:c>
      <x:c r="E291" s="6" t="str">
        <x:v>1С:УНФ 8. Полиграфия 2</x:v>
      </x:c>
      <x:c r="F291" s="6" t="str">
        <x:v>3.0.14.140</x:v>
      </x:c>
      <x:c r="G291" s="6" t="str">
        <x:v>not_reported</x:v>
      </x:c>
      <x:c r="H291" s="6" t="str">
        <x:v>default</x:v>
      </x:c>
      <x:c r="I291" s="6" t="str">
        <x:v>Применимость источников и эталона к 1С:УНФ 8. Полиграфия 2, релиз 3.0.14.140, подтверждена консультантом со слов пользователя.</x:v>
      </x:c>
      <x:c r="J291" s="13" t="str">
        <x:v>0</x:v>
      </x:c>
      <x:c r="K291" s="13" t="str">
        <x:v>5</x:v>
      </x:c>
      <x:c r="L291" s="7" t="b">
        <x:v>1</x:v>
      </x:c>
      <x:c r="M291" s="6" t="str">
        <x:v>not_applicable</x:v>
      </x:c>
      <x:c r="N291" s="6" t="str">
        <x:v>["Единица хранения и единица расчёта баннера","Формула и числовой пример ожидаемого и фактического расхода"]</x:v>
      </x:c>
      <x:c r="O291" s="7" t="b">
        <x:v>0</x:v>
      </x:c>
      <x:c r="P291" s="6" t="str">
        <x:v>K3</x:v>
      </x:c>
      <x:c r="Q291"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91" s="6" t="str">
        <x:v>["omnidesk","real_anonymized","materials","support"]</x:v>
      </x:c>
      <x:c r="S291" s="6" t="str">
        <x:v>clarify</x:v>
      </x:c>
      <x:c r="T291" s="6" t="str">
        <x:v>["Запросить следующие существенные сведения: Единица хранения и единица расчёта баннера; Формула и числовой пример ожидаемого и фактического расхода.","Уточнение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91"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91" s="6" t="str">
        <x:v>[{"source_file":"/Users/maria/chatbot_rag/knowledge base/omnidesk_cases.jsonl","source_case_id":"296265525","source_jsonl_line":322,"target_message_index":8,"evidence_type":"historical_support_consultant_approved","support_message_indices":[2,3,5,7,9],"source_answer":"[Поддержка, сообщение №2]\nДокумент «Расчет широкоформатного заказа» Расчет стоимости и технологических параметров широкоформатного заказа на полиграфическую продукцию осуществляется в документе «Расчет широкоформатного заказа». Документы данного вида создаются, редактируются и хранятся в соответствующем списке документов. Список документов «Расчет широкоформатного заказа» вызывается из раздела «Полиграфия – Заказы – Широкоформатная печать». Для удобства пользователя, в верхней части списка документов выводится расширенная информация по текущему заказу. Расширенную информацию по заказу можно свернуть, нажав на кнопку со стрелкой. Если в справочнике «Статусы заказов» для каждого статуса определен свой цвет, то в списке документов, заказы будут выделены определенными цветами соответственно статусам заказов. Форма документа содержит несколько страничных закладок и поля, относящиеся к шапке документа. В шапке документа указываются номер и дата документа, организация, от имени которой оформляется документ, отображается текущий статус заказа. Закладка «Сведения» Элементы формы, расположенные на закладке «Сведения» позволяют вводить и просматривать общую информацию о заказе: наименование продукции и ее характеристика, планируемая дата начала и дата окончания выполнения работ по заказу (используется при планировании занятости производства), дата предоставления и утверждения макета (используются в качестве справочной информации к заказу), информация о клиенте, контрагенте, соглашении и договоре, ответственное подразделение. Поле Спецификация служит для выбора спецификации конечной продукции. В этом случае материалы, указанные в спецификации, будут автоматически добавлены в калькуляцию заказа. При добавлении изделия из спецификации количество материалов пересчитывается исходя из количества изделий текущего заказа. Реквизит Утвердил заполняется путем выбора пользователя из справочника «Пользователи» (возможность изменения данного реквизита настраивается для каждой роли пользователя) или автоматически при установке статуса заказа «Утвержден». Реквизит Вид цены предназначен для указания вида цены используемых материалов и заполняется из справочника «Виды цен». Реквизит Налогообложение задает вариант налогообложения для данного заказа (например, Продажа облагается НДС, Продажа облагается ЕНВД и др.). Реквизит \" Основание \" не предназначен для ручного изменения и заполняется данными, только в момент заполнения по шаблону (кнопка Заполнить по шаблону) или когда документ создается копированием предыдущего. В поле Примечание есть возможность указать произвольный комментарий к заказу. Кнопка Заполнить по шаблону служит для заполнения нового расчета заказа на основе шаблона заказа. Наличие дополнительного реквизита упаковки Количество экземпляров в пачке зависит от установленного флажка Использовать реквизиты упаковки в настройках «Панель администрирования Полиграфии – Расчет полиграфических заказов»). В нижней части закладки располагаются сводные данные о стоимости работ и рентабельности заказа (закладка Стоимость работ ), о себестоимости работ (закладка Себестоимость работ ) и о скидках в разрезе операций препресса, пресса, постпресса и материалов (закладка Скидки ). Данные о сумме долга и сумме оплаты формируются на основании данных документа «Заказ клиента», который может быть создан на основании данного расчета заказа. Для отображения данных об отклонении от себестоимости служит поле «Отклонение от себестоимости» на вкладке Стоимость работ . Стоимость заказа на полиграфическую продукцию может складываться из следующих составляющих: § Плановой стоимости допечатных, печатных и послепечатных операций § Плановой стоимости печатного материала § Плановой стоимости красок § Плановой стоимости дополнительных материалов § Плановой стоимости услуг субподряда Если в расчете заказа установлена такая скидка, в результате которой норма прибыли становится меньше установленного процента, то система с помощью визуального сообщения (красный восклицательный знак на закладке «Сведения») проконтролирует размер установленной скидки по отношению к минимальному значению процента нормы прибыли. Параметр Процент нормы прибыли заполняется в настройках «Панель администрирования Полиграфии – Значения по умолчанию». Общие данные по стоимости заказа можно свернуть, нажав на кнопку со стрелкой. С помощью блока выбора и добавления макета, вызываемого при нажатии на кнопку Из присоединенных файлов , к документу «Расчет широкоформатного заказа» можно прикрепить файлы макетов продукции и выбрать макет из присоединенных файлов в качестве файла изображения (preview) на форме документа. При нажатии на кнопку (Открыть каталог), программа автоматически создает каталог (если в настройках «Панель администрирования Полиграфии – Макеты» выбран вариант хранения макетов \"Хранить макеты в томах на диске\" или \"Хранить путь к макетам\"), а в нем вложенные под папки (если в настройках «Панель администрирования Полиграфии – Макеты» выбрана константа \"Использовать вложенные папки для макетов\" и заданы папки). Если каталог уже задан, то программа при нажатии на кнопку открывает уже выбранный пользователем каталог. Напомним, что значения параметра Статус заказа перечислены в справочнике «Статусы заказов». Используя данный реквизит, можно всегда отследить, на каком этапе находится заказ. Участвующие в процессе выполнения заказа сотрудники могут изменять его статус, и заказ будет последовательно проходить все этапы. Отражать этап выполнения заказа можно также с помощью обработок «Журнал оператора (оперативное планирование)» и «Отражение факта планирования» (долгосрочное планирование). В этом случае при смене пользователем состояний оборудования для операций заказа, статус заказа будет изменяться автоматически. Для запуска механизмов планирования служат статусы заказа «В работу» и «Готов к планированию». Перечень прав на изменение статуса, а также список самих статусов задается в справочнике «Роли пользователей». Важно! Статус Готов к планированию устанавливается только тем заказам, которые должны участвовать в документе \"План производства полиграфии\". Статус В работу устанавливается только для заказов, которые должны участвовать в оперативном планировании, при проведении документа в данном статусе у заказа автоматически устанавливается статус оборудования, на котором должна выполняться первая операция заказа из табличной части \"Операции\". При проведении документа в предопределенном статусе Отменен , все планируемые операции заказа удаляются из плана. Если возникла такая ситуация, когда часть операций уже выполнена , но есть необходимость отправить весь заказ повторно в план, начиная с первой операции из табличной части на закладке \"Операции\". Тогда необходимо провести заказа в статусах \" Повторно в план \" ( для повторной постановки в план в документ \"План производства полиграфии\") или в статусе \" Повторно в работу \" ( для повторного выполнения с помощью обработки «Журнал оператора») . Механизм предварительного планирования выполнения заказа (меню Предварительное планирование в шапке документа), позволяет узнать к какой дате заказ может быть выполнен (кнопка «Узнать дату выполнения заказа») и успеет ли производство выполнить заказ в те даты, которые хочет пользователь (кнопка «Проверка дат заказа»). Закладка «Препресс» Закладка «Препресс» предназначена для формирования списка допечатных операций. При добавлении операции препресса на форме «Добавление операции» требуется заполнить параметры, которые были отмечены на закладках Стоимость , Время и Материалы в справочнике «Операции». Для автоматического расчета стоимости операции, времени ее выполнения и расхода материалов должны быть введены нормы посредством документов Нормирование операций , Нормирование операций по времени и Нормирование материалов для операций . Отметим, что Тираж операции может рассчитываться автоматически, если на закладке Расчет тиража операции в справочнике «Операции» указана формула расчета тиража. Если при добавлении операции препресса на форме «Добавление операции» установлен флажок Ручной ввод тиража , то тираж операции может быть задан вручную. Признак Сложная операция на форме «Добавление операции» активизирует переменную «Сложность» в формульном редакторе. Возможность установки признака «Сложная операция» обеспечивает настройка «Использовать возможность указания сложности операции при задании формул» на закладке «Доп. параметры» в справочнике «Операции». Если в документе «Расчет широкоформатного заказа» при добавлении операции установлен признак «Сложная операция», то значение переменной «Сложность» равно «Истина». В противном случае значение переменной «Сложность» равно «Ложь». Использование переменной Числовой параметр позволяет при задании формул в документах нормирования автоматически подставлять значения числового параметра, которые были введены пользователем при добавлении операции на форме «Добавление операции». Возможность использования переменной «Числовой параметр» обеспечивает настройка «Использовать числовой параметр при задании формул» на закладке «Доп. параметры» в справочнике «Операции». При этом можно задать название числового параметра (например, Количество макетов). Количество допечатных операций не ограничено. Каждая новая операция вводится в новой строке табличной части закладки «Препресс». В нижней части таблицы отображается стоимость всех допечатных операций, а в нижней части закладки «Препресс» отображается стоимость операций препресса в пересчете на один экземпляр тиража. Закладка «Пресс» На закладке «Пресс» производится расчет основных технологических параметров операции печати, необходимого количества печатного материала, стоимости и себестоимости печати. Вначале выбираются конкретные значения для параметров печати: оборудование, красочность, качество печати. Далее выбирается материал, на котором будет производиться печать и плотность данного материала, если для выбранной операции задана зависимость стоимости от параметра плотность. Для организации широкоформатной печати необходимо выбрать оборудование, для которого установлен вид печати «Широкоформатная печать». Нормирование для такого оборудования осуществляется по погонным метрам печати, в качестве печатного материал а необходимо выбирать тот, у которого базовая единица измерения погонный метр. Для правильного списания остатков печатного материала у выбранного материала единица хранения остатков должна быть той, в которой необходимо списывать материал в заказе. Для установки дополнительных полей для изображения используйте соответствующие поля. При этом имеется возможность быстрой установки ширины доп. полей по периметру, по длинным сторонам или по коротким сторонам изображения. При ручной установке полей элементы быстрой настройки блокируются. Если формат готовой продукции имеет одинаковую длину и ширину, то доступна установка только ширину доп. полей по периметру. Если у операции печати стоимость, потери, или используемые материалы для операции зависят от свободного параметра (указаны в справочнике Операции ), то при выборе операции печати появляется закладка Свободный параметр в которой необходимо выбрать « свободные параметры » для печати. Расчет стоимости операции пресса можно выполнить автоматически, нажав кнопку Расчет пресса , или вручную, установив галочку \" Ручной расчет \" и введя стоимость печати. При автоматическом расчете, стоимость операции определяется исходя из площади и количества готовой продукции, площадь полей в данный расчет не входит. Дополнительные поля добавляются к общей площади заказа и влияют на расход материала, на котором производится печать. Показатель количества повторов по ширине отражает количество продукции по ширине материала печати. Показатель количества повторов по длине отражает количество продукции по длине материала печати. Показатель количества сегментов рассчитывается как отношение формата готовой продукции к формату материала печати . Чистовая длина (м) рассчитывается по формуле: Длина формата готовой продукции * Количество сегментов * Количество готовой продукции . Чистовая площадь материала (м2) рассчитывается по формуле: Длина формата готовой продукции * Количество сегментов * Количество готовой продукции * Ширина материала печати . Процент заполнения материала рассчитывается по формуле: ( Формат готовой продукции * Количество готовой продукции * 100) / Чистовая площадь материала (м2). Остаток материала по ширине (м) рассчитывается по формуле: ( Ширина материала печати * Количество сегментов) – Ширина готовой продукции . На закладке \" Карманы \" указываются тип и количество швов (горизонтальный, вертикальный или двусторонний плакат), параметры операции (название операции и оборудование), ширина поля соединения карманов. Для ручного расчета стоимости следует установить галочку \" Ручной расчет \" и ввести стоимость операции соединения. В разделе Информация отображаются расчетные данные по печатному материалу. Количество печатного материала для печати тиража заказа (показатель «Тираж печати»), количество печатного материала на техпотери печати (показатель «Техпотери пресс»), а также количество печатного материала на брак послепечатных операций (показатель «Техпотери постпресса»). Результат в погонных метрах автоматически пересчитывается в килограммы (с учетом плотности и формата), а также в кв.метр. Раздел «Информация» можно свернуть, нажав на кнопку со стрелкой. Закладка «Сегменты» Закладка доступна при установке признака \"Разбиение на сегменты\". В настройках «Панель администрирования Полиграфии – Широкоформатная печать- Вариант расчета сегментов в широкоформатном заказе») можно выбрать режим расчета сегментов в документе «Расчет широкоформатного заказа». В режиме «автоматически» программа рассчитает информацию о сегментах на закладке «Сегменты» при нажатии «Расчет заказа». В режиме «вручную» пользователь может сам регулировать формат сегментов и расстояние между ними. В случае, если указанные параметры сегментов превышают рамки печатного материала, то при расчете заказа программа не изменит введенную пользователем информацию на закладке «Сегменты». Закладка «Постпресс» Закладка «Постпресс» предназначена для формирования списка послепечатных операций. Элементы формы на закладке Постпресс служат для формирования списка операций постпресса, которые сгруппированы по закладкам. Пользователь выбирает необходимую операцию постпресса, указывает значение параметров, от которых зависит стоимость операции (зависимость устанавливается в справочнике \" Операции \", при этом следует иметь ввиду, что стоимость не зависит от потерь и времени) и программа автоматически рассчитывает стоимость операции. Для операций \" Люверсы \" и \" Шнур \" к стоимости так же добавляется цена материалов. На закладке \" Порезка \" указываются стороны, по которым производится резка, параметры операции (название операции и оборудование). Для ручного расчета стоимости следует установить галочку \" Ручной расчет \" и ввести стоимость операции. На закладке « Склейка » указываются стороны, по которым производится склейка, параметры операции (название операции и оборудование). Для ручного расчета стоимости следует установить галочку Ручной расчет и ввести стоимость операции. Закладки « Спайка » и « Сшивка » заполняются аналогично закладке « Склейка ». На закладке \" Люверсы \" указываются стороны, по которым производится установка люверсов, материалы, шаг и цена материала (цена материала также может задаваться автоматически исходя из документов ценообразования). Количество и стоимость люверсов рассчитывается автоматически. Стоимость всей операции складывается из стоимости материалов и стоимости одной операции. Для ручного расчета стоимости следует установить галочку \" Ручной расчет \" и ввести стоимость операции соединения. Параметры операций на закладке \" Шнур \" задаются аналогичным образом на соответствующей закладке. Элементы формы на закладке \" Прочие \" постпрессовые операции служат для формирования списка любых других операций постпресса. Пользователь выбирает необходимую операцию постпресса, указывает значение параметров, от которых зависит стоимость операции (зависимость устанавливается в справочнике \" Операции \") и программа автоматически рассчитывает стоимость операции. Закладка « Спуски » На закладке «Спуски» отображается расчет спуска полос в печатной форме. Расчет производится после нажатия на кнопку Расчет всего заказа . В табличной части отображается «Тираж спуска», количество листов на приладку и потери на каждый спуск (колонки «Приладка пресса» и «Тех. потери пресса»), сторона печати при спуске (в колонке «Сторона» отображаются производственные показатели «Лицо» или «Оборот»), наименование операции спуска (колонка «Операция») и «Вид оборота», который может принимать значения «Свой», «Чужой» или «Без оборота». В колонке «Операции» отображается либо операция печати, либо операция лакировки (для анализа спуска). Расчет приладки каждого спуска зависит от константы Вариант расчета приладки , указанной в настройках «Панель администрирования Полиграфии – Расчет полиграфических заказов». Если выбран вариант расчета приладки На тираж продукции , то общее количество приладочных листов считается на весь листопрогонный тираж, а потом делится пропорционально между спусками. Если выбран вариант расчета приладки На тираж спуска , то количество приладочных листов рассчитывается на тираж каждого спуска. Закладка «Материалы» На закладке «Материалы» отображается список материалов, необходимых для производства заказанной полиграфической продукции. У пользователя есть возможность откорректировать автоматически заполненный список материалов (добавить или удалить материал). Чтобы вернуться к рассчитанным значениям материала, можно воспользоваться кнопкой Расчет всего заказа . В случае необходимости пользователь может произвести замену номенклатуры и характеристики номенклатуры в колонках Замена номенклатура и Замена характеристика соответственно. Для формирования потребности производства в сырье задается принадлежность материала к операции посредством документа Нормирование материалов для операций и на закладке «Пресс» документа Расчет заказа . Для пересчета расчетного количества материала в единицу хранения предназначены константы «Единица измерения “Погонный метр”», «Единица измерения “Кв.метр”» в группе Единицы измерения в настройках «Панель администрирования Полиграфии – Значения по умолчанию». Признак Давальческое сырье предназначен для учета давальческого сырья в расчете заказа. Стоимость такого сырья не входит в стоимость заказа. Если часть сырья является собственной, а часть давальца, то материал указывается в двух строках, в одной из которых должен стоять признак «Давальческое сырье». Если используется спецификация конечной продукции (реквизит Спецификация на закладке «Сведения»), то указанные в спецификации материалы автоматически будут добавлены в таблицу на закладке «Материалы». Так как спецификация содержит материалы, необходимые для изготовления определенного количества изделий, то при добавлении материалов из спецификации, количество материалов пересчитывается исходя из количества изделий текущего заказа. Дополнительные материалы могут быть добавлены автоматически, если они отнормированы документом «Нормирование материалов для операций». Если пользователь откорректировал материалы вручную и эти данные при пересчете заказа не должны быть изменены, то необходимо установить признак Не пересчитывать . Кнопка Анализ остатков предназначена для анализа доступности материалов на складе. При нажатии на кнопку «Анализ остатков» будет сформирован отчет, отображающий данные на складах организации на дату документа. В табличную часть Краски материалы попадают из справочника «Группы красок», который указывается на закладке \"Пресс\". В качестве краски могут быть указаны Краски ( данные из справочника номенклатура группа \"Краска\") и Пленки (данные из справочника номенклатура группа \"Пленки\"). Количество и стоимость краски зависит от нормы расхода краски (гр/м2), процента запечатки, формата и тиража. Для корректной калькуляции необходимо определить свойства для краски в справочнике «Номенклатура» блок \"Дополнительные параметры Краски\". Сочетание красок и/или их типов, а также процент запечатки хранятся в справочнике «Группы красок». Непосредственный расчет количества и стоимости краски производится на закладке «Материалы» при нажатии на кнопку «Расчет всего заказа». Количество краски рассчитывается как произведение общей площади печати на норму расхода краски и долю запечатки (Процент запечатки). Количество краски (гр) = Общая площадь запечатки (м2) ´ Норма расхода (гр/м2) ´ Доля запечатки Общая площадь запечатки (м2) = Итоговому тиражу заказа в П.м * Ширина материала Закладка «Сравнение» На закладке «Сравнение» можно рассчитать стоимость заказа для различных вариантов тиража, красочности и материала. Расчет производится после нажатия на кнопку «Рассчитать». Выполнив расчет, пользователь выбирает один из трех вариантов расчета, который будет сохранен в документе «Расчет широкоформатного заказа». Закладка «Операции» На закладке «Операции» отображается список всех выполняемых операций с указанием времени их выполнения. Время выполнения операций отображается в минутах и в часах, а также выводится общее время выполнения всех операций. Автоматически все операции заказа попадают в табличную часть только в том случае, если для них задано время выполнения. У пользователя есть возможность самостоятельно откорректировать перечень операций: удалить операцию или изменить порядок следования. Время выполнения операций в дальнейшем используется при планировании занятости рабочих центров. Закладка « Заказ материалов » На недостающий материал можно оформить заказ материалов посредством кнопки «Заказ материалов в производство». Данный документ является заявкой производственного подразделения (снабжению) на потребность недостающего материала. Закладка «Сторонние услуги» На закладке «Сторонние услуги» у пользователя есть возможность оформить услуги стороннего переработчика. Табличная часть содержит наименование организации и услуги, количество операций, а также цену и стоимость для клиента или партнера. Цена для клиента и партнера подставляются автоматически из цен номенклатуры. Эти данные можно изменить вручную. При формировании услуг на стороне можно ввести документ «Поступление товаров и услуг» (колонка «Документ поступления») и документ «Заказ поставщику» . Сумма из колонки «Стоимость для клиента» входит в стоимость всего заказа, что можно увидеть на закладке «Обобщенные сведения» в расшифровке суммы заказа (пункт «Сторонние услуги, в том числе»). Закладка «Обобщенные сведения» На закладке «Обобщенные сведения» собрана общая информация по заказу: плановая стоимость заказа и согласованная с клиентом стоимость с учетом скидок, планируемая сумма расходных материалов и их количество, пооперационная рентабельность и общая рентабельность по заказу. Эти сведения очень полезны для анализа отдельно взятого заказа, а также для анализа работы менеджера по работе с клиентом. Признак Фиксированная сумма позволяет установить согласованную сумму заказа без учета поправочной суммы. Признак Сумма включает НДС обеспечивает включение суммы НДС в стоимость заказа. Выбор ставки НДС осуществляется посредством реквизита Ставка НДС . Кроме того, у менеджера есть возможность оценить рентабельность заказа, указав стоимость заказа, а также задать цену единицы продукции и пересчитать стоимость, скидки и рентабельность. Можно наглядно оценить стоимость заказа по калькуляции и стоимость, согласованную с клиентом в разрезе операций и материалов (блок «Итоговые показатели»). Если в расчете заказа установлена такая скидка, в результате которой норма прибыли становится меньше установленного процента, то система с помощью визуального сообщения (красный восклицательный знак на закладке «Обобщенные сведения») проконтролирует размер установленной скидки по отношению к минимальному значению процента нормы прибыли, заданному руководителем. Параметр «Процент нормы прибыли» заполняется в настройках «Панель администрирования Полиграфии – Значения по умолчанию». Если установлена константа \"Вариант расчета бонуса для менеджеров\" в настройках «Панель администрирования Полиграфии –Расчет полиграфических заказов» и задан процент бонуса для менеджера и контрагента в разделе Полиграфия-Бонусы-Бонусы для клиентов, в заказе будет рассчитан бонус менеджера, согласно выбранному варианту расчета бонуса. Внимание! При расчете стоимости материала при нажатии на Расчет заказа для каждой номенклатуры и ее характеристики программа берет цену согласно логике, которая установлена в константе Вариант расчета цен материала в полиграфических расчетах (в настройках «Панель администрирования Полиграфии – Расчет полиграфических заказов»). Для расчета себестоимости материалов - типы цен берутся из списка Цен закупки материалов. Данный механизм позволяет для номенклатуры использовать несколько различных видов цен, делает механизм ценообразования гибче. Закладка «Дополнительно» Когда пользователю не хватает реквизитов, уже имеющихся в полиграфических документах, можно установить дополнительные реквизиты. Для этого в разделе \"Администрирование\" -&gt; пункт \"Общие настройки\" должна быть установлена галочка \"Дополнительные реквизиты и сведения\". В этом случае в полиграфических документах на вкладке \"Дополнительно\" появится возможность добавлять новые реквизиты ( кнопка \"+ Свой реквизит\"). Видимость / невидимость данной вкладки можно настроить с помощью полиграфической роли пользователя на вкладке \"Невидимость закладок в полиграфических документах\". Реквизит \"Автор\" также размещается на данной вкладке. Печатные формы документа Документ имеет следующие печатные форм: «Заказ», «Согласование макета», «Технологическая диаграмма» и «Технологическая карта». Печатная форма Заказ может быть использована для наглядного представления результата расчета полиграфического заказа клиенту. Печатная форма Согласование макета может быть использована для утверждения с заказчиком макета полиграфического заказа. В печатной форме выводится изображение файл макета продукции (preview), который пользователь может прикрепить к полиграфическому заказу с помощью специального диалога, вызываемого при нажатии на кнопку «Из присоединенных файлов». Печатная форма Технологическая диаграмма позволяет наглядно представить всю цепочку производственного процесса. В печатной форме Технологическая карта содержатся общие сведения обо всех параметрах заказа (тираж, формат, красочность, используемое оборудование и т.п.), о технологических операциях, необходимых для изготовления заказа. Ввод на основании На основании документа можно ввести разные документы: «Заказ клиента», Заказ поставщику», «Поступление товаров услуг» и т.д. Если у продукции заказа в справочнике \"Номенклатура\" установлен тип \"Работа\", тогда при вводе на основании документа \"Заказ клиента\" программа автоматически сформирует \"Заказ-наряд\". Все эти документы заполняются плановыми показателями из полиграфического заказа.\n\n[Поддержка, сообщение №3]\nВ материале выбирайте ед.изм. метр квадратный\n\n[Поддержка, сообщение №5]\nПосмотрите демо базу. Как там. Вам же установили. Потренируйтесь в ней. Нормирование, настройки оборудования и.т.д. это ниша методистов. Если вы выявите ошибку на демо базе пришлите ее с подробным описанием и последовательностью действий. Будем моделировать- пытаться воспроизвести.\n\n[Поддержка, сообщение №7]\nВ чем ошибка?","corpus_check":"confirmed_by_consultant_per_user","release_applicability":"confirmed_by_consultant","approval_basis":"user_confirmed_consultant_approval"}]</x:v>
      </x:c>
      <x:c r="W291" s="6" t="str">
        <x:v>["Есть конкретный полезный вопрос о недостающих сведениях: Единица хранения и единица расчёта баннера; Формула и числовой пример ожидаемого и фактического расхода.","Нет произвольного решения и необоснованного отказа. Соблюдены доступная история и лимит пяти уточнений."]</x:v>
      </x:c>
      <x:c r="X291" s="6" t="str">
        <x:v>approved</x:v>
      </x:c>
      <x:c r="Y291" s="6" t="str">
        <x:v>Карточка и применимость источников согласованы консультантом; утверждение подтверждено пользователем 25.10.2026.</x:v>
      </x:c>
      <x:c r="Z291" s="6" t="str">
        <x:v>G-d571c531d529e7</x:v>
      </x:c>
      <x:c r="AA291" s="6" t="str">
        <x:v>eval</x:v>
      </x:c>
      <x:c r="AB291" s="6" t="str">
        <x:v>real_anonymized_candidate</x:v>
      </x:c>
    </x:row>
    <x:row r="292" ht="115" customHeight="1">
      <x:c r="A292" s="6" t="str">
        <x:v>OMNI-415715962-M009</x:v>
      </x:c>
      <x:c r="B292" s="6" t="str">
        <x:v>real_anonymized_candidate:omnidesk:415715962:message:9</x:v>
      </x:c>
      <x:c r="C292" s="6" t="str">
        <x:v>{"history":[],"user_message":"Добрый день В программе не работает параметр «Толщина бумаги» Скрин «Полиграфические параметры» — видно , что указана толщина бумаги из заказа Скрин «Формула расчета стоимости» — видно, что параметр»Толщина бумаги» применен в формуле расчета стоимости операции «Заготовка бумаги» Скрин «Стоимость заготовки бумаги» — после расчета окно стоимости пустое Почему не работает параметр «Толщина бумаги»??"}</x:v>
      </x:c>
      <x:c r="D292" s="6" t="str">
        <x:v>{"product":"1С:УНФ 8. Полиграфия 2","version":"3.0.14.140","retrieval_state":"available","handoff_consent":false,"source_case_id":"415715962","group_id":"omnidesk_415715962","target_message_index":9,"history_status":"approved_case_first_turn","reported_release":"not_reported","approval_basis":"user_confirmed_consultant_approval"}</x:v>
      </x:c>
      <x:c r="E292" s="6" t="str">
        <x:v>1С:УНФ 8. Полиграфия 2</x:v>
      </x:c>
      <x:c r="F292" s="6" t="str">
        <x:v>3.0.14.140</x:v>
      </x:c>
      <x:c r="G292" s="6" t="str">
        <x:v>not_reported</x:v>
      </x:c>
      <x:c r="H292" s="6" t="str">
        <x:v>default</x:v>
      </x:c>
      <x:c r="I292" s="6" t="str">
        <x:v>Применимость источников и эталона к 1С:УНФ 8. Полиграфия 2, релиз 3.0.14.140, подтверждена консультантом со слов пользователя.</x:v>
      </x:c>
      <x:c r="J292" s="13" t="str">
        <x:v>0</x:v>
      </x:c>
      <x:c r="K292" s="13" t="str">
        <x:v>5</x:v>
      </x:c>
      <x:c r="L292" s="7" t="b">
        <x:v>1</x:v>
      </x:c>
      <x:c r="M292" s="6" t="str">
        <x:v>not_applicable</x:v>
      </x:c>
      <x:c r="N292" s="6" t="str">
        <x:v>["Текст формулы операции и числовое значение толщины из заказа","Для какой операции и оборудования выполняется расчёт"]</x:v>
      </x:c>
      <x:c r="O292" s="7" t="b">
        <x:v>0</x:v>
      </x:c>
      <x:c r="P292" s="6" t="str">
        <x:v>K3</x:v>
      </x:c>
      <x:c r="Q292"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92" s="6" t="str">
        <x:v>["omnidesk","real_anonymized","cost_calculation","materials"]</x:v>
      </x:c>
      <x:c r="S292" s="6" t="str">
        <x:v>clarify</x:v>
      </x:c>
      <x:c r="T292" s="6" t="str">
        <x:v>["Запросить следующие существенные сведения: Текст формулы операции и числовое значение толщины из заказа; Для какой операции и оборудования выполняется расчёт.","Уточнение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92"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92" s="6" t="str">
        <x:v>[{"source_file":"/Users/maria/chatbot_rag/knowledge base/omnidesk_cases.jsonl","source_case_id":"415715962","source_jsonl_line":34,"target_message_index":9,"evidence_type":"historical_support_consultant_approved","support_message_indices":[1,3,4,5,7],"source_answer":"[Поддержка, сообщение №1]\nДелайте примеры на демо БД, для того чтобы можно было их воспроизвести. С последовательностью действий, сопровождайте скриншотами. Из вашего сообщения не понятно, что вы рассчитываете. Состав операций препресс, пресс, постпресс. Нормы для этих операций. Опишите последовательность, со скриншотами. И еще раз хотим напомнить. По методологии расчетов рекомендуем организовать работу с методистом.\n\n[Поддержка, сообщение №3]\nЭто полный абсурд. Конфигурации идентичны полностью. Вопрос в настройках констант, норм и т.д. Ваше обращение отправляю менеджерам. Они с вами свяжутся по этому вопросу в ближайшее время.\n\n[Поддержка, сообщение №4]\nДополнительно по подключению расширения. СМ вложение.\n\n[Поддержка, сообщение №5]\nРассмотрим на примере в демобазе по вашим данным 220 * 0.192 = 42.40 Формула работает!\n\n[Поддержка, сообщение №7]\nВопрос решен по телефону с удаленным подключением.","corpus_check":"confirmed_by_consultant_per_user","release_applicability":"confirmed_by_consultant","approval_basis":"user_confirmed_consultant_approval"}]</x:v>
      </x:c>
      <x:c r="W292" s="6" t="str">
        <x:v>["Есть конкретный полезный вопрос о недостающих сведениях: Текст формулы операции и числовое значение толщины из заказа; Для какой операции и оборудования выполняется расчёт.","Нет произвольного решения и необоснованного отказа. Соблюдены доступная история и лимит пяти уточнений."]</x:v>
      </x:c>
      <x:c r="X292" s="6" t="str">
        <x:v>approved</x:v>
      </x:c>
      <x:c r="Y292" s="6" t="str">
        <x:v>Карточка и применимость источников согласованы консультантом; утверждение подтверждено пользователем 25.10.2026.</x:v>
      </x:c>
      <x:c r="Z292" s="6" t="str">
        <x:v>G-a80f450ede0cc1</x:v>
      </x:c>
      <x:c r="AA292" s="6" t="str">
        <x:v>eval</x:v>
      </x:c>
      <x:c r="AB292" s="6" t="str">
        <x:v>real_anonymized_candidate</x:v>
      </x:c>
    </x:row>
    <x:row r="293" ht="115" customHeight="1">
      <x:c r="A293" s="6" t="str">
        <x:v>OMNI-192981161-M005</x:v>
      </x:c>
      <x:c r="B293" s="6" t="str">
        <x:v>real_anonymized_candidate:omnidesk:192981161:message:5</x:v>
      </x:c>
      <x:c r="C293" s="6" t="str">
        <x:v>{"history":[],"user_message":"При попытке расчета заказа на флексопечать, выполняя команду Расчет на вкладке Пресс система сообщает об ошибке: Неверное имя колонки {ОбщийМодуль.ПМЕ_Общий.Модуль(5503)}:Строки=Док.Материал.ПМЕ_Материалы.НайтиСтроки(Отбор); {Документ.ПМЕ_РасчетФлексопечати.Форма.ФормаДокумента.Форма(3128)}:ПМЕ_Общий.ЗаполнитьОперации(Значение, ТаблицаНовыхСопутствующихОперацийПоСпускам); {Документ.ПМЕ_РасчетФлексопечати.Форма.ФормаДокумента.Форма(2437)}:РасчетСпусковСтоимостиИСебестоимостиОперацийПечатиИДопПокрытия(СравнениеТиражей); {Документ.ПМЕ_РасчетФлексопечати.Форма.ФормаДокумента.Форма(2287)}:РасчетПрессаНажатие(ложь,ложь); по причине: Неверное имя колонки Куда смотреть и что делать? Система пытается установить отбор, по не существующему ключу ___ Программист, специалист 1С Моб.: +[LONG_NUMBER] Telegram"}</x:v>
      </x:c>
      <x:c r="D293" s="6" t="str">
        <x:v>{"product":"1С:УНФ 8. Полиграфия 2","version":"3.0.14.140","retrieval_state":"available","handoff_consent":false,"source_case_id":"192981161","group_id":"omnidesk_192981161","target_message_index":5,"history_status":"approved_case_first_turn","reported_release":"not_reported","approval_basis":"user_confirmed_consultant_approval"}</x:v>
      </x:c>
      <x:c r="E293" s="6" t="str">
        <x:v>1С:УНФ 8. Полиграфия 2</x:v>
      </x:c>
      <x:c r="F293" s="6" t="str">
        <x:v>3.0.14.140</x:v>
      </x:c>
      <x:c r="G293" s="6" t="str">
        <x:v>not_reported</x:v>
      </x:c>
      <x:c r="H293" s="6" t="str">
        <x:v>default</x:v>
      </x:c>
      <x:c r="I293" s="6" t="str">
        <x:v>Применимость источников и эталона к 1С:УНФ 8. Полиграфия 2, релиз 3.0.14.140, подтверждена консультантом со слов пользователя.</x:v>
      </x:c>
      <x:c r="J293" s="13" t="str">
        <x:v>0</x:v>
      </x:c>
      <x:c r="K293" s="13" t="str">
        <x:v>5</x:v>
      </x:c>
      <x:c r="L293" s="7" t="b">
        <x:v>1</x:v>
      </x:c>
      <x:c r="M293" s="6" t="str">
        <x:v>not_applicable</x:v>
      </x:c>
      <x:c r="N293" s="6" t="str">
        <x:v>["Последовательность действий и выбранные операции до ошибки","Есть ли доработки/расширения и воспроизводится ли тот же пример в типовой тестовой базе"]</x:v>
      </x:c>
      <x:c r="O293" s="7" t="b">
        <x:v>0</x:v>
      </x:c>
      <x:c r="P293" s="6" t="str">
        <x:v>K3</x:v>
      </x:c>
      <x:c r="Q293"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93" s="6" t="str">
        <x:v>["omnidesk","real_anonymized","cost_calculation","materials"]</x:v>
      </x:c>
      <x:c r="S293" s="6" t="str">
        <x:v>clarify</x:v>
      </x:c>
      <x:c r="T293" s="6" t="str">
        <x:v>["Запросить следующие существенные сведения: Последовательность действий и выбранные операции до ошибки; Есть ли доработки/расширения и воспроизводится ли тот же пример в типовой тестовой базе.","Уточнение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93"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93" s="6" t="str">
        <x:v>[{"source_file":"/Users/maria/chatbot_rag/knowledge base/omnidesk_cases.jsonl","source_case_id":"192981161","source_jsonl_line":502,"target_message_index":5,"evidence_type":"historical_support_consultant_approved","support_message_indices":[2,3,4,6,7,9],"source_answer":"[Поддержка, сообщение №2]\nПо словам менеджера вы отказались от организации работы по этому вопросу специалистов с нашей стороны. Обращение передано вашему менеджеру. Он с вами свяжется в ближайшее время.\n\n[Поддержка, сообщение №3]\nОбращение направлено разработчикам, о результате сообщим дополнительно.\n\n[Поддержка, сообщение №4]\nВопрос на контроле у вашего менеджера Фархутдиновой Светланы. И насколько я понял вы обо всем договорились?\n\n[Поддержка, сообщение №6]\nПожалуйста, укажите наименование организации, на которую зарегистрирован программный продукт и его регистрационный номер. Его можно уточнить в регистрационной карточке или на диске и книгах, входящих в поставку. Также нам необходимо знать: - Версию платформы 1C:Предприятие; - Версию релиза конфигурации; - Клиент-серверный (SQL) или файловый вариант (файловая база данных) работы вы используете для работы; Эту информацию можете узнать запустив программу в режиме \"Предприятия\" или \"Конфигуратора\" из меню \"Справка\" -&gt; \"О программе\". Пришлите нам скриншот. Обратите внимание, что консультации оказываются только при наличии актуальной подписки 1С:ИТС (Информационно-технологическое сопровождение) Проверить ИТС по регистрационному номеру продукта Тарифы на 1С:ИТС Регламент службы технической поддержки\n\n[Поддержка, сообщение №7]\nУточните версию конфигурации.\n\n[Поддержка, сообщение №9]\nА модуль Полиграфии?","corpus_check":"confirmed_by_consultant_per_user","release_applicability":"confirmed_by_consultant","approval_basis":"user_confirmed_consultant_approval"}]</x:v>
      </x:c>
      <x:c r="W293" s="6" t="str">
        <x:v>["Есть конкретный полезный вопрос о недостающих сведениях: Последовательность действий и выбранные операции до ошибки; Есть ли доработки/расширения и воспроизводится ли тот же пример в типовой тестовой базе.","Нет произвольного решения и необоснованного отказа. Соблюдены доступная история и лимит пяти уточнений."]</x:v>
      </x:c>
      <x:c r="X293" s="6" t="str">
        <x:v>approved</x:v>
      </x:c>
      <x:c r="Y293" s="6" t="str">
        <x:v>Карточка и применимость источников согласованы консультантом; утверждение подтверждено пользователем 25.10.2026.</x:v>
      </x:c>
      <x:c r="Z293" s="6" t="str">
        <x:v>G-3083b8e6981ecd</x:v>
      </x:c>
      <x:c r="AA293" s="6" t="str">
        <x:v>eval</x:v>
      </x:c>
      <x:c r="AB293" s="6" t="str">
        <x:v>real_anonymized_candidate</x:v>
      </x:c>
    </x:row>
    <x:row r="294" ht="115" customHeight="1">
      <x:c r="A294" s="6" t="str">
        <x:v>OMNI-19536879-M001</x:v>
      </x:c>
      <x:c r="B294" s="6" t="str">
        <x:v>real_anonymized_candidate:omnidesk:19536879:message:1</x:v>
      </x:c>
      <x:c r="C294" s="6" t="str">
        <x:v>{"history":[],"user_message":"В конфигурации «УНФ 8 . Полиграфия 2» при расчете документа «Расчет заказа» операция препресса, указанная на вкладке Препресс заменяет первую операцию на вкладке Постпресс. Подскажите, пожалуйста, в чем ошибка?"}</x:v>
      </x:c>
      <x:c r="D294" s="6" t="str">
        <x:v>{"product":"1С:УНФ 8. Полиграфия 2","version":"3.0.14.140","retrieval_state":"available","handoff_consent":false,"source_case_id":"19536879","group_id":"omnidesk_19536879","target_message_index":1,"history_status":"approved_case_first_turn","reported_release":"not_reported","approval_basis":"user_confirmed_consultant_approval"}</x:v>
      </x:c>
      <x:c r="E294" s="6" t="str">
        <x:v>1С:УНФ 8. Полиграфия 2</x:v>
      </x:c>
      <x:c r="F294" s="6" t="str">
        <x:v>3.0.14.140</x:v>
      </x:c>
      <x:c r="G294" s="6" t="str">
        <x:v>not_reported</x:v>
      </x:c>
      <x:c r="H294" s="6" t="str">
        <x:v>default</x:v>
      </x:c>
      <x:c r="I294" s="6" t="str">
        <x:v>Применимость источников и эталона к 1С:УНФ 8. Полиграфия 2, релиз 3.0.14.140, подтверждена консультантом со слов пользователя.</x:v>
      </x:c>
      <x:c r="J294" s="13" t="str">
        <x:v>0</x:v>
      </x:c>
      <x:c r="K294" s="13" t="str">
        <x:v>5</x:v>
      </x:c>
      <x:c r="L294" s="7" t="b">
        <x:v>1</x:v>
      </x:c>
      <x:c r="M294" s="6" t="str">
        <x:v>not_applicable</x:v>
      </x:c>
      <x:c r="N294" s="6" t="str">
        <x:v>["Назначение и настройки двух операций препресса","Порядок их добавления и точное действие, после которого заменяется операция постпресса"]</x:v>
      </x:c>
      <x:c r="O294" s="7" t="b">
        <x:v>0</x:v>
      </x:c>
      <x:c r="P294" s="6" t="str">
        <x:v>K3</x:v>
      </x:c>
      <x:c r="Q294"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94" s="6" t="str">
        <x:v>["omnidesk","real_anonymized","product_function"]</x:v>
      </x:c>
      <x:c r="S294" s="6" t="str">
        <x:v>clarify</x:v>
      </x:c>
      <x:c r="T294" s="6" t="str">
        <x:v>["Запросить следующие существенные сведения: Назначение и настройки двух операций препресса; Порядок их добавления и точное действие, после которого заменяется операция постпресса.","Уточнение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94"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94" s="6" t="str">
        <x:v>[{"source_file":"/Users/maria/chatbot_rag/knowledge base/omnidesk_cases.jsonl","source_case_id":"19536879","source_jsonl_line":1134,"target_message_index":1,"evidence_type":"historical_support_consultant_approved","support_message_indices":[2,5,7,9,11,13,15],"source_answer":"[Поддержка, сообщение №2]\nПришлите пожалуйста скан регистрационной анкеты на этот программный продукт.\n\n[Поддержка, сообщение №5]\n1. Посмотрите регламент техподдержки. [URL] 2. По вопросу: при расчете документа «Расчет заказа» операция препресса, указанная на вкладке Препресс заменяет первую операцию на вкладке Постпресс. Не совсем понятно, где что заменяется? Пробую воспроизвести на типовой демке (Платформа 8.3.12.1440 Релиз [IP_ADDRESS] ) Рисунки - 1-4 без препресса, 5-7 добавил препресс. - Все нормально.\n\n[Поддержка, сообщение №7]\nСозданы две операции Препресс и Препресс2. В первой указано назначение операции для спуска, во второй для всего изделия , остальные настройки одинаковые. Пришлите скриншоты, как вы создавали эти операции по закладкам.\n\n[Поддержка, сообщение №9]\nНа типовой (на замке) это невозможно. Это программно невозможно. А вас конфигурация измененная?\n\n[Поддержка, сообщение №11]\nКакой релиз? Обновите до последнего скрин выше в переписке.\n\n[Поддержка, сообщение №13]\nНедоступен потому что, не регистрировали этот ПП в личном кабинете партнера. Ссылку на актуальный дистрибутив вышлю в течение часа.","corpus_check":"confirmed_by_consultant_per_user","release_applicability":"confirmed_by_consultant","approval_basis":"user_confirmed_consultant_approval"}]</x:v>
      </x:c>
      <x:c r="W294" s="6" t="str">
        <x:v>["Есть конкретный полезный вопрос о недостающих сведениях: Назначение и настройки двух операций препресса; Порядок их добавления и точное действие, после которого заменяется операция постпресса.","Нет произвольного решения и необоснованного отказа. Соблюдены доступная история и лимит пяти уточнений."]</x:v>
      </x:c>
      <x:c r="X294" s="6" t="str">
        <x:v>approved</x:v>
      </x:c>
      <x:c r="Y294" s="6" t="str">
        <x:v>Карточка и применимость источников согласованы консультантом; утверждение подтверждено пользователем 25.10.2026.</x:v>
      </x:c>
      <x:c r="Z294" s="6" t="str">
        <x:v>G-be975d86ef6474</x:v>
      </x:c>
      <x:c r="AA294" s="6" t="str">
        <x:v>eval</x:v>
      </x:c>
      <x:c r="AB294" s="6" t="str">
        <x:v>real_anonymized_candidate</x:v>
      </x:c>
    </x:row>
    <x:row r="295" ht="115" customHeight="1">
      <x:c r="A295" s="6" t="str">
        <x:v>OMNI-8607501-M001</x:v>
      </x:c>
      <x:c r="B295" s="6" t="str">
        <x:v>real_anonymized_candidate:omnidesk:8607501:message:1</x:v>
      </x:c>
      <x:c r="C295" s="6" t="str">
        <x:v>{"history":[],"user_message":"Клиенты из г. Ставрополя Рег. № конфигурации - [LONG_NUMBER] Программу приобрели не давно. Сейчас на стадии заполнения НСИ. Столкнулись с проблемой разграничения прав пользователей. Если у пользователя не полные права, программа не запускается. На этапе подключения к серверу СЛК выдается сообщение, что пользователю не достаточно прав для выполнения операции (см. скришот). Какие профили групп доступа необходимо создать и настроить, за исключением полных прав, что бы пользователи смогли работать? Спасибо! ИП Михаил Нежевязов ([PHONE] [PHONE] [PHONE]"}</x:v>
      </x:c>
      <x:c r="D295" s="6" t="str">
        <x:v>{"product":"1С:УНФ 8. Полиграфия 2","version":"3.0.14.140","retrieval_state":"available","handoff_consent":false,"source_case_id":"8607501","group_id":"omnidesk_8607501","target_message_index":1,"history_status":"approved_case_first_turn","reported_release":"not_reported","approval_basis":"user_confirmed_consultant_approval"}</x:v>
      </x:c>
      <x:c r="E295" s="6" t="str">
        <x:v>1С:УНФ 8. Полиграфия 2</x:v>
      </x:c>
      <x:c r="F295" s="6" t="str">
        <x:v>3.0.14.140</x:v>
      </x:c>
      <x:c r="G295" s="6" t="str">
        <x:v>not_reported</x:v>
      </x:c>
      <x:c r="H295" s="6" t="str">
        <x:v>default</x:v>
      </x:c>
      <x:c r="I295" s="6" t="str">
        <x:v>Применимость источников и эталона к 1С:УНФ 8. Полиграфия 2, релиз 3.0.14.140, подтверждена консультантом со слов пользователя.</x:v>
      </x:c>
      <x:c r="J295" s="13" t="str">
        <x:v>0</x:v>
      </x:c>
      <x:c r="K295" s="13" t="str">
        <x:v>5</x:v>
      </x:c>
      <x:c r="L295" s="7" t="b">
        <x:v>1</x:v>
      </x:c>
      <x:c r="M295" s="6" t="str">
        <x:v>not_applicable</x:v>
      </x:c>
      <x:c r="N295" s="6" t="str">
        <x:v>["Какие роли и профили доступа назначены пользователю","Ошибка возникает только у одного пользователя на том же рабочем месте или у всех без полных прав"]</x:v>
      </x:c>
      <x:c r="O295" s="7" t="b">
        <x:v>0</x:v>
      </x:c>
      <x:c r="P295" s="6" t="str">
        <x:v>K3</x:v>
      </x:c>
      <x:c r="Q295"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95" s="6" t="str">
        <x:v>["omnidesk","real_anonymized","licensing","access_rights"]</x:v>
      </x:c>
      <x:c r="S295" s="6" t="str">
        <x:v>clarify</x:v>
      </x:c>
      <x:c r="T295" s="6" t="str">
        <x:v>["Запросить следующие существенные сведения: Какие роли и профили доступа назначены пользователю; Ошибка возникает только у одного пользователя на том же рабочем месте или у всех без полных прав.","Уточнение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95"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95" s="6" t="str">
        <x:v>[{"source_file":"/Users/maria/chatbot_rag/knowledge base/omnidesk_cases.jsonl","source_case_id":"8607501","source_jsonl_line":1292,"target_message_index":1,"evidence_type":"historical_support_consultant_approved","support_message_indices":[2,3,5],"source_answer":"[Поддержка, сообщение №2]\nПришлите список прав, которые дали пользователю и возникает такая ошибка. Вопрос: на этом рабочем месте, или у этого пользователя удаленного рабочего стола только под его правами в БД возникает такая ошибка? Ситуацию воспроизвести мне на демке не удалось. В скриншотах выставил мин права для работы конфигурации в режиме предприятия, все запускается и работает.\n\n[Поддержка, сообщение №3]\nПо первому вопросу. Зайдите в конфигуратор. Общие-Роли-Администрирование. Там можете посмотреть по всем объектам конфигурации. Рис 00 По третьему вопросу. Посмотрите настойки рис. 1-3. РКМ - пришлите скрины. Так не совсем понятно что не отображается. По второму вопросу. Здесь тоже лучше с картинками. И Редактирование в таб части (на 23 мониторе) про какую закладку и таб часть идет речь. Если про \"Печать фотографий\" рис 4 - на это я разработчикам написал (у меня 17`). Если другое, присылайте скрин.\n\n[Поддержка, сообщение №5]\nПосмотрю сегодня. Завтра напишу.","corpus_check":"confirmed_by_consultant_per_user","release_applicability":"confirmed_by_consultant","approval_basis":"user_confirmed_consultant_approval"}]</x:v>
      </x:c>
      <x:c r="W295" s="6" t="str">
        <x:v>["Есть конкретный полезный вопрос о недостающих сведениях: Какие роли и профили доступа назначены пользователю; Ошибка возникает только у одного пользователя на том же рабочем месте или у всех без полных прав.","Нет произвольного решения и необоснованного отказа. Соблюдены доступная история и лимит пяти уточнений."]</x:v>
      </x:c>
      <x:c r="X295" s="6" t="str">
        <x:v>approved</x:v>
      </x:c>
      <x:c r="Y295" s="6" t="str">
        <x:v>Карточка и применимость источников согласованы консультантом; утверждение подтверждено пользователем 25.10.2026.</x:v>
      </x:c>
      <x:c r="Z295" s="6" t="str">
        <x:v>G-f3649c45d80d9d</x:v>
      </x:c>
      <x:c r="AA295" s="6" t="str">
        <x:v>eval</x:v>
      </x:c>
      <x:c r="AB295" s="6" t="str">
        <x:v>real_anonymized_candidate</x:v>
      </x:c>
    </x:row>
    <x:row r="296" ht="115" customHeight="1">
      <x:c r="A296" s="6" t="str">
        <x:v>OMNI-189850727-M001</x:v>
      </x:c>
      <x:c r="B296" s="6" t="str">
        <x:v>real_anonymized_candidate:omnidesk:189850727:message:1</x:v>
      </x:c>
      <x:c r="C296" s="6" t="str">
        <x:v>{"history":[],"user_message":"уважаемые партнёры! Прошу уточнить, каким образом мы можем получить демо доступ к 1С УНФ 8.Полиграфия для демонстрации его нашему контрагенту ? Спасибо !"}</x:v>
      </x:c>
      <x:c r="D296" s="6" t="str">
        <x:v>{"product":"1С:УНФ 8. Полиграфия 2","version":"3.0.14.140","retrieval_state":"available","handoff_consent":false,"source_case_id":"189850727","group_id":"omnidesk_189850727","target_message_index":1,"history_status":"approved_case_first_turn","reported_release":"not_reported","approval_basis":"user_confirmed_consultant_approval"}</x:v>
      </x:c>
      <x:c r="E296" s="6" t="str">
        <x:v>1С:УНФ 8. Полиграфия 2</x:v>
      </x:c>
      <x:c r="F296" s="6" t="str">
        <x:v>3.0.14.140</x:v>
      </x:c>
      <x:c r="G296" s="6" t="str">
        <x:v>not_reported</x:v>
      </x:c>
      <x:c r="H296" s="6" t="str">
        <x:v>default</x:v>
      </x:c>
      <x:c r="I296" s="6" t="str">
        <x:v>Применимость источников и эталона к 1С:УНФ 8. Полиграфия 2, релиз 3.0.14.140, подтверждена консультантом со слов пользователя.</x:v>
      </x:c>
      <x:c r="J296" s="13" t="str">
        <x:v>0</x:v>
      </x:c>
      <x:c r="K296" s="13" t="str">
        <x:v>5</x:v>
      </x:c>
      <x:c r="L296" s="7" t="b">
        <x:v>0</x:v>
      </x:c>
      <x:c r="M296" s="6" t="str">
        <x:v>no_useful_question</x:v>
      </x:c>
      <x:c r="N296" s="6" t="str">
        <x:v>[]</x:v>
      </x:c>
      <x:c r="O296" s="7" t="b">
        <x:v>0</x:v>
      </x:c>
      <x:c r="P296" s="6" t="str">
        <x:v>K4</x:v>
      </x:c>
      <x:c r="Q296"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96" s="6" t="str">
        <x:v>["omnidesk","real_anonymized","access_rights","support","handoff"]</x:v>
      </x:c>
      <x:c r="S296" s="6" t="str">
        <x:v>offer_handoff</x:v>
      </x:c>
      <x:c r="T296" s="6" t="str">
        <x:v>["Явно обозначить, что бот не может самостоятельно выполнить этот запрос или дать подтверждённое решение.","Предложить передачу оператору по вопросу: уважаемые партнёры! Прошу уточнить, каким образом мы можем получить демо доступ к 1С УНФ 8.Полиграфия для демонстрации его нашему контрагенту ? Спасибо !.","Запросить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96"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96" s="6" t="str">
        <x:v>[{"source_file":"/Users/maria/chatbot_rag/knowledge base/omnidesk_cases.jsonl","source_case_id":"189850727","source_jsonl_line":518,"target_message_index":1,"evidence_type":"historical_support_consultant_approved","support_message_indices":[2],"source_answer":"[Поддержка, сообщение №2]\nВаше обращение направлено менеджерам, они с вами свяжутся в ближайшее время.","corpus_check":"confirmed_by_consultant_per_user","release_applicability":"confirmed_by_consultant","approval_basis":"user_confirmed_consultant_approval"}]</x:v>
      </x:c>
      <x:c r="W296"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96" s="6" t="str">
        <x:v>approved</x:v>
      </x:c>
      <x:c r="Y296" s="6" t="str">
        <x:v>Карточка и применимость источников согласованы консультантом; утверждение подтверждено пользователем 25.10.2026.</x:v>
      </x:c>
      <x:c r="Z296" s="6" t="str">
        <x:v>G-5fa482bfd43290</x:v>
      </x:c>
      <x:c r="AA296" s="6" t="str">
        <x:v>eval</x:v>
      </x:c>
      <x:c r="AB296" s="6" t="str">
        <x:v>real_anonymized_candidate</x:v>
      </x:c>
    </x:row>
    <x:row r="297" ht="115" customHeight="1">
      <x:c r="A297" s="6" t="str">
        <x:v>OMNI-149293081-M001</x:v>
      </x:c>
      <x:c r="B297" s="6" t="str">
        <x:v>real_anonymized_candidate:omnidesk:149293081:message:1</x:v>
      </x:c>
      <x:c r="C297" s="6" t="str">
        <x:v>{"history":[],"user_message":"Hotline.\nПри работе со сборными тиражами столкнулись со следующими неполадками:\n1) При добавлении в сборный тираж изделий через справочник\nНоменклатура не могу ввести заказ покупателя на каждую из единиц\nпродукции (ввести заказ покупателя на каждую деталь). Программа выдает\nошибку (Рисунок 1).\n2) При добавлении в табличную часть номенклатуры с помощью расчетов\nзаказа в табличную часть не добавляется информация по продукции\n(тираж, формат, красочность)и выдает ошибку (Рисунок 2)\n3)Не формируются заказы покупателя на каждую из единиц\nпродукции (ввести заказ покупателя на каждую деталь и выдается ошибка\nРисунок 1."}</x:v>
      </x:c>
      <x:c r="D297" s="6" t="str">
        <x:v>{"product":"1С:УНФ 8. Полиграфия 2","version":"3.0.14.140","retrieval_state":"available","handoff_consent":false,"source_case_id":"149293081","group_id":"omnidesk_149293081","target_message_index":1,"history_status":"approved_case_first_turn","reported_release":"not_reported","approval_basis":"user_confirmed_consultant_approval"}</x:v>
      </x:c>
      <x:c r="E297" s="6" t="str">
        <x:v>1С:УНФ 8. Полиграфия 2</x:v>
      </x:c>
      <x:c r="F297" s="6" t="str">
        <x:v>3.0.14.140</x:v>
      </x:c>
      <x:c r="G297" s="6" t="str">
        <x:v>not_reported</x:v>
      </x:c>
      <x:c r="H297" s="6" t="str">
        <x:v>default</x:v>
      </x:c>
      <x:c r="I297" s="6" t="str">
        <x:v>Применимость источников и эталона к 1С:УНФ 8. Полиграфия 2, релиз 3.0.14.140, подтверждена консультантом со слов пользователя.</x:v>
      </x:c>
      <x:c r="J297" s="13" t="str">
        <x:v>0</x:v>
      </x:c>
      <x:c r="K297" s="13" t="str">
        <x:v>5</x:v>
      </x:c>
      <x:c r="L297" s="7" t="b">
        <x:v>0</x:v>
      </x:c>
      <x:c r="M297" s="6" t="str">
        <x:v>diagnosis_required</x:v>
      </x:c>
      <x:c r="N297" s="6" t="str">
        <x:v>[]</x:v>
      </x:c>
      <x:c r="O297" s="7" t="b">
        <x:v>0</x:v>
      </x:c>
      <x:c r="P297" s="6" t="str">
        <x:v>K4</x:v>
      </x:c>
      <x:c r="Q297"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97" s="6" t="str">
        <x:v>["omnidesk","real_anonymized","materials","handoff"]</x:v>
      </x:c>
      <x:c r="S297" s="6" t="str">
        <x:v>offer_handoff</x:v>
      </x:c>
      <x:c r="T297" s="6" t="str">
        <x:v>["Явно обозначить, что бот не может самостоятельно выполнить этот запрос или дать подтверждённое решение.","Предложить передачу оператору по вопросу: Hotline. При работе со сборными тиражами столкнулись со следующими неполадками: 1) При добавлении в сборный тираж изделий через справочник Номенклатура не могу ввести заказ покупателя на каждую из единиц продукции (ввести заказ покупателя на каждую деталь). Программа выдает ошибку (Рисунок 1). 2) Пр.","Запросить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97"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97" s="6" t="str">
        <x:v>[{"source_file":"/Users/maria/chatbot_rag/knowledge base/omnidesk_cases.jsonl","source_case_id":"149293081","source_jsonl_line":690,"target_message_index":1,"evidence_type":"historical_support_consultant_approved","support_message_indices":[2,3],"source_answer":"[Поддержка, сообщение №3]\nОшибка зарегистрирована. Исправить эту ситуацию можно установив расширение. См вложение. Перед установкой обязательно прочитайте инструкцию.","corpus_check":"confirmed_by_consultant_per_user","release_applicability":"confirmed_by_consultant","approval_basis":"user_confirmed_consultant_approval"}]</x:v>
      </x:c>
      <x:c r="W297"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97" s="6" t="str">
        <x:v>approved</x:v>
      </x:c>
      <x:c r="Y297" s="6" t="str">
        <x:v>Карточка и применимость источников согласованы консультантом; утверждение подтверждено пользователем 25.10.2026.</x:v>
      </x:c>
      <x:c r="Z297" s="6" t="str">
        <x:v>G-2a64e6dada8fc5</x:v>
      </x:c>
      <x:c r="AA297" s="6" t="str">
        <x:v>eval</x:v>
      </x:c>
      <x:c r="AB297" s="6" t="str">
        <x:v>real_anonymized_candidate</x:v>
      </x:c>
    </x:row>
    <x:row r="298" ht="115" customHeight="1">
      <x:c r="A298" s="6" t="str">
        <x:v>OMNI-335521452-M001</x:v>
      </x:c>
      <x:c r="B298" s="6" t="str">
        <x:v>real_anonymized_candidate:omnidesk:335521452:message:1</x:v>
      </x:c>
      <x:c r="C298" s="6" t="str">
        <x:v>{"history":[],"user_message":"Подскажите, где можно посмотреть документацию по калькулятору на сайт?\nКонфигурация \"1С:УНФ 8. Полиграфия 2 \"\nps\nЗапрос на веб-сервис\ncurl -u user:password -X GET [URL]}"}</x:v>
      </x:c>
      <x:c r="D298" s="6" t="str">
        <x:v>{"product":"1С:УНФ 8. Полиграфия 2","version":"3.0.14.140","retrieval_state":"available","handoff_consent":false,"source_case_id":"335521452","group_id":"omnidesk_335521452","target_message_index":1,"history_status":"approved_case_first_turn","reported_release":"not_reported","approval_basis":"user_confirmed_consultant_approval"}</x:v>
      </x:c>
      <x:c r="E298" s="6" t="str">
        <x:v>1С:УНФ 8. Полиграфия 2</x:v>
      </x:c>
      <x:c r="F298" s="6" t="str">
        <x:v>3.0.14.140</x:v>
      </x:c>
      <x:c r="G298" s="6" t="str">
        <x:v>not_reported</x:v>
      </x:c>
      <x:c r="H298" s="6" t="str">
        <x:v>default</x:v>
      </x:c>
      <x:c r="I298" s="6" t="str">
        <x:v>Применимость источников и эталона к 1С:УНФ 8. Полиграфия 2, релиз 3.0.14.140, подтверждена консультантом со слов пользователя.</x:v>
      </x:c>
      <x:c r="J298" s="13" t="str">
        <x:v>0</x:v>
      </x:c>
      <x:c r="K298" s="13" t="str">
        <x:v>5</x:v>
      </x:c>
      <x:c r="L298" s="7" t="b">
        <x:v>0</x:v>
      </x:c>
      <x:c r="M298" s="6" t="str">
        <x:v>no_useful_question</x:v>
      </x:c>
      <x:c r="N298" s="6" t="str">
        <x:v>[]</x:v>
      </x:c>
      <x:c r="O298" s="7" t="b">
        <x:v>0</x:v>
      </x:c>
      <x:c r="P298" s="6" t="str">
        <x:v>K4</x:v>
      </x:c>
      <x:c r="Q298"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98" s="6" t="str">
        <x:v>["omnidesk","real_anonymized","product_function","handoff"]</x:v>
      </x:c>
      <x:c r="S298" s="6" t="str">
        <x:v>offer_handoff</x:v>
      </x:c>
      <x:c r="T298"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Подскажите, где можно посмотреть документацию по калькулятору на сайт? Конфигурация \"1С:УНФ 8. Полиграфия 2 \" ps Запрос на веб-сервис curl -u user:password -X GET [URL]}.","Запросить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98"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98" s="6" t="str">
        <x:v>[{"source_file":"/Users/maria/chatbot_rag/knowledge base/omnidesk_cases.jsonl","source_case_id":"335521452","source_jsonl_line":226,"target_message_index":1,"evidence_type":"historical_support_consultant_approved","support_message_indices":[2,3],"source_answer":"[Поддержка, сообщение №3]\nНа нашем сайте [URL] Там вы можете заказать демонстрационный доступ. Также ваше обращение направлено менеджерам, они с вами свяжутся в ближайшее время.","corpus_check":"confirmed_by_consultant_per_user","release_applicability":"confirmed_by_consultant","approval_basis":"user_confirmed_consultant_approval"}]</x:v>
      </x:c>
      <x:c r="W298"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98" s="6" t="str">
        <x:v>approved</x:v>
      </x:c>
      <x:c r="Y298" s="6" t="str">
        <x:v>Карточка и применимость источников согласованы консультантом; утверждение подтверждено пользователем 25.10.2026.</x:v>
      </x:c>
      <x:c r="Z298" s="6" t="str">
        <x:v>G-9f91393896d65e</x:v>
      </x:c>
      <x:c r="AA298" s="6" t="str">
        <x:v>eval</x:v>
      </x:c>
      <x:c r="AB298" s="6" t="str">
        <x:v>real_anonymized_candidate</x:v>
      </x:c>
    </x:row>
    <x:row r="299" ht="115" customHeight="1">
      <x:c r="A299" s="6" t="str">
        <x:v>OMNI-146162366-M001</x:v>
      </x:c>
      <x:c r="B299" s="6" t="str">
        <x:v>real_anonymized_candidate:omnidesk:146162366:message:1</x:v>
      </x:c>
      <x:c r="C299" s="6" t="str">
        <x:v>{"history":[],"user_message":"Ранее писал вам про отчет - \"Расширенный анализ себестоимости выпуска полиграфии\". Данный отчет не формируется, от Вас ответа, к сожалению, не поступило, дублирую Плюс так же не формируется отчет - \"План-фактный анализ выполнения полиграф. заказов\" / \"План-фактный анализ планирования производства полиграфии\" [PHONE]:52, [ФИО] пишет: -------- Перенаправленное сообщение -------- Тема: Не формируется отчет (Штрих РУ) Дата: Mon, 27 Jul 2020 09:16:16 +0400 От: [ФИО] Кому: 'Иванов Александр' Добрый день! По какой то причине не формируется отчет - \"Расширенный анализ себестоимости выпуска полиграфии\". Подскажите, пожалуйста, в чем может быть дело. -- [ФИО] Зам.рук-ля по производству ([НОМЕР] [URL] Присоединяйтесь к нам: -- [ФИО] Зам.рук-ля по производству ([НОМЕР] [URL] Присоединяйтесь к нам:"}</x:v>
      </x:c>
      <x:c r="D299" s="6" t="str">
        <x:v>{"product":"1С:УНФ 8. Полиграфия 2","version":"3.0.14.140","retrieval_state":"available","handoff_consent":false,"source_case_id":"146162366","group_id":"omnidesk_146162366","target_message_index":1,"history_status":"approved_case_first_turn","reported_release":"not_reported","approval_basis":"user_confirmed_consultant_approval"}</x:v>
      </x:c>
      <x:c r="E299" s="6" t="str">
        <x:v>1С:УНФ 8. Полиграфия 2</x:v>
      </x:c>
      <x:c r="F299" s="6" t="str">
        <x:v>3.0.14.140</x:v>
      </x:c>
      <x:c r="G299" s="6" t="str">
        <x:v>not_reported</x:v>
      </x:c>
      <x:c r="H299" s="6" t="str">
        <x:v>default</x:v>
      </x:c>
      <x:c r="I299" s="6" t="str">
        <x:v>Применимость источников и эталона к 1С:УНФ 8. Полиграфия 2, релиз 3.0.14.140, подтверждена консультантом со слов пользователя.</x:v>
      </x:c>
      <x:c r="J299" s="13" t="str">
        <x:v>0</x:v>
      </x:c>
      <x:c r="K299" s="13" t="str">
        <x:v>5</x:v>
      </x:c>
      <x:c r="L299" s="7" t="b">
        <x:v>0</x:v>
      </x:c>
      <x:c r="M299" s="6" t="str">
        <x:v>diagnosis_required</x:v>
      </x:c>
      <x:c r="N299" s="6" t="str">
        <x:v>[]</x:v>
      </x:c>
      <x:c r="O299" s="7" t="b">
        <x:v>0</x:v>
      </x:c>
      <x:c r="P299" s="6" t="str">
        <x:v>K4</x:v>
      </x:c>
      <x:c r="Q299"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99" s="6" t="str">
        <x:v>["omnidesk","real_anonymized","planning","cost_calculation","handoff"]</x:v>
      </x:c>
      <x:c r="S299" s="6" t="str">
        <x:v>offer_handoff</x:v>
      </x:c>
      <x:c r="T299" s="6" t="str">
        <x:v>["Явно обозначить, что бот не может самостоятельно выполнить этот запрос или дать подтверждённое решение.","Предложить передачу оператору по вопросу: Ранее писал вам про отчет - \"Расширенный анализ себестоимости выпуска полиграфии\". Данный отчет не формируется, от Вас ответа, к сожалению, не поступило, дублирую Плюс так же не формируется отчет - \"План-фактный анализ выполнения полиграф. заказов\" / \"План-фактный анализ планирования производства по.","Запросить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99"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99" s="6" t="str">
        <x:v>[{"source_file":"/Users/maria/chatbot_rag/knowledge base/omnidesk_cases.jsonl","source_case_id":"146162366","source_jsonl_line":696,"target_message_index":1,"evidence_type":"historical_support_consultant_approved","support_message_indices":[2],"source_answer":"[Поддержка, сообщение №2]\nПроверяю на типовой демке (вложение) Все формируется. У вас конфигурацию дорабатывали. Перенаправляю менеджерам. Они с вами свяжутся по этому вопросу в ближайшее время.","corpus_check":"confirmed_by_consultant_per_user","release_applicability":"confirmed_by_consultant","approval_basis":"user_confirmed_consultant_approval"}]</x:v>
      </x:c>
      <x:c r="W299"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99" s="6" t="str">
        <x:v>approved</x:v>
      </x:c>
      <x:c r="Y299" s="6" t="str">
        <x:v>Карточка и применимость источников согласованы консультантом; утверждение подтверждено пользователем 25.10.2026.</x:v>
      </x:c>
      <x:c r="Z299" s="6" t="str">
        <x:v>G-d3cb33117c775e</x:v>
      </x:c>
      <x:c r="AA299" s="6" t="str">
        <x:v>eval</x:v>
      </x:c>
      <x:c r="AB299" s="6" t="str">
        <x:v>real_anonymized_candidate</x:v>
      </x:c>
    </x:row>
    <x:row r="300" ht="115" customHeight="1">
      <x:c r="A300" s="6" t="str">
        <x:v>OMNI-159227217-M001</x:v>
      </x:c>
      <x:c r="B300" s="6" t="str">
        <x:v>real_anonymized_candidate:omnidesk:159227217:message:1</x:v>
      </x:c>
      <x:c r="C300" s="6" t="str">
        <x:v>{"history":[],"user_message":"Прошу подсказать, когда ожидать обновление ПП 1С: УНФ 8. ПОЛИГРАФИЯ 2?"}</x:v>
      </x:c>
      <x:c r="D300" s="6" t="str">
        <x:v>{"product":"1С:УНФ 8. Полиграфия 2","version":"3.0.14.140","retrieval_state":"available","handoff_consent":false,"source_case_id":"159227217","group_id":"omnidesk_159227217","target_message_index":1,"history_status":"approved_case_first_turn","reported_release":"not_reported","approval_basis":"user_confirmed_consultant_approval"}</x:v>
      </x:c>
      <x:c r="E300" s="6" t="str">
        <x:v>1С:УНФ 8. Полиграфия 2</x:v>
      </x:c>
      <x:c r="F300" s="6" t="str">
        <x:v>3.0.14.140</x:v>
      </x:c>
      <x:c r="G300" s="6" t="str">
        <x:v>not_reported</x:v>
      </x:c>
      <x:c r="H300" s="6" t="str">
        <x:v>default</x:v>
      </x:c>
      <x:c r="I300" s="6" t="str">
        <x:v>Применимость источников и эталона к 1С:УНФ 8. Полиграфия 2, релиз 3.0.14.140, подтверждена консультантом со слов пользователя.</x:v>
      </x:c>
      <x:c r="J300" s="13" t="str">
        <x:v>0</x:v>
      </x:c>
      <x:c r="K300" s="13" t="str">
        <x:v>5</x:v>
      </x:c>
      <x:c r="L300" s="7" t="b">
        <x:v>0</x:v>
      </x:c>
      <x:c r="M300" s="6" t="str">
        <x:v>no_useful_question</x:v>
      </x:c>
      <x:c r="N300" s="6" t="str">
        <x:v>[]</x:v>
      </x:c>
      <x:c r="O300" s="7" t="b">
        <x:v>0</x:v>
      </x:c>
      <x:c r="P300" s="6" t="str">
        <x:v>K4</x:v>
      </x:c>
      <x:c r="Q300"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300" s="6" t="str">
        <x:v>["omnidesk","real_anonymized","update","handoff"]</x:v>
      </x:c>
      <x:c r="S300" s="6" t="str">
        <x:v>offer_handoff</x:v>
      </x:c>
      <x:c r="T300" s="6" t="str">
        <x:v>["Явно обозначить, что бот не может самостоятельно выполнить этот запрос или дать подтверждённое решение.","Предложить передачу оператору по вопросу: Прошу подсказать, когда ожидать обновление ПП 1С: УНФ 8. ПОЛИГРАФИЯ 2?.","Запросить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300"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300" s="6" t="str">
        <x:v>[{"source_file":"/Users/maria/chatbot_rag/knowledge base/omnidesk_cases.jsonl","source_case_id":"159227217","source_jsonl_line":626,"target_message_index":1,"evidence_type":"historical_support_consultant_approved","support_message_indices":[2,3],"source_answer":"[Поддержка, сообщение №2]\nОбращение направлено разработчикам. После ответа сообщим дополнительно.\n\n[Поддержка, сообщение №3]\nПри новом обращении (тратим время на поиск) Пожалуйста, указывайте наименование организации, на которую зарегистрирован программный продукт и его регистрационный номер. Его можно уточнить в регистрационной карточке или на диске и книгах, входящих в поставку. Проверить ИТС по регистрационному номеру продукта Тарифы на 1С:ИТС Регламент службы технической поддержки","corpus_check":"confirmed_by_consultant_per_user","release_applicability":"confirmed_by_consultant","approval_basis":"user_confirmed_consultant_approval"}]</x:v>
      </x:c>
      <x:c r="W300"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300" s="6" t="str">
        <x:v>approved</x:v>
      </x:c>
      <x:c r="Y300" s="6" t="str">
        <x:v>Карточка и применимость источников согласованы консультантом; утверждение подтверждено пользователем 25.10.2026.</x:v>
      </x:c>
      <x:c r="Z300" s="6" t="str">
        <x:v>G-32f0781740e64a</x:v>
      </x:c>
      <x:c r="AA300" s="6" t="str">
        <x:v>eval</x:v>
      </x:c>
      <x:c r="AB300" s="6" t="str">
        <x:v>real_anonymized_candidate</x:v>
      </x:c>
    </x:row>
    <x:row r="301" ht="115" customHeight="1">
      <x:c r="A301" s="6" t="str">
        <x:v>OMNI-104325945-M002</x:v>
      </x:c>
      <x:c r="B301" s="6" t="str">
        <x:v>real_anonymized_candidate:omnidesk:104325945:message:2</x:v>
      </x:c>
      <x:c r="C301" s="6" t="str">
        <x:v>{"history":[],"user_message":"Ошибка при пересчете шаблона заказа \"Поле объекта не найдено (ПрепрессПостпресси)\"\nНи разу до этого такой не видел, прилагаю скриншот.\nДо последних обновлений шаблон работал.\nПри попытке \"Провести и закрыть\" шаблон выдает такую ошибку:\n===========\nВ табличной части \"Операции\" есть незаполненные данные:\nНе заполнен \"Рабочий центр\" в строке номер: 7 !\n===========\nПри этом совершенно непонятно что за табличная часть и где ее искать.\nРасчеты всех составляющих сложного заказа прекрасно работают без ошибок.\nЧто бы это могло быть?"}</x:v>
      </x:c>
      <x:c r="D301" s="6" t="str">
        <x:v>{"product":"1С:УНФ 8. Полиграфия 2","version":"3.0.14.140","retrieval_state":"available","handoff_consent":false,"source_case_id":"104325945","group_id":"omnidesk_104325945","target_message_index":2,"history_status":"approved_case_first_turn","reported_release":"not_reported","approval_basis":"user_confirmed_consultant_approval"}</x:v>
      </x:c>
      <x:c r="E301" s="6" t="str">
        <x:v>1С:УНФ 8. Полиграфия 2</x:v>
      </x:c>
      <x:c r="F301" s="6" t="str">
        <x:v>3.0.14.140</x:v>
      </x:c>
      <x:c r="G301" s="6" t="str">
        <x:v>not_reported</x:v>
      </x:c>
      <x:c r="H301" s="6" t="str">
        <x:v>default</x:v>
      </x:c>
      <x:c r="I301" s="6" t="str">
        <x:v>Применимость источников и эталона к 1С:УНФ 8. Полиграфия 2, релиз 3.0.14.140, подтверждена консультантом со слов пользователя.</x:v>
      </x:c>
      <x:c r="J301" s="13" t="str">
        <x:v>0</x:v>
      </x:c>
      <x:c r="K301" s="13" t="str">
        <x:v>5</x:v>
      </x:c>
      <x:c r="L301" s="7" t="b">
        <x:v>0</x:v>
      </x:c>
      <x:c r="M301" s="6" t="str">
        <x:v>diagnosis_required</x:v>
      </x:c>
      <x:c r="N301" s="6" t="str">
        <x:v>[]</x:v>
      </x:c>
      <x:c r="O301" s="7" t="b">
        <x:v>0</x:v>
      </x:c>
      <x:c r="P301" s="6" t="str">
        <x:v>K4</x:v>
      </x:c>
      <x:c r="Q301"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301" s="6" t="str">
        <x:v>["omnidesk","real_anonymized","update","handoff"]</x:v>
      </x:c>
      <x:c r="S301" s="6" t="str">
        <x:v>offer_handoff</x:v>
      </x:c>
      <x:c r="T301" s="6" t="str">
        <x:v>["Явно обозначить, что бот не может самостоятельно выполнить этот запрос или дать подтверждённое решение.","Предложить передачу оператору по вопросу: Ошибка при пересчете шаблона заказа \"Поле объекта не найдено (ПрепрессПостпресси)\" Ни разу до этого такой не видел, прилагаю скриншот. До последних обновлений шаблон работал. При попытке \"Провести и закрыть\" шаблон выдает такую ошибку: =========== В табличной части \"Операции\" есть незаполненные данн.","Запросить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301"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301" s="6" t="str">
        <x:v>[{"source_file":"/Users/maria/chatbot_rag/knowledge base/omnidesk_cases.jsonl","source_case_id":"104325945","source_jsonl_line":780,"target_message_index":2,"evidence_type":"historical_support_consultant_approved","support_message_indices":[1],"source_answer":"[Поддержка, сообщение №1]\nИсправлено в релизе [IP_ADDRESS]","corpus_check":"confirmed_by_consultant_per_user","release_applicability":"confirmed_by_consultant","approval_basis":"user_confirmed_consultant_approval"}]</x:v>
      </x:c>
      <x:c r="W301"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301" s="6" t="str">
        <x:v>approved</x:v>
      </x:c>
      <x:c r="Y301" s="6" t="str">
        <x:v>Карточка и применимость источников согласованы консультантом; утверждение подтверждено пользователем 25.10.2026.</x:v>
      </x:c>
      <x:c r="Z301" s="6" t="str">
        <x:v>G-31cf662fbc46f8</x:v>
      </x:c>
      <x:c r="AA301" s="6" t="str">
        <x:v>eval</x:v>
      </x:c>
      <x:c r="AB301" s="6" t="str">
        <x:v>real_anonymized_candidate</x:v>
      </x:c>
    </x:row>
  </x:sheetData>
  <x:pageMargins left="0.7" right="0.7" top="0.75" bottom="0.75" header="0.3" footer="0.3"/>
  <x:tableParts count="1">
    <x:tablePart xmlns:r="http://schemas.openxmlformats.org/officeDocument/2006/relationships" r:id="R0bbf7d0b5851471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9"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s>
  <x:sheetData>
    <x:row r="1">
      <x:c r="A1" s="14"/>
      <x:c r="B1" s="14"/>
      <x:c r="C1" s="14"/>
      <x:c r="D1" s="14"/>
      <x:c r="E1" s="14"/>
      <x:c r="F1" s="14"/>
      <x:c r="G1" s="14"/>
    </x:row>
    <x:row r="2" ht="28" customHeight="1">
      <x:c r="A2" s="15" t="str">
        <x:v>EVAL: точные доли классов и баланс источников</x:v>
      </x:c>
      <x:c r="B2" s="14"/>
      <x:c r="C2" s="14"/>
      <x:c r="D2" s="14"/>
      <x:c r="E2" s="14"/>
      <x:c r="F2" s="14"/>
      <x:c r="G2" s="14"/>
    </x:row>
    <x:row r="3" ht="28" customHeight="1">
      <x:c r="A3" s="14" t="str">
        <x:v>300 кейсов. В dev и eval одинаковые количества каждого класса и каждого типа origin.</x:v>
      </x:c>
      <x:c r="B3" s="14"/>
      <x:c r="C3" s="14"/>
      <x:c r="D3" s="14"/>
      <x:c r="E3" s="14"/>
      <x:c r="F3" s="14"/>
      <x:c r="G3" s="14"/>
    </x:row>
    <x:row r="4">
      <x:c r="A4" s="14"/>
      <x:c r="B4" s="14"/>
      <x:c r="C4" s="14"/>
      <x:c r="D4" s="14"/>
      <x:c r="E4" s="14"/>
      <x:c r="F4" s="14"/>
      <x:c r="G4" s="14"/>
    </x:row>
    <x:row r="5">
      <x:c r="A5" s="14"/>
      <x:c r="B5" s="14"/>
      <x:c r="C5" s="14"/>
      <x:c r="D5" s="14"/>
      <x:c r="E5" s="14"/>
      <x:c r="F5" s="14"/>
      <x:c r="G5" s="14"/>
    </x:row>
    <x:row r="6" ht="34" customHeight="1">
      <x:c r="A6" s="12" t="str">
        <x:v>Класс</x:v>
      </x:c>
      <x:c r="B6" s="12" t="str">
        <x:v>Факт</x:v>
      </x:c>
      <x:c r="C6" s="12" t="str">
        <x:v>Квота</x:v>
      </x:c>
      <x:c r="D6" s="12" t="str">
        <x:v>Факт, %</x:v>
      </x:c>
      <x:c r="E6" s="12" t="str">
        <x:v>Цель, %</x:v>
      </x:c>
      <x:c r="F6" s="12" t="str">
        <x:v>Δ кейсов</x:v>
      </x:c>
      <x:c r="G6" s="12" t="str">
        <x:v>Δ, п.п.</x:v>
      </x:c>
    </x:row>
    <x:row r="7" ht="25" customHeight="1">
      <x:c r="A7" s="14" t="str">
        <x:v>K1</x:v>
      </x:c>
      <x:c r="B7" s="14" t="n">
        <x:f>COUNTIFS('eval'!$P$2:$P$301,A7)</x:f>
        <x:v>60</x:v>
      </x:c>
      <x:c r="C7" s="14" t="n">
        <x:v>60</x:v>
      </x:c>
      <x:c r="D7" s="19" t="n">
        <x:f>B7/$B$13</x:f>
        <x:v>0.2</x:v>
      </x:c>
      <x:c r="E7" s="19" t="n">
        <x:v>0.2</x:v>
      </x:c>
      <x:c r="F7" s="14" t="n">
        <x:f>B7-C7</x:f>
        <x:v>0</x:v>
      </x:c>
      <x:c r="G7" s="21" t="n">
        <x:f>(D7-E7)*100</x:f>
        <x:v>0</x:v>
      </x:c>
    </x:row>
    <x:row r="8" ht="25" customHeight="1">
      <x:c r="A8" s="14" t="str">
        <x:v>K2</x:v>
      </x:c>
      <x:c r="B8" s="14" t="n">
        <x:f>COUNTIFS('eval'!$P$2:$P$301,A8)</x:f>
        <x:v>75</x:v>
      </x:c>
      <x:c r="C8" s="14" t="n">
        <x:v>75</x:v>
      </x:c>
      <x:c r="D8" s="19" t="n">
        <x:f>B8/$B$13</x:f>
        <x:v>0.25</x:v>
      </x:c>
      <x:c r="E8" s="19" t="n">
        <x:v>0.25</x:v>
      </x:c>
      <x:c r="F8" s="14" t="n">
        <x:f>B8-C8</x:f>
        <x:v>0</x:v>
      </x:c>
      <x:c r="G8" s="21" t="n">
        <x:f>(D8-E8)*100</x:f>
        <x:v>0</x:v>
      </x:c>
    </x:row>
    <x:row r="9" ht="25" customHeight="1">
      <x:c r="A9" s="14" t="str">
        <x:v>K3</x:v>
      </x:c>
      <x:c r="B9" s="14" t="n">
        <x:f>COUNTIFS('eval'!$P$2:$P$301,A9)</x:f>
        <x:v>45</x:v>
      </x:c>
      <x:c r="C9" s="14" t="n">
        <x:v>45</x:v>
      </x:c>
      <x:c r="D9" s="19" t="n">
        <x:f>B9/$B$13</x:f>
        <x:v>0.15</x:v>
      </x:c>
      <x:c r="E9" s="19" t="n">
        <x:v>0.15</x:v>
      </x:c>
      <x:c r="F9" s="14" t="n">
        <x:f>B9-C9</x:f>
        <x:v>0</x:v>
      </x:c>
      <x:c r="G9" s="21" t="n">
        <x:f>(D9-E9)*100</x:f>
        <x:v>0</x:v>
      </x:c>
    </x:row>
    <x:row r="10" ht="25" customHeight="1">
      <x:c r="A10" s="14" t="str">
        <x:v>K4</x:v>
      </x:c>
      <x:c r="B10" s="14" t="n">
        <x:f>COUNTIFS('eval'!$P$2:$P$301,A10)</x:f>
        <x:v>30</x:v>
      </x:c>
      <x:c r="C10" s="14" t="n">
        <x:v>30</x:v>
      </x:c>
      <x:c r="D10" s="19" t="n">
        <x:f>B10/$B$13</x:f>
        <x:v>0.1</x:v>
      </x:c>
      <x:c r="E10" s="19" t="n">
        <x:v>0.1</x:v>
      </x:c>
      <x:c r="F10" s="14" t="n">
        <x:f>B10-C10</x:f>
        <x:v>0</x:v>
      </x:c>
      <x:c r="G10" s="21" t="n">
        <x:f>(D10-E10)*100</x:f>
        <x:v>0</x:v>
      </x:c>
    </x:row>
    <x:row r="11" ht="25" customHeight="1">
      <x:c r="A11" s="14" t="str">
        <x:v>K5</x:v>
      </x:c>
      <x:c r="B11" s="14" t="n">
        <x:f>COUNTIFS('eval'!$P$2:$P$301,A11)</x:f>
        <x:v>30</x:v>
      </x:c>
      <x:c r="C11" s="14" t="n">
        <x:v>30</x:v>
      </x:c>
      <x:c r="D11" s="19" t="n">
        <x:f>B11/$B$13</x:f>
        <x:v>0.1</x:v>
      </x:c>
      <x:c r="E11" s="19" t="n">
        <x:v>0.1</x:v>
      </x:c>
      <x:c r="F11" s="14" t="n">
        <x:f>B11-C11</x:f>
        <x:v>0</x:v>
      </x:c>
      <x:c r="G11" s="21" t="n">
        <x:f>(D11-E11)*100</x:f>
        <x:v>0</x:v>
      </x:c>
    </x:row>
    <x:row r="12" ht="25" customHeight="1">
      <x:c r="A12" s="14" t="str">
        <x:v>K6</x:v>
      </x:c>
      <x:c r="B12" s="14" t="n">
        <x:f>COUNTIFS('eval'!$P$2:$P$301,A12)</x:f>
        <x:v>60</x:v>
      </x:c>
      <x:c r="C12" s="14" t="n">
        <x:v>60</x:v>
      </x:c>
      <x:c r="D12" s="19" t="n">
        <x:f>B12/$B$13</x:f>
        <x:v>0.2</x:v>
      </x:c>
      <x:c r="E12" s="19" t="n">
        <x:v>0.2</x:v>
      </x:c>
      <x:c r="F12" s="14" t="n">
        <x:f>B12-C12</x:f>
        <x:v>0</x:v>
      </x:c>
      <x:c r="G12" s="21" t="n">
        <x:f>(D12-E12)*100</x:f>
        <x:v>0</x:v>
      </x:c>
    </x:row>
    <x:row r="13" ht="25" customHeight="1">
      <x:c r="A13" s="18" t="str">
        <x:v>Итого</x:v>
      </x:c>
      <x:c r="B13" s="18" t="n">
        <x:f>SUM(B7:B12)</x:f>
        <x:v>300</x:v>
      </x:c>
      <x:c r="C13" s="18" t="n">
        <x:f>SUM(C7:C12)</x:f>
        <x:v>300</x:v>
      </x:c>
      <x:c r="D13" s="20" t="n">
        <x:f>SUM(D7:D12)</x:f>
        <x:v>1</x:v>
      </x:c>
      <x:c r="E13" s="20" t="n">
        <x:f>SUM(E7:E12)</x:f>
        <x:v>1</x:v>
      </x:c>
      <x:c r="F13" s="18" t="n">
        <x:f>SUM(F7:F12)</x:f>
        <x:v>0</x:v>
      </x:c>
      <x:c r="G13" s="22" t="n">
        <x:f>SUM(G7:G12)</x:f>
        <x:v>0</x:v>
      </x:c>
    </x:row>
    <x:row r="14">
      <x:c r="A14" s="14"/>
      <x:c r="B14" s="14"/>
      <x:c r="C14" s="14"/>
      <x:c r="D14" s="14"/>
      <x:c r="E14" s="14"/>
      <x:c r="F14" s="14"/>
      <x:c r="G14" s="14"/>
    </x:row>
    <x:row r="15">
      <x:c r="A15" s="14"/>
      <x:c r="B15" s="14"/>
      <x:c r="C15" s="14"/>
      <x:c r="D15" s="14"/>
      <x:c r="E15" s="14"/>
      <x:c r="F15" s="14"/>
      <x:c r="G15" s="14"/>
    </x:row>
    <x:row r="16" ht="34" customHeight="1">
      <x:c r="A16" s="12" t="str">
        <x:v>Тип origin</x:v>
      </x:c>
      <x:c r="B16" s="12" t="str">
        <x:v>Кейсов</x:v>
      </x:c>
      <x:c r="C16" s="12" t="str">
        <x:v>Доля</x:v>
      </x:c>
      <x:c r="D16" s="12" t="str">
        <x:v>Поровну, %</x:v>
      </x:c>
      <x:c r="E16" s="12" t="str">
        <x:v>Δ, п.п.</x:v>
      </x:c>
      <x:c r="F16" s="12" t="str">
        <x:v>Ориентир</x:v>
      </x:c>
      <x:c r="G16" s="12" t="str">
        <x:v>Δ кейсов</x:v>
      </x:c>
    </x:row>
    <x:row r="17" ht="27" customHeight="1">
      <x:c r="A17" s="14" t="str">
        <x:v>synthetic_from_manual</x:v>
      </x:c>
      <x:c r="B17" s="14" t="n">
        <x:f>COUNTIFS('eval'!$AB$2:$AB$301,A17)</x:f>
        <x:v>125</x:v>
      </x:c>
      <x:c r="C17" s="23" t="n">
        <x:f>B17/$B$13</x:f>
        <x:v>0.4166666666666667</x:v>
      </x:c>
      <x:c r="D17" s="23" t="n">
        <x:v>0.25</x:v>
      </x:c>
      <x:c r="E17" s="21" t="n">
        <x:f>(C17-D17)*100</x:f>
        <x:v>16.666666666666668</x:v>
      </x:c>
      <x:c r="F17" s="14" t="n">
        <x:v>75</x:v>
      </x:c>
      <x:c r="G17" s="14" t="n">
        <x:f>B17-F17</x:f>
        <x:v>50</x:v>
      </x:c>
    </x:row>
    <x:row r="18" ht="27" customHeight="1">
      <x:c r="A18" s="14" t="str">
        <x:v>synthetic_contract_boundary</x:v>
      </x:c>
      <x:c r="B18" s="14" t="n">
        <x:f>COUNTIFS('eval'!$AB$2:$AB$301,A18)</x:f>
        <x:v>60</x:v>
      </x:c>
      <x:c r="C18" s="23" t="n">
        <x:f>B18/$B$13</x:f>
        <x:v>0.2</x:v>
      </x:c>
      <x:c r="D18" s="23" t="n">
        <x:v>0.25</x:v>
      </x:c>
      <x:c r="E18" s="21" t="n">
        <x:f>(C18-D18)*100</x:f>
        <x:v>-4.999999999999999</x:v>
      </x:c>
      <x:c r="F18" s="14" t="n">
        <x:v>75</x:v>
      </x:c>
      <x:c r="G18" s="14" t="n">
        <x:f>B18-F18</x:f>
        <x:v>-15</x:v>
      </x:c>
    </x:row>
    <x:row r="19" ht="27" customHeight="1">
      <x:c r="A19" s="14" t="str">
        <x:v>official_faq_entry</x:v>
      </x:c>
      <x:c r="B19" s="14" t="n">
        <x:f>COUNTIFS('eval'!$AB$2:$AB$301,A19)</x:f>
        <x:v>38</x:v>
      </x:c>
      <x:c r="C19" s="23" t="n">
        <x:f>B19/$B$13</x:f>
        <x:v>0.12666666666666668</x:v>
      </x:c>
      <x:c r="D19" s="23" t="n">
        <x:v>0.25</x:v>
      </x:c>
      <x:c r="E19" s="21" t="n">
        <x:f>(C19-D19)*100</x:f>
        <x:v>-12.333333333333332</x:v>
      </x:c>
      <x:c r="F19" s="14" t="n">
        <x:v>75</x:v>
      </x:c>
      <x:c r="G19" s="14" t="n">
        <x:f>B19-F19</x:f>
        <x:v>-37</x:v>
      </x:c>
    </x:row>
    <x:row r="20" ht="27" customHeight="1">
      <x:c r="A20" s="14" t="str">
        <x:v>real_anonymized_candidate</x:v>
      </x:c>
      <x:c r="B20" s="14" t="n">
        <x:f>COUNTIFS('eval'!$AB$2:$AB$301,A20)</x:f>
        <x:v>77</x:v>
      </x:c>
      <x:c r="C20" s="23" t="n">
        <x:f>B20/$B$13</x:f>
        <x:v>0.25666666666666665</x:v>
      </x:c>
      <x:c r="D20" s="23" t="n">
        <x:v>0.25</x:v>
      </x:c>
      <x:c r="E20" s="21" t="n">
        <x:f>(C20-D20)*100</x:f>
        <x:v>0.6666666666666654</x:v>
      </x:c>
      <x:c r="F20" s="14" t="n">
        <x:v>75</x:v>
      </x:c>
      <x:c r="G20" s="14" t="n">
        <x:f>B20-F20</x:f>
        <x:v>2</x:v>
      </x:c>
    </x:row>
    <x:row r="21">
      <x:c r="A21" s="14"/>
      <x:c r="B21" s="14"/>
      <x:c r="C21" s="14"/>
      <x:c r="D21" s="14"/>
      <x:c r="E21" s="14"/>
      <x:c r="F21" s="14"/>
      <x:c r="G21" s="14"/>
    </x:row>
    <x:row r="22">
      <x:c r="A22" s="14"/>
      <x:c r="B22" s="14"/>
      <x:c r="C22" s="14"/>
      <x:c r="D22" s="14"/>
      <x:c r="E22" s="14"/>
      <x:c r="F22" s="14"/>
      <x:c r="G22" s="14"/>
    </x:row>
    <x:row r="23" ht="25" customHeight="1">
      <x:c r="A23" s="14" t="str">
        <x:v>Кейсов</x:v>
      </x:c>
      <x:c r="B23" s="14" t="n">
        <x:f>B13</x:f>
        <x:v>300</x:v>
      </x:c>
      <x:c r="C23" s="14"/>
      <x:c r="D23" s="14"/>
      <x:c r="E23" s="14"/>
      <x:c r="F23" s="14"/>
      <x:c r="G23" s="14"/>
    </x:row>
    <x:row r="24" ht="25" customHeight="1">
      <x:c r="A24" s="14" t="str">
        <x:v>Невыполненных квот</x:v>
      </x:c>
      <x:c r="B24" s="14" t="n">
        <x:f>COUNTIFS(F7:F12,"&lt;&gt;0")</x:f>
        <x:v>0</x:v>
      </x:c>
      <x:c r="C24" s="14"/>
      <x:c r="D24" s="14"/>
      <x:c r="E24" s="14"/>
      <x:c r="F24" s="14"/>
      <x:c r="G24" s="14"/>
    </x:row>
    <x:row r="25" ht="25" customHeight="1">
      <x:c r="A25" s="14" t="str">
        <x:v>Пересечений ID / групп</x:v>
      </x:c>
      <x:c r="B25" s="14" t="n">
        <x:v>0</x:v>
      </x:c>
      <x:c r="C25" s="14"/>
      <x:c r="D25" s="14"/>
      <x:c r="E25" s="14"/>
      <x:c r="F25" s="14"/>
      <x:c r="G25" s="14"/>
    </x:row>
    <x:row r="26" ht="25" customHeight="1">
      <x:c r="A26" s="14" t="str">
        <x:v>Резерв в исходном пуле</x:v>
      </x:c>
      <x:c r="B26" s="14" t="n">
        <x:v>576</x:v>
      </x:c>
      <x:c r="C26" s="14"/>
      <x:c r="D26" s="14"/>
      <x:c r="E26" s="14"/>
      <x:c r="F26" s="14"/>
      <x:c r="G26" s="14"/>
    </x:row>
    <x:row r="27" ht="25" customHeight="1">
      <x:c r="A27" s="14" t="str">
        <x:v>Отклонение источников</x:v>
      </x:c>
      <x:c r="B27" s="14" t="n">
        <x:f>ABS(G17)+ABS(G18)+ABS(G19)+ABS(G20)</x:f>
        <x:v>104</x:v>
      </x:c>
      <x:c r="C27" s="14"/>
      <x:c r="D27" s="14"/>
      <x:c r="E27" s="14"/>
      <x:c r="F27" s="14"/>
      <x:c r="G27" s="14"/>
    </x:row>
    <x:row r="28">
      <x:c r="A28" s="14"/>
      <x:c r="B28" s="14"/>
      <x:c r="C28" s="14"/>
      <x:c r="D28" s="14"/>
      <x:c r="E28" s="14"/>
      <x:c r="F28" s="14"/>
      <x:c r="G28" s="14"/>
    </x:row>
    <x:row r="29">
      <x:c r="A29" s="24" t="str">
        <x:v>Ровно поровну невозможно: FAQ ≤ 38 на часть; контракт ≤ 60 из-за квоты K1.</x:v>
      </x:c>
      <x:c r="B29" s="14"/>
      <x:c r="C29" s="14"/>
      <x:c r="D29" s="14"/>
      <x:c r="E29" s="14"/>
      <x:c r="F29" s="14"/>
      <x:c r="G29" s="14"/>
    </x:row>
    <x:row r="30">
      <x:c r="A30" s="24" t="str">
        <x:v>Минимальное отклонение от 75 на источник — 104. Состав 125/60/38/77 достигает этого минимума.</x:v>
      </x:c>
      <x:c r="B30" s="14"/>
      <x:c r="C30" s="14"/>
      <x:c r="D30" s="14"/>
      <x:c r="E30" s="14"/>
      <x:c r="F30" s="14"/>
      <x:c r="G30" s="14"/>
    </x:row>
    <x:row r="31">
      <x:c r="A31" s="24" t="str">
        <x:v>Все FAQ использованы: 22 poly2 и 16 poly8 в каждой части.</x:v>
      </x:c>
      <x:c r="B31" s="14"/>
      <x:c r="C31" s="14"/>
      <x:c r="D31" s="14"/>
      <x:c r="E31" s="14"/>
      <x:c r="F31" s="14"/>
      <x:c r="G31" s="14"/>
    </x:row>
    <x:row r="32">
      <x:c r="A32" s="24" t="str">
        <x:v>В резерве есть невыбранные варианты используемых групп; между dev и eval пересечений групп нет.</x:v>
      </x:c>
      <x:c r="B32" s="14"/>
      <x:c r="C32" s="14"/>
      <x:c r="D32" s="14"/>
      <x:c r="E32" s="14"/>
      <x:c r="F32" s="14"/>
      <x:c r="G32" s="14"/>
    </x:row>
    <x:row r="33">
      <x:c r="A33" s="24" t="str">
        <x:v>В balanced_manifest.json сохранён group_owner резервных кейсов; сохраняйте его при дальнейшем использовании.</x:v>
      </x:c>
      <x:c r="B33" s="14"/>
      <x:c r="C33" s="14"/>
      <x:c r="D33" s="14"/>
      <x:c r="E33" s="14"/>
      <x:c r="F33" s="14"/>
      <x:c r="G33" s="14"/>
    </x:row>
    <x:row r="34">
      <x:c r="A34" s="24" t="str">
        <x:v>Источник: eval_1176_approved.xlsx. Исходные поля карточек и классы сохранены.</x:v>
      </x:c>
      <x:c r="B34" s="14"/>
      <x:c r="C34" s="14"/>
      <x:c r="D34" s="14"/>
      <x:c r="E34" s="14"/>
      <x:c r="F34" s="14"/>
      <x:c r="G34" s="14"/>
    </x:row>
  </x:sheetData>
  <x:pageMargins left="0.7" right="0.7" top="0.75" bottom="0.75" header="0.3" footer="0.3"/>
</x:worksheet>
</file>